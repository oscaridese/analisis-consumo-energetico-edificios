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deseeu-my.sharepoint.com/personal/oscar_idese_eu/Documents/CURSOS/DATA ANALYTICS/UNIDAD 3 DASHBOARD &amp; ANALISIS DE DATOS/PROYECTOS/CONSUMO ENERGETICO/GITHUB ENTREGAR/excel/"/>
    </mc:Choice>
  </mc:AlternateContent>
  <xr:revisionPtr revIDLastSave="2" documentId="8_{095B72DF-0798-491B-A7A4-336E7502C20C}" xr6:coauthVersionLast="47" xr6:coauthVersionMax="47" xr10:uidLastSave="{65C060AD-574C-439D-B9D4-71FBEFE4F2F5}"/>
  <bookViews>
    <workbookView xWindow="4290" yWindow="4290" windowWidth="57600" windowHeight="15345" tabRatio="500" xr2:uid="{00000000-000D-0000-FFFF-FFFF00000000}"/>
  </bookViews>
  <sheets>
    <sheet name="Dashboard" sheetId="6" r:id="rId1"/>
    <sheet name="Lecturas" sheetId="3" r:id="rId2"/>
    <sheet name="Dinamicas" sheetId="5" r:id="rId3"/>
  </sheets>
  <definedNames>
    <definedName name="SegmentaciónDeDatos_ciudad">#N/A</definedName>
    <definedName name="SegmentaciónDeDatos_estacion">#N/A</definedName>
    <definedName name="SegmentaciónDeDatos_periodo_tarifario">#N/A</definedName>
    <definedName name="SegmentaciónDeDatos_tipo_dia">#N/A</definedName>
    <definedName name="SegmentaciónDeDatos_tipo_edificio">#N/A</definedName>
  </definedNames>
  <calcPr calcId="191029" iterateDelta="1E-4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5" l="1"/>
  <c r="J8" i="5"/>
  <c r="I8" i="5"/>
  <c r="I5" i="5"/>
  <c r="K5" i="5" l="1"/>
  <c r="J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608AD-F4BA-45E3-9CCD-5663302018C6}" keepAlive="1" name="Consulta - Lecturas Limpieza" description="Conexión a la consulta 'Lecturas Limpieza' en el libro." type="5" refreshedVersion="0" background="1">
    <dbPr connection="Provider=Microsoft.Mashup.OleDb.1;Data Source=$Workbook$;Location=&quot;Lecturas Limpieza&quot;;Extended Properties=&quot;&quot;" command="SELECT * FROM [Lecturas Limpieza]"/>
  </connection>
</connections>
</file>

<file path=xl/sharedStrings.xml><?xml version="1.0" encoding="utf-8"?>
<sst xmlns="http://schemas.openxmlformats.org/spreadsheetml/2006/main" count="17787" uniqueCount="96">
  <si>
    <t>consumo_kwh</t>
  </si>
  <si>
    <t>wh_m2</t>
  </si>
  <si>
    <t>energia_red_kwh</t>
  </si>
  <si>
    <t>generacion_solar_kwh</t>
  </si>
  <si>
    <t>coste_eur</t>
  </si>
  <si>
    <t>temperatura_exterior_c</t>
  </si>
  <si>
    <t>humedad_relativa_pct</t>
  </si>
  <si>
    <t>radiacion_solar_wm2</t>
  </si>
  <si>
    <t>ocupacion_personas</t>
  </si>
  <si>
    <t>tipo_edificio</t>
  </si>
  <si>
    <t>ciudad</t>
  </si>
  <si>
    <t>modo_hvac</t>
  </si>
  <si>
    <t>Sanitario</t>
  </si>
  <si>
    <t>Barcelona</t>
  </si>
  <si>
    <t>Apagado</t>
  </si>
  <si>
    <t>Comercial</t>
  </si>
  <si>
    <t>Bilbao</t>
  </si>
  <si>
    <t>Calefaccion</t>
  </si>
  <si>
    <t>Industrial</t>
  </si>
  <si>
    <t>Madrid</t>
  </si>
  <si>
    <t>Refrigeracion</t>
  </si>
  <si>
    <t>Residencial</t>
  </si>
  <si>
    <t>Sevilla</t>
  </si>
  <si>
    <t>Ventilacion</t>
  </si>
  <si>
    <t>Educativo</t>
  </si>
  <si>
    <t>Valencia</t>
  </si>
  <si>
    <t>Oficinas</t>
  </si>
  <si>
    <t>Zaragoza</t>
  </si>
  <si>
    <t>periodo_tarifario</t>
  </si>
  <si>
    <t>estacion</t>
  </si>
  <si>
    <t>tipo_dia</t>
  </si>
  <si>
    <t>Valle</t>
  </si>
  <si>
    <t>Invierno</t>
  </si>
  <si>
    <t>Laborable</t>
  </si>
  <si>
    <t>Llano</t>
  </si>
  <si>
    <t>Primavera</t>
  </si>
  <si>
    <t>Fin de semana</t>
  </si>
  <si>
    <t>Punta</t>
  </si>
  <si>
    <t>Verano</t>
  </si>
  <si>
    <t>Otoño</t>
  </si>
  <si>
    <t>id_lectura</t>
  </si>
  <si>
    <t>fecha_hora</t>
  </si>
  <si>
    <t>hora</t>
  </si>
  <si>
    <t>dia_semana</t>
  </si>
  <si>
    <t>mes</t>
  </si>
  <si>
    <t>edificio</t>
  </si>
  <si>
    <t>superficie_m2</t>
  </si>
  <si>
    <t>hvac_activo</t>
  </si>
  <si>
    <t>Miercoles</t>
  </si>
  <si>
    <t>Planta Logistica R2</t>
  </si>
  <si>
    <t>Hospital Sur</t>
  </si>
  <si>
    <t>Centro Comercial Delta</t>
  </si>
  <si>
    <t>Residencial Mirador</t>
  </si>
  <si>
    <t>Torre Atlantida</t>
  </si>
  <si>
    <t>Campus Norte</t>
  </si>
  <si>
    <t>Domingo</t>
  </si>
  <si>
    <t>Jueves</t>
  </si>
  <si>
    <t>Lunes</t>
  </si>
  <si>
    <t>Viernes</t>
  </si>
  <si>
    <t>Martes</t>
  </si>
  <si>
    <t>Sabado</t>
  </si>
  <si>
    <t>Suma de consumo_kwh</t>
  </si>
  <si>
    <t>Etiquetas de columna</t>
  </si>
  <si>
    <t>Etiquetas de fila</t>
  </si>
  <si>
    <t>Total general</t>
  </si>
  <si>
    <t>Consumo medio (Kwh)</t>
  </si>
  <si>
    <t>Intensidad  (wh/m2)</t>
  </si>
  <si>
    <t>Consumo por Edificio según horas</t>
  </si>
  <si>
    <t>Promedio de consumo_kwh</t>
  </si>
  <si>
    <t>&lt;-10 o (en blanco)</t>
  </si>
  <si>
    <t>0-5</t>
  </si>
  <si>
    <t>5-10</t>
  </si>
  <si>
    <t>10-15</t>
  </si>
  <si>
    <t>15-20</t>
  </si>
  <si>
    <t>20-25</t>
  </si>
  <si>
    <t>25-30</t>
  </si>
  <si>
    <t>30-35</t>
  </si>
  <si>
    <t>Lecturas Analizadas</t>
  </si>
  <si>
    <t>Consumo medio (kWh)</t>
  </si>
  <si>
    <t>Promedio de wh_m2</t>
  </si>
  <si>
    <t>Cobertura Solar</t>
  </si>
  <si>
    <t>Consumo en punta</t>
  </si>
  <si>
    <t>Coste Medio</t>
  </si>
  <si>
    <t>Cuenta de id_lectura</t>
  </si>
  <si>
    <t>Consumo Medio</t>
  </si>
  <si>
    <t>Media Solar</t>
  </si>
  <si>
    <t>Cobertura_solar</t>
  </si>
  <si>
    <t>Consumo</t>
  </si>
  <si>
    <t>Genracion Solar</t>
  </si>
  <si>
    <t>Edificio</t>
  </si>
  <si>
    <t>Intensidad (Wh/m²)</t>
  </si>
  <si>
    <t>Coste medio (€)</t>
  </si>
  <si>
    <t>-10--5</t>
  </si>
  <si>
    <t>-5-0</t>
  </si>
  <si>
    <t>35-40</t>
  </si>
  <si>
    <t>Promedio de hvac_activo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</si>
</sst>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yyyy\-mm\-dd\ hh:mm"/>
    <numFmt numFmtId="167" formatCode="0.0"/>
    <numFmt numFmtId="168" formatCode="#.##0.0"/>
  </numFmts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0"/>
      <name val="HP Simplified Hans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6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168" fontId="0" fillId="0" borderId="0" xfId="0" applyNumberFormat="1"/>
    <xf numFmtId="1" fontId="0" fillId="0" borderId="0" xfId="0" applyNumberFormat="1"/>
    <xf numFmtId="9" fontId="0" fillId="0" borderId="0" xfId="1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167" fontId="2" fillId="2" borderId="0" xfId="0" applyNumberFormat="1" applyFont="1" applyFill="1"/>
    <xf numFmtId="165" fontId="2" fillId="2" borderId="0" xfId="0" applyNumberFormat="1" applyFont="1" applyFill="1"/>
  </cellXfs>
  <cellStyles count="2">
    <cellStyle name="Normal" xfId="0" builtinId="0"/>
    <cellStyle name="Porcentaje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P Simplified Hans Light"/>
        <family val="2"/>
        <scheme val="none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P Simplified Hans Light"/>
        <family val="2"/>
        <scheme val="none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P Simplified Hans Light"/>
        <family val="2"/>
        <scheme val="none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HP Simplified Hans Light"/>
        <family val="2"/>
        <scheme val="none"/>
      </font>
      <fill>
        <patternFill patternType="solid">
          <fgColor indexed="65"/>
          <bgColor theme="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5"/>
      <rgbColor rgb="FFCCFFFF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5251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onnections" Target="connections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 frente a Generacion Solar por mes</a:t>
            </a:r>
          </a:p>
        </c:rich>
      </c:tx>
      <c:layout>
        <c:manualLayout>
          <c:xMode val="edge"/>
          <c:yMode val="edge"/>
          <c:x val="0.1273693940431359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Dinamicas!$B$55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Dinamicas!$A$56:$A$68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Dinamicas!$B$56:$B$68</c:f>
              <c:numCache>
                <c:formatCode>0.0</c:formatCode>
                <c:ptCount val="12"/>
                <c:pt idx="0">
                  <c:v>124.76062827225128</c:v>
                </c:pt>
                <c:pt idx="1">
                  <c:v>124.92090361445776</c:v>
                </c:pt>
                <c:pt idx="2">
                  <c:v>118.141052631579</c:v>
                </c:pt>
                <c:pt idx="3">
                  <c:v>109.61922155688627</c:v>
                </c:pt>
                <c:pt idx="4">
                  <c:v>112.69645502645501</c:v>
                </c:pt>
                <c:pt idx="5">
                  <c:v>117.37031250000003</c:v>
                </c:pt>
                <c:pt idx="6">
                  <c:v>109.23274390243897</c:v>
                </c:pt>
                <c:pt idx="7">
                  <c:v>114.61137566137566</c:v>
                </c:pt>
                <c:pt idx="8">
                  <c:v>122.87455026455021</c:v>
                </c:pt>
                <c:pt idx="9">
                  <c:v>123.00909638554218</c:v>
                </c:pt>
                <c:pt idx="10">
                  <c:v>117.04222222222222</c:v>
                </c:pt>
                <c:pt idx="11">
                  <c:v>143.85368421052627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0-4333-BC72-786ACB227B1E}"/>
            </c:ext>
          </c:extLst>
        </c:ser>
        <c:ser>
          <c:idx val="1"/>
          <c:order val="1"/>
          <c:tx>
            <c:strRef>
              <c:f>Dinamicas!$C$55</c:f>
              <c:strCache>
                <c:ptCount val="1"/>
                <c:pt idx="0">
                  <c:v>Genracion Solar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Dinamicas!$A$56:$A$68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Dinamicas!$C$56:$C$68</c:f>
              <c:numCache>
                <c:formatCode>#.##0.0</c:formatCode>
                <c:ptCount val="12"/>
                <c:pt idx="0">
                  <c:v>12.664739583333338</c:v>
                </c:pt>
                <c:pt idx="1">
                  <c:v>15.610535714285723</c:v>
                </c:pt>
                <c:pt idx="2">
                  <c:v>20.580781249999998</c:v>
                </c:pt>
                <c:pt idx="3">
                  <c:v>26.999285714285708</c:v>
                </c:pt>
                <c:pt idx="4">
                  <c:v>35.139895833333334</c:v>
                </c:pt>
                <c:pt idx="5">
                  <c:v>42.42989583333334</c:v>
                </c:pt>
                <c:pt idx="6">
                  <c:v>44.021904761904764</c:v>
                </c:pt>
                <c:pt idx="7">
                  <c:v>37.651614583333334</c:v>
                </c:pt>
                <c:pt idx="8">
                  <c:v>29.981770833333346</c:v>
                </c:pt>
                <c:pt idx="9">
                  <c:v>21.543571428571429</c:v>
                </c:pt>
                <c:pt idx="10">
                  <c:v>15.868177083333336</c:v>
                </c:pt>
                <c:pt idx="11">
                  <c:v>13.811979166666667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0-4333-BC72-786ACB227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366864"/>
        <c:axId val="408367344"/>
      </c:barChart>
      <c:catAx>
        <c:axId val="40836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367344"/>
        <c:crosses val="autoZero"/>
        <c:auto val="1"/>
        <c:lblAlgn val="ctr"/>
        <c:lblOffset val="100"/>
        <c:noMultiLvlLbl val="0"/>
      </c:catAx>
      <c:valAx>
        <c:axId val="40836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36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 medio por mes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Dinamicas!$B$2:$B$14</c:f>
              <c:numCache>
                <c:formatCode>0.0</c:formatCode>
                <c:ptCount val="12"/>
                <c:pt idx="0">
                  <c:v>124.76062827225128</c:v>
                </c:pt>
                <c:pt idx="1">
                  <c:v>124.92090361445776</c:v>
                </c:pt>
                <c:pt idx="2">
                  <c:v>118.141052631579</c:v>
                </c:pt>
                <c:pt idx="3">
                  <c:v>109.61922155688627</c:v>
                </c:pt>
                <c:pt idx="4">
                  <c:v>112.69645502645501</c:v>
                </c:pt>
                <c:pt idx="5">
                  <c:v>117.37031250000003</c:v>
                </c:pt>
                <c:pt idx="6">
                  <c:v>109.23274390243897</c:v>
                </c:pt>
                <c:pt idx="7">
                  <c:v>114.61137566137566</c:v>
                </c:pt>
                <c:pt idx="8">
                  <c:v>122.87455026455021</c:v>
                </c:pt>
                <c:pt idx="9">
                  <c:v>123.00909638554218</c:v>
                </c:pt>
                <c:pt idx="10">
                  <c:v>117.04222222222222</c:v>
                </c:pt>
                <c:pt idx="11">
                  <c:v>143.85368421052627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F-449D-B97E-FD6A36438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996591"/>
        <c:axId val="1456995631"/>
      </c:barChart>
      <c:catAx>
        <c:axId val="145699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6995631"/>
        <c:crosses val="autoZero"/>
        <c:auto val="1"/>
        <c:lblAlgn val="ctr"/>
        <c:lblOffset val="100"/>
        <c:noMultiLvlLbl val="0"/>
      </c:catAx>
      <c:valAx>
        <c:axId val="14569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699659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Carga</a:t>
            </a:r>
            <a:r>
              <a:rPr lang="es-ES" baseline="0"/>
              <a:t> por Horas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Dinamicas!$B$20:$B$21</c:f>
              <c:strCache>
                <c:ptCount val="1"/>
                <c:pt idx="0">
                  <c:v>Comercial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Dinamicas!$A$22:$A$26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</c:strCache>
            </c:strRef>
          </c:cat>
          <c:val>
            <c:numRef>
              <c:f>Dinamicas!$B$22:$B$26</c:f>
              <c:numCache>
                <c:formatCode>0.0</c:formatCode>
                <c:ptCount val="4"/>
                <c:pt idx="0">
                  <c:v>52.568369565217388</c:v>
                </c:pt>
                <c:pt idx="1">
                  <c:v>47.741888888888901</c:v>
                </c:pt>
                <c:pt idx="2">
                  <c:v>237.78956043956052</c:v>
                </c:pt>
                <c:pt idx="3">
                  <c:v>290.42277777777781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6-4954-A8D5-FA0956629F47}"/>
            </c:ext>
          </c:extLst>
        </c:ser>
        <c:ser>
          <c:idx val="1"/>
          <c:order val="1"/>
          <c:tx>
            <c:strRef>
              <c:f>Dinamicas!$C$20:$C$21</c:f>
              <c:strCache>
                <c:ptCount val="1"/>
                <c:pt idx="0">
                  <c:v>Educativo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Dinamicas!$A$22:$A$26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</c:strCache>
            </c:strRef>
          </c:cat>
          <c:val>
            <c:numRef>
              <c:f>Dinamicas!$C$22:$C$26</c:f>
              <c:numCache>
                <c:formatCode>0.0</c:formatCode>
                <c:ptCount val="4"/>
                <c:pt idx="0">
                  <c:v>22.443260869565211</c:v>
                </c:pt>
                <c:pt idx="1">
                  <c:v>63.774565217391334</c:v>
                </c:pt>
                <c:pt idx="2">
                  <c:v>49.959000000000003</c:v>
                </c:pt>
                <c:pt idx="3">
                  <c:v>22.466179775280906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C-4765-A89E-1FDFA55EBF24}"/>
            </c:ext>
          </c:extLst>
        </c:ser>
        <c:ser>
          <c:idx val="2"/>
          <c:order val="2"/>
          <c:tx>
            <c:strRef>
              <c:f>Dinamicas!$D$20:$D$21</c:f>
              <c:strCache>
                <c:ptCount val="1"/>
                <c:pt idx="0">
                  <c:v>Industrial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Dinamicas!$A$22:$A$26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</c:strCache>
            </c:strRef>
          </c:cat>
          <c:val>
            <c:numRef>
              <c:f>Dinamicas!$D$22:$D$26</c:f>
              <c:numCache>
                <c:formatCode>0.0</c:formatCode>
                <c:ptCount val="4"/>
                <c:pt idx="0">
                  <c:v>113.70230769230771</c:v>
                </c:pt>
                <c:pt idx="1">
                  <c:v>171.28728260869565</c:v>
                </c:pt>
                <c:pt idx="2">
                  <c:v>138.81910112359552</c:v>
                </c:pt>
                <c:pt idx="3">
                  <c:v>255.50166666666675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9C-4765-A89E-1FDFA55EBF24}"/>
            </c:ext>
          </c:extLst>
        </c:ser>
        <c:ser>
          <c:idx val="3"/>
          <c:order val="3"/>
          <c:tx>
            <c:strRef>
              <c:f>Dinamicas!$E$20:$E$21</c:f>
              <c:strCache>
                <c:ptCount val="1"/>
                <c:pt idx="0">
                  <c:v>Oficinas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Dinamicas!$A$22:$A$26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</c:strCache>
            </c:strRef>
          </c:cat>
          <c:val>
            <c:numRef>
              <c:f>Dinamicas!$E$22:$E$26</c:f>
              <c:numCache>
                <c:formatCode>0.0</c:formatCode>
                <c:ptCount val="4"/>
                <c:pt idx="0">
                  <c:v>24.622857142857136</c:v>
                </c:pt>
                <c:pt idx="1">
                  <c:v>66.810549450549459</c:v>
                </c:pt>
                <c:pt idx="2">
                  <c:v>86.231413043478312</c:v>
                </c:pt>
                <c:pt idx="3">
                  <c:v>39.007582417582412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9C-4765-A89E-1FDFA55EBF24}"/>
            </c:ext>
          </c:extLst>
        </c:ser>
        <c:ser>
          <c:idx val="4"/>
          <c:order val="4"/>
          <c:tx>
            <c:strRef>
              <c:f>Dinamicas!$F$20:$F$21</c:f>
              <c:strCache>
                <c:ptCount val="1"/>
                <c:pt idx="0">
                  <c:v>Residencial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Dinamicas!$A$22:$A$26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</c:strCache>
            </c:strRef>
          </c:cat>
          <c:val>
            <c:numRef>
              <c:f>Dinamicas!$F$22:$F$26</c:f>
              <c:numCache>
                <c:formatCode>0.0</c:formatCode>
                <c:ptCount val="4"/>
                <c:pt idx="0">
                  <c:v>104.33934782608695</c:v>
                </c:pt>
                <c:pt idx="1">
                  <c:v>28.931195652173923</c:v>
                </c:pt>
                <c:pt idx="2">
                  <c:v>27.3671111111111</c:v>
                </c:pt>
                <c:pt idx="3">
                  <c:v>102.47433333333332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9C-4765-A89E-1FDFA55EBF24}"/>
            </c:ext>
          </c:extLst>
        </c:ser>
        <c:ser>
          <c:idx val="5"/>
          <c:order val="5"/>
          <c:tx>
            <c:strRef>
              <c:f>Dinamicas!$G$20:$G$21</c:f>
              <c:strCache>
                <c:ptCount val="1"/>
                <c:pt idx="0">
                  <c:v>Sanitario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Dinamicas!$A$22:$A$26</c:f>
              <c:strCache>
                <c:ptCount val="4"/>
                <c:pt idx="0">
                  <c:v>0</c:v>
                </c:pt>
                <c:pt idx="1">
                  <c:v>8</c:v>
                </c:pt>
                <c:pt idx="2">
                  <c:v>14</c:v>
                </c:pt>
                <c:pt idx="3">
                  <c:v>20</c:v>
                </c:pt>
              </c:strCache>
            </c:strRef>
          </c:cat>
          <c:val>
            <c:numRef>
              <c:f>Dinamicas!$G$22:$G$26</c:f>
              <c:numCache>
                <c:formatCode>0.0</c:formatCode>
                <c:ptCount val="4"/>
                <c:pt idx="0">
                  <c:v>180.85604395604392</c:v>
                </c:pt>
                <c:pt idx="1">
                  <c:v>240.57043956043955</c:v>
                </c:pt>
                <c:pt idx="2">
                  <c:v>223.31902173913042</c:v>
                </c:pt>
                <c:pt idx="3">
                  <c:v>289.97142857142853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9C-4765-A89E-1FDFA55EB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166319"/>
        <c:axId val="1398167759"/>
      </c:lineChart>
      <c:catAx>
        <c:axId val="13981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8167759"/>
        <c:crosses val="autoZero"/>
        <c:auto val="1"/>
        <c:lblAlgn val="ctr"/>
        <c:lblOffset val="100"/>
        <c:noMultiLvlLbl val="0"/>
      </c:catAx>
      <c:valAx>
        <c:axId val="13981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981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 segun la</a:t>
            </a:r>
            <a:r>
              <a:rPr lang="es-ES" baseline="0"/>
              <a:t> Temperatura Exterior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Dinamicas!$B$40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Dinamicas!$A$41:$A$52</c:f>
              <c:strCache>
                <c:ptCount val="11"/>
                <c:pt idx="0">
                  <c:v>&lt;-10 o (en blanco)</c:v>
                </c:pt>
                <c:pt idx="1">
                  <c:v>-10--5</c:v>
                </c:pt>
                <c:pt idx="2">
                  <c:v>-5-0</c:v>
                </c:pt>
                <c:pt idx="3">
                  <c:v>0-5</c:v>
                </c:pt>
                <c:pt idx="4">
                  <c:v>5-10</c:v>
                </c:pt>
                <c:pt idx="5">
                  <c:v>10-15</c:v>
                </c:pt>
                <c:pt idx="6">
                  <c:v>15-20</c:v>
                </c:pt>
                <c:pt idx="7">
                  <c:v>20-25</c:v>
                </c:pt>
                <c:pt idx="8">
                  <c:v>25-30</c:v>
                </c:pt>
                <c:pt idx="9">
                  <c:v>30-35</c:v>
                </c:pt>
                <c:pt idx="10">
                  <c:v>35-40</c:v>
                </c:pt>
              </c:strCache>
            </c:strRef>
          </c:cat>
          <c:val>
            <c:numRef>
              <c:f>Dinamicas!$B$41:$B$52</c:f>
              <c:numCache>
                <c:formatCode>0.0</c:formatCode>
                <c:ptCount val="11"/>
                <c:pt idx="0">
                  <c:v>122.29292307692303</c:v>
                </c:pt>
                <c:pt idx="1">
                  <c:v>26.91</c:v>
                </c:pt>
                <c:pt idx="2">
                  <c:v>55.915454545454551</c:v>
                </c:pt>
                <c:pt idx="3">
                  <c:v>108.92445454545457</c:v>
                </c:pt>
                <c:pt idx="4">
                  <c:v>115.38321656050961</c:v>
                </c:pt>
                <c:pt idx="5">
                  <c:v>111.61458158995809</c:v>
                </c:pt>
                <c:pt idx="6">
                  <c:v>103.22083700440533</c:v>
                </c:pt>
                <c:pt idx="7">
                  <c:v>115.23619909502256</c:v>
                </c:pt>
                <c:pt idx="8">
                  <c:v>166.908384279476</c:v>
                </c:pt>
                <c:pt idx="9">
                  <c:v>195.74753623188414</c:v>
                </c:pt>
                <c:pt idx="10">
                  <c:v>238.41333333333336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9-4CBE-A797-C0DC1912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318384"/>
        <c:axId val="408337584"/>
      </c:barChart>
      <c:catAx>
        <c:axId val="40831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337584"/>
        <c:crosses val="autoZero"/>
        <c:auto val="1"/>
        <c:lblAlgn val="ctr"/>
        <c:lblOffset val="100"/>
        <c:noMultiLvlLbl val="0"/>
      </c:catAx>
      <c:valAx>
        <c:axId val="40833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31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Intensidad</a:t>
            </a:r>
            <a:r>
              <a:rPr lang="es-ES" baseline="0"/>
              <a:t> Energetica por Edificio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Dinamicas!$F$1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Dinamicas!$E$2:$E$8</c:f>
              <c:strCache>
                <c:ptCount val="6"/>
                <c:pt idx="0">
                  <c:v>Hospital Sur</c:v>
                </c:pt>
                <c:pt idx="1">
                  <c:v>Centro Comercial Delta</c:v>
                </c:pt>
                <c:pt idx="2">
                  <c:v>Residencial Mirador</c:v>
                </c:pt>
                <c:pt idx="3">
                  <c:v>Planta Logistica R2</c:v>
                </c:pt>
                <c:pt idx="4">
                  <c:v>Campus Norte</c:v>
                </c:pt>
                <c:pt idx="5">
                  <c:v>Torre Atlantida</c:v>
                </c:pt>
              </c:strCache>
            </c:strRef>
          </c:cat>
          <c:val>
            <c:numRef>
              <c:f>Dinamicas!$F$2:$F$8</c:f>
              <c:numCache>
                <c:formatCode>0.00</c:formatCode>
                <c:ptCount val="6"/>
                <c:pt idx="0">
                  <c:v>11.126224657534248</c:v>
                </c:pt>
                <c:pt idx="1">
                  <c:v>9.0101652892562001</c:v>
                </c:pt>
                <c:pt idx="2">
                  <c:v>6.7130302197802187</c:v>
                </c:pt>
                <c:pt idx="3">
                  <c:v>6.5294696132596641</c:v>
                </c:pt>
                <c:pt idx="4">
                  <c:v>4.6216721763085387</c:v>
                </c:pt>
                <c:pt idx="5">
                  <c:v>4.3404986301369846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A-463A-B092-87C3BA7A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9834847"/>
        <c:axId val="2136368399"/>
      </c:barChart>
      <c:catAx>
        <c:axId val="128983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6368399"/>
        <c:crosses val="autoZero"/>
        <c:auto val="1"/>
        <c:lblAlgn val="ctr"/>
        <c:lblOffset val="100"/>
        <c:noMultiLvlLbl val="0"/>
      </c:catAx>
      <c:valAx>
        <c:axId val="213636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98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</a:t>
            </a:r>
            <a:r>
              <a:rPr lang="es-ES" baseline="0"/>
              <a:t> por Periodo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Dinamicas!$B$30:$B$31</c:f>
              <c:strCache>
                <c:ptCount val="1"/>
                <c:pt idx="0">
                  <c:v>Llano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Dinamicas!$A$32:$A$38</c:f>
              <c:strCache>
                <c:ptCount val="6"/>
                <c:pt idx="0">
                  <c:v>Campus Norte</c:v>
                </c:pt>
                <c:pt idx="1">
                  <c:v>Centro Comercial Delta</c:v>
                </c:pt>
                <c:pt idx="2">
                  <c:v>Hospital Sur</c:v>
                </c:pt>
                <c:pt idx="3">
                  <c:v>Planta Logistica R2</c:v>
                </c:pt>
                <c:pt idx="4">
                  <c:v>Residencial Mirador</c:v>
                </c:pt>
                <c:pt idx="5">
                  <c:v>Torre Atlantida</c:v>
                </c:pt>
              </c:strCache>
            </c:strRef>
          </c:cat>
          <c:val>
            <c:numRef>
              <c:f>Dinamicas!$B$32:$B$38</c:f>
              <c:numCache>
                <c:formatCode>0.0%</c:formatCode>
                <c:ptCount val="6"/>
                <c:pt idx="0">
                  <c:v>0.67932067447379507</c:v>
                </c:pt>
                <c:pt idx="1">
                  <c:v>0.31538222834807828</c:v>
                </c:pt>
                <c:pt idx="2">
                  <c:v>0.34921477497861231</c:v>
                </c:pt>
                <c:pt idx="3">
                  <c:v>0.3770076147918025</c:v>
                </c:pt>
                <c:pt idx="4">
                  <c:v>0.12860645886559358</c:v>
                </c:pt>
                <c:pt idx="5">
                  <c:v>0.64939187271693499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0-4530-B2C4-602A985988DC}"/>
            </c:ext>
          </c:extLst>
        </c:ser>
        <c:ser>
          <c:idx val="1"/>
          <c:order val="1"/>
          <c:tx>
            <c:strRef>
              <c:f>Dinamicas!$C$30:$C$31</c:f>
              <c:strCache>
                <c:ptCount val="1"/>
                <c:pt idx="0">
                  <c:v>Punta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Dinamicas!$A$32:$A$38</c:f>
              <c:strCache>
                <c:ptCount val="6"/>
                <c:pt idx="0">
                  <c:v>Campus Norte</c:v>
                </c:pt>
                <c:pt idx="1">
                  <c:v>Centro Comercial Delta</c:v>
                </c:pt>
                <c:pt idx="2">
                  <c:v>Hospital Sur</c:v>
                </c:pt>
                <c:pt idx="3">
                  <c:v>Planta Logistica R2</c:v>
                </c:pt>
                <c:pt idx="4">
                  <c:v>Residencial Mirador</c:v>
                </c:pt>
                <c:pt idx="5">
                  <c:v>Torre Atlantida</c:v>
                </c:pt>
              </c:strCache>
            </c:strRef>
          </c:cat>
          <c:val>
            <c:numRef>
              <c:f>Dinamicas!$C$32:$C$38</c:f>
              <c:numCache>
                <c:formatCode>0.0%</c:formatCode>
                <c:ptCount val="6"/>
                <c:pt idx="0">
                  <c:v>0.10640539401601355</c:v>
                </c:pt>
                <c:pt idx="1">
                  <c:v>0.30917681193239277</c:v>
                </c:pt>
                <c:pt idx="2">
                  <c:v>0.21378943127410799</c:v>
                </c:pt>
                <c:pt idx="3">
                  <c:v>0.30013510613145578</c:v>
                </c:pt>
                <c:pt idx="4">
                  <c:v>0.25654017143129182</c:v>
                </c:pt>
                <c:pt idx="5">
                  <c:v>0.1446073455999014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0-4530-B2C4-602A985988DC}"/>
            </c:ext>
          </c:extLst>
        </c:ser>
        <c:ser>
          <c:idx val="2"/>
          <c:order val="2"/>
          <c:tx>
            <c:strRef>
              <c:f>Dinamicas!$D$30:$D$31</c:f>
              <c:strCache>
                <c:ptCount val="1"/>
                <c:pt idx="0">
                  <c:v>Valle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Dinamicas!$A$32:$A$38</c:f>
              <c:strCache>
                <c:ptCount val="6"/>
                <c:pt idx="0">
                  <c:v>Campus Norte</c:v>
                </c:pt>
                <c:pt idx="1">
                  <c:v>Centro Comercial Delta</c:v>
                </c:pt>
                <c:pt idx="2">
                  <c:v>Hospital Sur</c:v>
                </c:pt>
                <c:pt idx="3">
                  <c:v>Planta Logistica R2</c:v>
                </c:pt>
                <c:pt idx="4">
                  <c:v>Residencial Mirador</c:v>
                </c:pt>
                <c:pt idx="5">
                  <c:v>Torre Atlantida</c:v>
                </c:pt>
              </c:strCache>
            </c:strRef>
          </c:cat>
          <c:val>
            <c:numRef>
              <c:f>Dinamicas!$D$32:$D$38</c:f>
              <c:numCache>
                <c:formatCode>0.0%</c:formatCode>
                <c:ptCount val="6"/>
                <c:pt idx="0">
                  <c:v>0.21427393151019136</c:v>
                </c:pt>
                <c:pt idx="1">
                  <c:v>0.3754409597195289</c:v>
                </c:pt>
                <c:pt idx="2">
                  <c:v>0.43699579374727959</c:v>
                </c:pt>
                <c:pt idx="3">
                  <c:v>0.32285727907674178</c:v>
                </c:pt>
                <c:pt idx="4">
                  <c:v>0.61485336970311455</c:v>
                </c:pt>
                <c:pt idx="5">
                  <c:v>0.20600078168316369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00-4530-B2C4-602A98598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5590479"/>
        <c:axId val="1405588559"/>
      </c:barChart>
      <c:catAx>
        <c:axId val="140559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5588559"/>
        <c:crosses val="autoZero"/>
        <c:auto val="1"/>
        <c:lblAlgn val="ctr"/>
        <c:lblOffset val="100"/>
        <c:noMultiLvlLbl val="0"/>
      </c:catAx>
      <c:valAx>
        <c:axId val="14055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559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Reparto de horas por modo de climatización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0744115413819286E-2"/>
              <c:y val="-5.31400764045508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781321184510256E-2"/>
              <c:y val="3.38164122574414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5466850812213387E-2"/>
                  <c:h val="7.2391467004653279E-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004555808656038E-2"/>
              <c:y val="4.830916036777345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372057706909645E-3"/>
              <c:y val="-7.2463740551660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Dinamicas!$B$70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3A-4F86-A682-C53C95CC59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3A-4F86-A682-C53C95CC59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3A-4F86-A682-C53C95CC59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3A-4F86-A682-C53C95CC59FC}"/>
              </c:ext>
            </c:extLst>
          </c:dPt>
          <c:dLbls>
            <c:dLbl>
              <c:idx val="0"/>
              <c:layout>
                <c:manualLayout>
                  <c:x val="6.0744115413819286E-2"/>
                  <c:y val="-5.31400764045508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3A-4F86-A682-C53C95CC59FC}"/>
                </c:ext>
              </c:extLst>
            </c:dLbl>
            <c:dLbl>
              <c:idx val="1"/>
              <c:layout>
                <c:manualLayout>
                  <c:x val="-6.3781321184510256E-2"/>
                  <c:y val="3.38164122574414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466850812213387E-2"/>
                      <c:h val="7.23914670046532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F3A-4F86-A682-C53C95CC59FC}"/>
                </c:ext>
              </c:extLst>
            </c:dLbl>
            <c:dLbl>
              <c:idx val="2"/>
              <c:layout>
                <c:manualLayout>
                  <c:x val="-8.2004555808656038E-2"/>
                  <c:y val="4.830916036777345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3A-4F86-A682-C53C95CC59FC}"/>
                </c:ext>
              </c:extLst>
            </c:dLbl>
            <c:dLbl>
              <c:idx val="3"/>
              <c:layout>
                <c:manualLayout>
                  <c:x val="-3.0372057706909645E-3"/>
                  <c:y val="-7.24637405516601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3A-4F86-A682-C53C95CC5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Dinamicas!$A$71:$A$75</c:f>
              <c:strCache>
                <c:ptCount val="4"/>
                <c:pt idx="0">
                  <c:v>Apagado</c:v>
                </c:pt>
                <c:pt idx="1">
                  <c:v>Calefaccion</c:v>
                </c:pt>
                <c:pt idx="2">
                  <c:v>Refrigeracion</c:v>
                </c:pt>
                <c:pt idx="3">
                  <c:v>Ventilacion</c:v>
                </c:pt>
              </c:strCache>
            </c:strRef>
          </c:cat>
          <c:val>
            <c:numRef>
              <c:f>Dinamicas!$B$71:$B$75</c:f>
              <c:numCache>
                <c:formatCode>0</c:formatCode>
                <c:ptCount val="4"/>
                <c:pt idx="0">
                  <c:v>1005</c:v>
                </c:pt>
                <c:pt idx="1">
                  <c:v>669</c:v>
                </c:pt>
                <c:pt idx="2">
                  <c:v>348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3A-4F86-A682-C53C95CC59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 Laborable frente a Fin de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Dinamicas!$B$95:$B$96</c:f>
              <c:strCache>
                <c:ptCount val="1"/>
                <c:pt idx="0">
                  <c:v>Fin de semana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Dinamicas!$A$97:$A$102</c:f>
              <c:strCache>
                <c:ptCount val="6"/>
                <c:pt idx="0">
                  <c:v>Comercial</c:v>
                </c:pt>
                <c:pt idx="1">
                  <c:v>Educativo</c:v>
                </c:pt>
                <c:pt idx="2">
                  <c:v>Industrial</c:v>
                </c:pt>
                <c:pt idx="3">
                  <c:v>Oficinas</c:v>
                </c:pt>
                <c:pt idx="4">
                  <c:v>Residencial</c:v>
                </c:pt>
                <c:pt idx="5">
                  <c:v>Sanitario</c:v>
                </c:pt>
              </c:strCache>
            </c:strRef>
          </c:cat>
          <c:val>
            <c:numRef>
              <c:f>Dinamicas!$B$97:$B$102</c:f>
              <c:numCache>
                <c:formatCode>0.0</c:formatCode>
                <c:ptCount val="6"/>
                <c:pt idx="0">
                  <c:v>167.94920792079202</c:v>
                </c:pt>
                <c:pt idx="1">
                  <c:v>12.723725490196083</c:v>
                </c:pt>
                <c:pt idx="2">
                  <c:v>110.51676470588237</c:v>
                </c:pt>
                <c:pt idx="3">
                  <c:v>21.664951456310671</c:v>
                </c:pt>
                <c:pt idx="4">
                  <c:v>71.042621359223318</c:v>
                </c:pt>
                <c:pt idx="5">
                  <c:v>233.44427184466014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0-423C-BDA9-A435E5EC559A}"/>
            </c:ext>
          </c:extLst>
        </c:ser>
        <c:ser>
          <c:idx val="1"/>
          <c:order val="1"/>
          <c:tx>
            <c:strRef>
              <c:f>Dinamicas!$C$95:$C$96</c:f>
              <c:strCache>
                <c:ptCount val="1"/>
                <c:pt idx="0">
                  <c:v>Laborable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Dinamicas!$A$97:$A$102</c:f>
              <c:strCache>
                <c:ptCount val="6"/>
                <c:pt idx="0">
                  <c:v>Comercial</c:v>
                </c:pt>
                <c:pt idx="1">
                  <c:v>Educativo</c:v>
                </c:pt>
                <c:pt idx="2">
                  <c:v>Industrial</c:v>
                </c:pt>
                <c:pt idx="3">
                  <c:v>Oficinas</c:v>
                </c:pt>
                <c:pt idx="4">
                  <c:v>Residencial</c:v>
                </c:pt>
                <c:pt idx="5">
                  <c:v>Sanitario</c:v>
                </c:pt>
              </c:strCache>
            </c:strRef>
          </c:cat>
          <c:val>
            <c:numRef>
              <c:f>Dinamicas!$C$97:$C$102</c:f>
              <c:numCache>
                <c:formatCode>0.0</c:formatCode>
                <c:ptCount val="6"/>
                <c:pt idx="0">
                  <c:v>152.4698091603054</c:v>
                </c:pt>
                <c:pt idx="1">
                  <c:v>50.306590038314127</c:v>
                </c:pt>
                <c:pt idx="2">
                  <c:v>193.01030769230766</c:v>
                </c:pt>
                <c:pt idx="3">
                  <c:v>67.068435114503814</c:v>
                </c:pt>
                <c:pt idx="4">
                  <c:v>63.713524904214573</c:v>
                </c:pt>
                <c:pt idx="5">
                  <c:v>233.73206106870228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0-423C-BDA9-A435E5EC55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5926576"/>
        <c:axId val="515910736"/>
      </c:barChart>
      <c:catAx>
        <c:axId val="5159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910736"/>
        <c:crosses val="autoZero"/>
        <c:auto val="1"/>
        <c:lblAlgn val="ctr"/>
        <c:lblOffset val="100"/>
        <c:noMultiLvlLbl val="0"/>
      </c:catAx>
      <c:valAx>
        <c:axId val="51591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9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[Analisis_Energetico_2025.xlsx]Dinamicas!TablaDinámica14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Porcentaje</a:t>
            </a:r>
            <a:r>
              <a:rPr lang="es-ES" baseline="0"/>
              <a:t> de horas con Clima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Dinamicas!$B$105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Dinamicas!$A$106:$A$111</c:f>
              <c:strCache>
                <c:ptCount val="6"/>
                <c:pt idx="0">
                  <c:v>Comercial</c:v>
                </c:pt>
                <c:pt idx="1">
                  <c:v>Educativo</c:v>
                </c:pt>
                <c:pt idx="2">
                  <c:v>Industrial</c:v>
                </c:pt>
                <c:pt idx="3">
                  <c:v>Oficinas</c:v>
                </c:pt>
                <c:pt idx="4">
                  <c:v>Residencial</c:v>
                </c:pt>
                <c:pt idx="5">
                  <c:v>Sanitario</c:v>
                </c:pt>
              </c:strCache>
            </c:strRef>
          </c:cat>
          <c:val>
            <c:numRef>
              <c:f>Dinamicas!$B$106:$B$111</c:f>
              <c:numCache>
                <c:formatCode>0.0%</c:formatCode>
                <c:ptCount val="6"/>
                <c:pt idx="0">
                  <c:v>0.42119565217391303</c:v>
                </c:pt>
                <c:pt idx="1">
                  <c:v>0.38858695652173914</c:v>
                </c:pt>
                <c:pt idx="2">
                  <c:v>0.70108695652173914</c:v>
                </c:pt>
                <c:pt idx="3">
                  <c:v>0.3858695652173913</c:v>
                </c:pt>
                <c:pt idx="4">
                  <c:v>0.64130434782608692</c:v>
                </c:pt>
                <c:pt idx="5">
                  <c:v>0.73097826086956519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B-497F-B846-A64C3B164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984656"/>
        <c:axId val="515968336"/>
      </c:barChart>
      <c:catAx>
        <c:axId val="5159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968336"/>
        <c:crosses val="autoZero"/>
        <c:auto val="1"/>
        <c:lblAlgn val="ctr"/>
        <c:lblOffset val="100"/>
        <c:noMultiLvlLbl val="0"/>
      </c:catAx>
      <c:valAx>
        <c:axId val="5159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59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19</xdr:col>
      <xdr:colOff>647700</xdr:colOff>
      <xdr:row>58</xdr:row>
      <xdr:rowOff>104775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C99A770-0323-7F27-08E1-0FC83AAED215}"/>
            </a:ext>
          </a:extLst>
        </xdr:cNvPr>
        <xdr:cNvSpPr/>
      </xdr:nvSpPr>
      <xdr:spPr>
        <a:xfrm>
          <a:off x="19050" y="0"/>
          <a:ext cx="16182975" cy="1115377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161925</xdr:colOff>
      <xdr:row>6</xdr:row>
      <xdr:rowOff>142875</xdr:rowOff>
    </xdr:from>
    <xdr:to>
      <xdr:col>4</xdr:col>
      <xdr:colOff>200025</xdr:colOff>
      <xdr:row>11</xdr:row>
      <xdr:rowOff>152320</xdr:rowOff>
    </xdr:to>
    <xdr:sp macro="" textlink="Dinamicas!I5">
      <xdr:nvSpPr>
        <xdr:cNvPr id="18" name="Rectángulo redondeado 4">
          <a:extLst>
            <a:ext uri="{FF2B5EF4-FFF2-40B4-BE49-F238E27FC236}">
              <a16:creationId xmlns:a16="http://schemas.microsoft.com/office/drawing/2014/main" id="{47E8B4CC-56AF-46EA-A007-26FF6048989D}"/>
            </a:ext>
          </a:extLst>
        </xdr:cNvPr>
        <xdr:cNvSpPr/>
      </xdr:nvSpPr>
      <xdr:spPr>
        <a:xfrm>
          <a:off x="2143125" y="1285875"/>
          <a:ext cx="2181225" cy="96194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77E0C2-07BE-4B2D-939A-F70A19392755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2208</a:t>
          </a:fld>
          <a:endParaRPr lang="es-ES_tradnl" sz="5400" b="0" i="0" u="none" strike="noStrike">
            <a:solidFill>
              <a:srgbClr val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128443</xdr:colOff>
      <xdr:row>6</xdr:row>
      <xdr:rowOff>135659</xdr:rowOff>
    </xdr:from>
    <xdr:to>
      <xdr:col>3</xdr:col>
      <xdr:colOff>728518</xdr:colOff>
      <xdr:row>8</xdr:row>
      <xdr:rowOff>18184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D5FA53C-73C2-4E64-BCF3-5BADE141399D}"/>
            </a:ext>
          </a:extLst>
        </xdr:cNvPr>
        <xdr:cNvSpPr txBox="1"/>
      </xdr:nvSpPr>
      <xdr:spPr>
        <a:xfrm>
          <a:off x="2109643" y="1278659"/>
          <a:ext cx="19812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Cantidad Total de Productos</a:t>
          </a:r>
        </a:p>
      </xdr:txBody>
    </xdr:sp>
    <xdr:clientData/>
  </xdr:twoCellAnchor>
  <xdr:twoCellAnchor>
    <xdr:from>
      <xdr:col>7</xdr:col>
      <xdr:colOff>533400</xdr:colOff>
      <xdr:row>6</xdr:row>
      <xdr:rowOff>142875</xdr:rowOff>
    </xdr:from>
    <xdr:to>
      <xdr:col>10</xdr:col>
      <xdr:colOff>409575</xdr:colOff>
      <xdr:row>11</xdr:row>
      <xdr:rowOff>152320</xdr:rowOff>
    </xdr:to>
    <xdr:sp macro="" textlink="Dinamicas!K5">
      <xdr:nvSpPr>
        <xdr:cNvPr id="23" name="Rectángulo redondeado 4">
          <a:extLst>
            <a:ext uri="{FF2B5EF4-FFF2-40B4-BE49-F238E27FC236}">
              <a16:creationId xmlns:a16="http://schemas.microsoft.com/office/drawing/2014/main" id="{3DDF0A1B-8DA4-4FB0-A02B-456FE718B737}"/>
            </a:ext>
          </a:extLst>
        </xdr:cNvPr>
        <xdr:cNvSpPr/>
      </xdr:nvSpPr>
      <xdr:spPr>
        <a:xfrm>
          <a:off x="6943725" y="1285875"/>
          <a:ext cx="2162175" cy="96194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7DC60A7-ECB0-4EA5-98DC-A97B16E09D04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7.1</a:t>
          </a:fld>
          <a:endParaRPr lang="es-ES_tradnl" sz="13800" b="0" i="0" u="none" strike="noStrike">
            <a:solidFill>
              <a:srgbClr val="000000"/>
            </a:solidFill>
            <a:latin typeface="+mn-lt"/>
          </a:endParaRPr>
        </a:p>
      </xdr:txBody>
    </xdr:sp>
    <xdr:clientData/>
  </xdr:twoCellAnchor>
  <xdr:twoCellAnchor>
    <xdr:from>
      <xdr:col>7</xdr:col>
      <xdr:colOff>528493</xdr:colOff>
      <xdr:row>6</xdr:row>
      <xdr:rowOff>154709</xdr:rowOff>
    </xdr:from>
    <xdr:to>
      <xdr:col>10</xdr:col>
      <xdr:colOff>226359</xdr:colOff>
      <xdr:row>8</xdr:row>
      <xdr:rowOff>37234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F37DB6FC-1487-4FF1-8C5D-EB707052A9E9}"/>
            </a:ext>
          </a:extLst>
        </xdr:cNvPr>
        <xdr:cNvSpPr txBox="1"/>
      </xdr:nvSpPr>
      <xdr:spPr>
        <a:xfrm>
          <a:off x="6938818" y="1297709"/>
          <a:ext cx="1983866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Intensidad</a:t>
          </a:r>
        </a:p>
        <a:p>
          <a:endParaRPr lang="es-ES_tradnl" sz="11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10</xdr:col>
      <xdr:colOff>571500</xdr:colOff>
      <xdr:row>6</xdr:row>
      <xdr:rowOff>133350</xdr:rowOff>
    </xdr:from>
    <xdr:to>
      <xdr:col>13</xdr:col>
      <xdr:colOff>447675</xdr:colOff>
      <xdr:row>11</xdr:row>
      <xdr:rowOff>142795</xdr:rowOff>
    </xdr:to>
    <xdr:sp macro="" textlink="Dinamicas!I8">
      <xdr:nvSpPr>
        <xdr:cNvPr id="25" name="Rectángulo redondeado 4">
          <a:extLst>
            <a:ext uri="{FF2B5EF4-FFF2-40B4-BE49-F238E27FC236}">
              <a16:creationId xmlns:a16="http://schemas.microsoft.com/office/drawing/2014/main" id="{8B24C911-C2E3-4611-B80C-94833074BB97}"/>
            </a:ext>
          </a:extLst>
        </xdr:cNvPr>
        <xdr:cNvSpPr/>
      </xdr:nvSpPr>
      <xdr:spPr>
        <a:xfrm>
          <a:off x="9267825" y="1276350"/>
          <a:ext cx="2162175" cy="96194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72B510F-21B0-4234-8A34-5625C9BCAAE3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22%</a:t>
          </a:fld>
          <a:endParaRPr lang="en-U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566593</xdr:colOff>
      <xdr:row>6</xdr:row>
      <xdr:rowOff>145184</xdr:rowOff>
    </xdr:from>
    <xdr:to>
      <xdr:col>13</xdr:col>
      <xdr:colOff>264459</xdr:colOff>
      <xdr:row>8</xdr:row>
      <xdr:rowOff>27709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FB16BF9B-E823-4062-9AC7-40D6F8AEEB84}"/>
            </a:ext>
          </a:extLst>
        </xdr:cNvPr>
        <xdr:cNvSpPr txBox="1"/>
      </xdr:nvSpPr>
      <xdr:spPr>
        <a:xfrm>
          <a:off x="9262918" y="1288184"/>
          <a:ext cx="1983866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Cobertura</a:t>
          </a:r>
          <a:r>
            <a:rPr lang="es-ES_tradnl" sz="1100" b="0" baseline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 Solar</a:t>
          </a:r>
        </a:p>
        <a:p>
          <a:endParaRPr lang="es-ES_tradnl" sz="11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13</xdr:col>
      <xdr:colOff>619125</xdr:colOff>
      <xdr:row>6</xdr:row>
      <xdr:rowOff>123825</xdr:rowOff>
    </xdr:from>
    <xdr:to>
      <xdr:col>16</xdr:col>
      <xdr:colOff>495300</xdr:colOff>
      <xdr:row>11</xdr:row>
      <xdr:rowOff>133270</xdr:rowOff>
    </xdr:to>
    <xdr:sp macro="" textlink="Dinamicas!J8">
      <xdr:nvSpPr>
        <xdr:cNvPr id="27" name="Rectángulo redondeado 4">
          <a:extLst>
            <a:ext uri="{FF2B5EF4-FFF2-40B4-BE49-F238E27FC236}">
              <a16:creationId xmlns:a16="http://schemas.microsoft.com/office/drawing/2014/main" id="{E74960EA-54A5-4717-9878-E1766DCBFBEB}"/>
            </a:ext>
          </a:extLst>
        </xdr:cNvPr>
        <xdr:cNvSpPr/>
      </xdr:nvSpPr>
      <xdr:spPr>
        <a:xfrm>
          <a:off x="11601450" y="1266825"/>
          <a:ext cx="2162175" cy="96194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E519ADC-0B00-4278-A605-02E434B4FE21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25%</a:t>
          </a:fld>
          <a:endParaRPr lang="es-ES_tradnl" sz="13800" b="0" i="0" u="none" strike="noStrike">
            <a:solidFill>
              <a:srgbClr val="000000"/>
            </a:solidFill>
            <a:latin typeface="+mn-lt"/>
          </a:endParaRPr>
        </a:p>
      </xdr:txBody>
    </xdr:sp>
    <xdr:clientData/>
  </xdr:twoCellAnchor>
  <xdr:twoCellAnchor>
    <xdr:from>
      <xdr:col>13</xdr:col>
      <xdr:colOff>614218</xdr:colOff>
      <xdr:row>6</xdr:row>
      <xdr:rowOff>135659</xdr:rowOff>
    </xdr:from>
    <xdr:to>
      <xdr:col>16</xdr:col>
      <xdr:colOff>312084</xdr:colOff>
      <xdr:row>8</xdr:row>
      <xdr:rowOff>18184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C3F9F643-BA15-4E53-B97E-FCE5E4DEFA26}"/>
            </a:ext>
          </a:extLst>
        </xdr:cNvPr>
        <xdr:cNvSpPr txBox="1"/>
      </xdr:nvSpPr>
      <xdr:spPr>
        <a:xfrm>
          <a:off x="11596543" y="1278659"/>
          <a:ext cx="1983866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Cantidad Total de Productos</a:t>
          </a:r>
        </a:p>
      </xdr:txBody>
    </xdr:sp>
    <xdr:clientData/>
  </xdr:twoCellAnchor>
  <xdr:twoCellAnchor>
    <xdr:from>
      <xdr:col>16</xdr:col>
      <xdr:colOff>657225</xdr:colOff>
      <xdr:row>6</xdr:row>
      <xdr:rowOff>123825</xdr:rowOff>
    </xdr:from>
    <xdr:to>
      <xdr:col>19</xdr:col>
      <xdr:colOff>533400</xdr:colOff>
      <xdr:row>11</xdr:row>
      <xdr:rowOff>133270</xdr:rowOff>
    </xdr:to>
    <xdr:sp macro="" textlink="Dinamicas!K8">
      <xdr:nvSpPr>
        <xdr:cNvPr id="29" name="Rectángulo redondeado 4">
          <a:extLst>
            <a:ext uri="{FF2B5EF4-FFF2-40B4-BE49-F238E27FC236}">
              <a16:creationId xmlns:a16="http://schemas.microsoft.com/office/drawing/2014/main" id="{3FFB6D6D-F777-4A7D-ADC4-739FEBD964E9}"/>
            </a:ext>
          </a:extLst>
        </xdr:cNvPr>
        <xdr:cNvSpPr/>
      </xdr:nvSpPr>
      <xdr:spPr>
        <a:xfrm>
          <a:off x="13925550" y="1266825"/>
          <a:ext cx="2162175" cy="96194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677AED-4203-4D81-AE5A-B4B569CD8BC1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14.48</a:t>
          </a:fld>
          <a:endParaRPr lang="es-ES_tradnl" sz="13800" b="0" i="0" u="none" strike="noStrike">
            <a:solidFill>
              <a:srgbClr val="000000"/>
            </a:solidFill>
            <a:latin typeface="+mn-lt"/>
          </a:endParaRPr>
        </a:p>
      </xdr:txBody>
    </xdr:sp>
    <xdr:clientData/>
  </xdr:twoCellAnchor>
  <xdr:twoCellAnchor>
    <xdr:from>
      <xdr:col>16</xdr:col>
      <xdr:colOff>652318</xdr:colOff>
      <xdr:row>6</xdr:row>
      <xdr:rowOff>135659</xdr:rowOff>
    </xdr:from>
    <xdr:to>
      <xdr:col>19</xdr:col>
      <xdr:colOff>350184</xdr:colOff>
      <xdr:row>8</xdr:row>
      <xdr:rowOff>18184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0788C354-C68B-418A-9DDC-4DB7D2EC68B0}"/>
            </a:ext>
          </a:extLst>
        </xdr:cNvPr>
        <xdr:cNvSpPr txBox="1"/>
      </xdr:nvSpPr>
      <xdr:spPr>
        <a:xfrm>
          <a:off x="13920643" y="1278659"/>
          <a:ext cx="1983866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Cantidad Total de Productos</a:t>
          </a:r>
        </a:p>
      </xdr:txBody>
    </xdr:sp>
    <xdr:clientData/>
  </xdr:twoCellAnchor>
  <xdr:twoCellAnchor>
    <xdr:from>
      <xdr:col>4</xdr:col>
      <xdr:colOff>390525</xdr:colOff>
      <xdr:row>6</xdr:row>
      <xdr:rowOff>123825</xdr:rowOff>
    </xdr:from>
    <xdr:to>
      <xdr:col>7</xdr:col>
      <xdr:colOff>285750</xdr:colOff>
      <xdr:row>11</xdr:row>
      <xdr:rowOff>133270</xdr:rowOff>
    </xdr:to>
    <xdr:sp macro="" textlink="Dinamicas!J5">
      <xdr:nvSpPr>
        <xdr:cNvPr id="31" name="Rectángulo redondeado 4">
          <a:extLst>
            <a:ext uri="{FF2B5EF4-FFF2-40B4-BE49-F238E27FC236}">
              <a16:creationId xmlns:a16="http://schemas.microsoft.com/office/drawing/2014/main" id="{FDE5938B-20B4-40D8-BA35-AF64284BF1C7}"/>
            </a:ext>
          </a:extLst>
        </xdr:cNvPr>
        <xdr:cNvSpPr/>
      </xdr:nvSpPr>
      <xdr:spPr>
        <a:xfrm>
          <a:off x="4514850" y="1266825"/>
          <a:ext cx="2181225" cy="96194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068FAFB-EF45-4D48-8B30-713D9FDC34BD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120.0</a:t>
          </a:fld>
          <a:endParaRPr lang="es-ES_tradnl" sz="16600" b="0" i="0" u="none" strike="noStrike">
            <a:solidFill>
              <a:srgbClr val="000000"/>
            </a:solidFill>
            <a:latin typeface="+mn-lt"/>
          </a:endParaRPr>
        </a:p>
      </xdr:txBody>
    </xdr:sp>
    <xdr:clientData/>
  </xdr:twoCellAnchor>
  <xdr:twoCellAnchor>
    <xdr:from>
      <xdr:col>4</xdr:col>
      <xdr:colOff>376093</xdr:colOff>
      <xdr:row>6</xdr:row>
      <xdr:rowOff>126134</xdr:rowOff>
    </xdr:from>
    <xdr:to>
      <xdr:col>7</xdr:col>
      <xdr:colOff>71293</xdr:colOff>
      <xdr:row>8</xdr:row>
      <xdr:rowOff>8659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9894A9E4-2839-41D1-8808-AE6A1D961FCF}"/>
            </a:ext>
          </a:extLst>
        </xdr:cNvPr>
        <xdr:cNvSpPr txBox="1"/>
      </xdr:nvSpPr>
      <xdr:spPr>
        <a:xfrm>
          <a:off x="4500418" y="1269134"/>
          <a:ext cx="19812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Consumo</a:t>
          </a:r>
          <a:r>
            <a:rPr lang="es-ES_tradnl" sz="1100" b="0" baseline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 Medio</a:t>
          </a:r>
          <a:endParaRPr lang="es-ES_tradnl" sz="11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6</xdr:col>
      <xdr:colOff>452293</xdr:colOff>
      <xdr:row>8</xdr:row>
      <xdr:rowOff>88034</xdr:rowOff>
    </xdr:from>
    <xdr:to>
      <xdr:col>7</xdr:col>
      <xdr:colOff>304800</xdr:colOff>
      <xdr:row>9</xdr:row>
      <xdr:rowOff>161059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A276EFF1-9162-40CB-BD01-BFECAB98F497}"/>
            </a:ext>
          </a:extLst>
        </xdr:cNvPr>
        <xdr:cNvSpPr txBox="1"/>
      </xdr:nvSpPr>
      <xdr:spPr>
        <a:xfrm>
          <a:off x="6100618" y="1612034"/>
          <a:ext cx="614507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200" b="1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KW/h</a:t>
          </a:r>
        </a:p>
      </xdr:txBody>
    </xdr:sp>
    <xdr:clientData/>
  </xdr:twoCellAnchor>
  <xdr:twoCellAnchor>
    <xdr:from>
      <xdr:col>9</xdr:col>
      <xdr:colOff>400050</xdr:colOff>
      <xdr:row>8</xdr:row>
      <xdr:rowOff>107084</xdr:rowOff>
    </xdr:from>
    <xdr:to>
      <xdr:col>10</xdr:col>
      <xdr:colOff>352425</xdr:colOff>
      <xdr:row>10</xdr:row>
      <xdr:rowOff>123825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C1707883-C307-40E8-9BE7-C33872B5C619}"/>
            </a:ext>
          </a:extLst>
        </xdr:cNvPr>
        <xdr:cNvSpPr txBox="1"/>
      </xdr:nvSpPr>
      <xdr:spPr>
        <a:xfrm>
          <a:off x="8334375" y="1631084"/>
          <a:ext cx="714375" cy="397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200" b="1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Wh/m2</a:t>
          </a:r>
        </a:p>
      </xdr:txBody>
    </xdr:sp>
    <xdr:clientData/>
  </xdr:twoCellAnchor>
  <xdr:twoCellAnchor>
    <xdr:from>
      <xdr:col>18</xdr:col>
      <xdr:colOff>685800</xdr:colOff>
      <xdr:row>7</xdr:row>
      <xdr:rowOff>154709</xdr:rowOff>
    </xdr:from>
    <xdr:to>
      <xdr:col>19</xdr:col>
      <xdr:colOff>638175</xdr:colOff>
      <xdr:row>9</xdr:row>
      <xdr:rowOff>171450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2DDAD7D-670A-4E8B-83DA-048C3CB025A6}"/>
            </a:ext>
          </a:extLst>
        </xdr:cNvPr>
        <xdr:cNvSpPr txBox="1"/>
      </xdr:nvSpPr>
      <xdr:spPr>
        <a:xfrm>
          <a:off x="15478125" y="1488209"/>
          <a:ext cx="714375" cy="397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1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€</a:t>
          </a:r>
        </a:p>
      </xdr:txBody>
    </xdr:sp>
    <xdr:clientData/>
  </xdr:twoCellAnchor>
  <xdr:oneCellAnchor>
    <xdr:from>
      <xdr:col>0</xdr:col>
      <xdr:colOff>208904</xdr:colOff>
      <xdr:row>0</xdr:row>
      <xdr:rowOff>159835</xdr:rowOff>
    </xdr:from>
    <xdr:ext cx="8040406" cy="937629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DDEE3AB-33DE-9B3A-C162-F788AE1FF903}"/>
            </a:ext>
          </a:extLst>
        </xdr:cNvPr>
        <xdr:cNvSpPr/>
      </xdr:nvSpPr>
      <xdr:spPr>
        <a:xfrm>
          <a:off x="208904" y="159835"/>
          <a:ext cx="804040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ANALISIS ENEGÉRTICO 2025</a:t>
          </a:r>
        </a:p>
      </xdr:txBody>
    </xdr:sp>
    <xdr:clientData/>
  </xdr:oneCellAnchor>
  <xdr:twoCellAnchor>
    <xdr:from>
      <xdr:col>7</xdr:col>
      <xdr:colOff>628650</xdr:colOff>
      <xdr:row>39</xdr:row>
      <xdr:rowOff>28575</xdr:rowOff>
    </xdr:from>
    <xdr:to>
      <xdr:col>13</xdr:col>
      <xdr:colOff>638969</xdr:colOff>
      <xdr:row>56</xdr:row>
      <xdr:rowOff>114300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D006CE5E-F056-B0F2-FF9F-4C5EFB31D32F}"/>
            </a:ext>
          </a:extLst>
        </xdr:cNvPr>
        <xdr:cNvSpPr/>
      </xdr:nvSpPr>
      <xdr:spPr>
        <a:xfrm>
          <a:off x="7038975" y="7458075"/>
          <a:ext cx="4582319" cy="33242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142875</xdr:colOff>
      <xdr:row>40</xdr:row>
      <xdr:rowOff>38100</xdr:rowOff>
    </xdr:from>
    <xdr:to>
      <xdr:col>13</xdr:col>
      <xdr:colOff>714375</xdr:colOff>
      <xdr:row>54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FCF0E76-DCD4-409F-95C3-1AAA7777E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45</xdr:row>
      <xdr:rowOff>171451</xdr:rowOff>
    </xdr:from>
    <xdr:to>
      <xdr:col>7</xdr:col>
      <xdr:colOff>539704</xdr:colOff>
      <xdr:row>56</xdr:row>
      <xdr:rowOff>57150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A622E9F3-CC66-4E7E-A711-7C619D46D2D8}"/>
            </a:ext>
          </a:extLst>
        </xdr:cNvPr>
        <xdr:cNvSpPr/>
      </xdr:nvSpPr>
      <xdr:spPr>
        <a:xfrm>
          <a:off x="114300" y="8743951"/>
          <a:ext cx="6835729" cy="19811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142875</xdr:colOff>
      <xdr:row>12</xdr:row>
      <xdr:rowOff>171451</xdr:rowOff>
    </xdr:from>
    <xdr:to>
      <xdr:col>7</xdr:col>
      <xdr:colOff>495300</xdr:colOff>
      <xdr:row>22</xdr:row>
      <xdr:rowOff>142875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8D1443EA-65F0-466B-8833-BFD906F0C846}"/>
            </a:ext>
          </a:extLst>
        </xdr:cNvPr>
        <xdr:cNvSpPr/>
      </xdr:nvSpPr>
      <xdr:spPr>
        <a:xfrm>
          <a:off x="2124075" y="2457451"/>
          <a:ext cx="4781550" cy="1876424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114300</xdr:colOff>
      <xdr:row>23</xdr:row>
      <xdr:rowOff>123826</xdr:rowOff>
    </xdr:from>
    <xdr:to>
      <xdr:col>7</xdr:col>
      <xdr:colOff>466725</xdr:colOff>
      <xdr:row>33</xdr:row>
      <xdr:rowOff>104775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6FA18CD4-11CB-40F7-8476-CB3E54833B18}"/>
            </a:ext>
          </a:extLst>
        </xdr:cNvPr>
        <xdr:cNvSpPr/>
      </xdr:nvSpPr>
      <xdr:spPr>
        <a:xfrm>
          <a:off x="2095500" y="4505326"/>
          <a:ext cx="4781550" cy="188594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85725</xdr:colOff>
      <xdr:row>34</xdr:row>
      <xdr:rowOff>114301</xdr:rowOff>
    </xdr:from>
    <xdr:to>
      <xdr:col>7</xdr:col>
      <xdr:colOff>438150</xdr:colOff>
      <xdr:row>44</xdr:row>
      <xdr:rowOff>95250</xdr:rowOff>
    </xdr:to>
    <xdr:sp macro="" textlink="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8B6F95BD-EA44-4FF3-8F64-996951F0E2A8}"/>
            </a:ext>
          </a:extLst>
        </xdr:cNvPr>
        <xdr:cNvSpPr/>
      </xdr:nvSpPr>
      <xdr:spPr>
        <a:xfrm>
          <a:off x="2066925" y="6591301"/>
          <a:ext cx="4781550" cy="188594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219076</xdr:colOff>
      <xdr:row>47</xdr:row>
      <xdr:rowOff>95250</xdr:rowOff>
    </xdr:from>
    <xdr:to>
      <xdr:col>7</xdr:col>
      <xdr:colOff>457200</xdr:colOff>
      <xdr:row>55</xdr:row>
      <xdr:rowOff>123825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2FDADE6-7EB5-2A31-C642-04EAD12F8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9048750"/>
          <a:ext cx="6648449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219075</xdr:colOff>
      <xdr:row>12</xdr:row>
      <xdr:rowOff>85725</xdr:rowOff>
    </xdr:from>
    <xdr:to>
      <xdr:col>7</xdr:col>
      <xdr:colOff>561975</xdr:colOff>
      <xdr:row>23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3F47EC-B5B9-47CF-9797-8C3F9C033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219076</xdr:colOff>
      <xdr:row>23</xdr:row>
      <xdr:rowOff>57150</xdr:rowOff>
    </xdr:from>
    <xdr:to>
      <xdr:col>7</xdr:col>
      <xdr:colOff>561975</xdr:colOff>
      <xdr:row>33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37905B5-81AA-4F10-814F-F56CA16A8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180976</xdr:colOff>
      <xdr:row>34</xdr:row>
      <xdr:rowOff>133350</xdr:rowOff>
    </xdr:from>
    <xdr:to>
      <xdr:col>7</xdr:col>
      <xdr:colOff>361950</xdr:colOff>
      <xdr:row>44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46BAF1-4F17-4BCC-885D-979D26101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590550</xdr:colOff>
      <xdr:row>12</xdr:row>
      <xdr:rowOff>152401</xdr:rowOff>
    </xdr:from>
    <xdr:to>
      <xdr:col>13</xdr:col>
      <xdr:colOff>666750</xdr:colOff>
      <xdr:row>22</xdr:row>
      <xdr:rowOff>133350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4F4917C9-8436-465E-832C-CD73EC5A6488}"/>
            </a:ext>
          </a:extLst>
        </xdr:cNvPr>
        <xdr:cNvSpPr/>
      </xdr:nvSpPr>
      <xdr:spPr>
        <a:xfrm>
          <a:off x="7000875" y="2438401"/>
          <a:ext cx="4648200" cy="188594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590550</xdr:colOff>
      <xdr:row>23</xdr:row>
      <xdr:rowOff>95250</xdr:rowOff>
    </xdr:from>
    <xdr:to>
      <xdr:col>13</xdr:col>
      <xdr:colOff>666750</xdr:colOff>
      <xdr:row>37</xdr:row>
      <xdr:rowOff>190499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BD3FB19D-322D-4059-B7AA-040C5C7AA857}"/>
            </a:ext>
          </a:extLst>
        </xdr:cNvPr>
        <xdr:cNvSpPr/>
      </xdr:nvSpPr>
      <xdr:spPr>
        <a:xfrm>
          <a:off x="7000875" y="4476750"/>
          <a:ext cx="4648200" cy="276224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695325</xdr:colOff>
      <xdr:row>12</xdr:row>
      <xdr:rowOff>133350</xdr:rowOff>
    </xdr:from>
    <xdr:to>
      <xdr:col>13</xdr:col>
      <xdr:colOff>571500</xdr:colOff>
      <xdr:row>22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3EABEE-A72C-4254-A905-509CF1DE6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714375</xdr:colOff>
      <xdr:row>23</xdr:row>
      <xdr:rowOff>66675</xdr:rowOff>
    </xdr:from>
    <xdr:to>
      <xdr:col>13</xdr:col>
      <xdr:colOff>714375</xdr:colOff>
      <xdr:row>37</xdr:row>
      <xdr:rowOff>142875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87213A-C6D6-473C-B985-43B7495FD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733425</xdr:colOff>
      <xdr:row>12</xdr:row>
      <xdr:rowOff>133351</xdr:rowOff>
    </xdr:from>
    <xdr:to>
      <xdr:col>19</xdr:col>
      <xdr:colOff>514350</xdr:colOff>
      <xdr:row>28</xdr:row>
      <xdr:rowOff>114300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AC9695A8-ECC7-4E17-8380-2B1713FC8BA9}"/>
            </a:ext>
          </a:extLst>
        </xdr:cNvPr>
        <xdr:cNvSpPr/>
      </xdr:nvSpPr>
      <xdr:spPr>
        <a:xfrm>
          <a:off x="11715750" y="2419351"/>
          <a:ext cx="4352925" cy="302894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104774</xdr:colOff>
      <xdr:row>13</xdr:row>
      <xdr:rowOff>123824</xdr:rowOff>
    </xdr:from>
    <xdr:to>
      <xdr:col>19</xdr:col>
      <xdr:colOff>476249</xdr:colOff>
      <xdr:row>27</xdr:row>
      <xdr:rowOff>85725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5C43903-0CE7-41AE-93DD-FD2E23EF4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19050</xdr:colOff>
      <xdr:row>29</xdr:row>
      <xdr:rowOff>28576</xdr:rowOff>
    </xdr:from>
    <xdr:to>
      <xdr:col>19</xdr:col>
      <xdr:colOff>561975</xdr:colOff>
      <xdr:row>56</xdr:row>
      <xdr:rowOff>104775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3DEBE043-279A-4EFE-A92F-D5F4309AE375}"/>
            </a:ext>
          </a:extLst>
        </xdr:cNvPr>
        <xdr:cNvSpPr/>
      </xdr:nvSpPr>
      <xdr:spPr>
        <a:xfrm>
          <a:off x="11763375" y="5553076"/>
          <a:ext cx="4352925" cy="521969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280843</xdr:colOff>
      <xdr:row>45</xdr:row>
      <xdr:rowOff>173759</xdr:rowOff>
    </xdr:from>
    <xdr:to>
      <xdr:col>2</xdr:col>
      <xdr:colOff>280843</xdr:colOff>
      <xdr:row>47</xdr:row>
      <xdr:rowOff>56284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FBFC76CE-4E92-4F5E-99CF-3BF0BF17B95F}"/>
            </a:ext>
          </a:extLst>
        </xdr:cNvPr>
        <xdr:cNvSpPr txBox="1"/>
      </xdr:nvSpPr>
      <xdr:spPr>
        <a:xfrm>
          <a:off x="280843" y="8746259"/>
          <a:ext cx="198120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Resumen</a:t>
          </a:r>
          <a:r>
            <a:rPr lang="es-ES_tradnl" sz="1100" b="0" baseline="0">
              <a:solidFill>
                <a:schemeClr val="bg2">
                  <a:lumMod val="50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 Historic" panose="020B0502040204020203" pitchFamily="34" charset="0"/>
            </a:rPr>
            <a:t> por Edificio</a:t>
          </a:r>
          <a:endParaRPr lang="es-ES_tradnl" sz="1100" b="0">
            <a:solidFill>
              <a:schemeClr val="bg2">
                <a:lumMod val="50000"/>
              </a:schemeClr>
            </a:solidFill>
            <a:latin typeface="Segoe UI Symbol" panose="020B0502040204020203" pitchFamily="34" charset="0"/>
            <a:ea typeface="Segoe UI Symbol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0</xdr:col>
      <xdr:colOff>66675</xdr:colOff>
      <xdr:row>6</xdr:row>
      <xdr:rowOff>57150</xdr:rowOff>
    </xdr:from>
    <xdr:to>
      <xdr:col>2</xdr:col>
      <xdr:colOff>47625</xdr:colOff>
      <xdr:row>45</xdr:row>
      <xdr:rowOff>9525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2E15A50B-D219-42C0-8F15-04F2258F2C97}"/>
            </a:ext>
          </a:extLst>
        </xdr:cNvPr>
        <xdr:cNvSpPr/>
      </xdr:nvSpPr>
      <xdr:spPr>
        <a:xfrm>
          <a:off x="66675" y="1200150"/>
          <a:ext cx="1962150" cy="738187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s-ES" sz="32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409575</xdr:colOff>
      <xdr:row>30</xdr:row>
      <xdr:rowOff>0</xdr:rowOff>
    </xdr:from>
    <xdr:to>
      <xdr:col>19</xdr:col>
      <xdr:colOff>390525</xdr:colOff>
      <xdr:row>43</xdr:row>
      <xdr:rowOff>9525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F5D5E402-20BA-41FB-B572-261216C25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161925</xdr:colOff>
      <xdr:row>42</xdr:row>
      <xdr:rowOff>133350</xdr:rowOff>
    </xdr:from>
    <xdr:to>
      <xdr:col>19</xdr:col>
      <xdr:colOff>409575</xdr:colOff>
      <xdr:row>55</xdr:row>
      <xdr:rowOff>66675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FA022B1E-CA7B-4930-B721-92F30EAE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123825</xdr:colOff>
      <xdr:row>38</xdr:row>
      <xdr:rowOff>76200</xdr:rowOff>
    </xdr:from>
    <xdr:to>
      <xdr:col>1</xdr:col>
      <xdr:colOff>733425</xdr:colOff>
      <xdr:row>43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4" name="tipo_dia 1">
              <a:extLst>
                <a:ext uri="{FF2B5EF4-FFF2-40B4-BE49-F238E27FC236}">
                  <a16:creationId xmlns:a16="http://schemas.microsoft.com/office/drawing/2014/main" id="{2B4CFB62-EB3A-41E9-A510-883B756F66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7315200"/>
              <a:ext cx="1828800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30</xdr:row>
      <xdr:rowOff>14287</xdr:rowOff>
    </xdr:from>
    <xdr:to>
      <xdr:col>1</xdr:col>
      <xdr:colOff>733425</xdr:colOff>
      <xdr:row>36</xdr:row>
      <xdr:rowOff>109537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5" name="periodo_tarifario 1">
              <a:extLst>
                <a:ext uri="{FF2B5EF4-FFF2-40B4-BE49-F238E27FC236}">
                  <a16:creationId xmlns:a16="http://schemas.microsoft.com/office/drawing/2014/main" id="{579EC5C1-BAA4-4190-880E-8235B2243A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_tarifar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5729287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7</xdr:row>
      <xdr:rowOff>76201</xdr:rowOff>
    </xdr:from>
    <xdr:to>
      <xdr:col>1</xdr:col>
      <xdr:colOff>733425</xdr:colOff>
      <xdr:row>13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o_edificio 1">
              <a:extLst>
                <a:ext uri="{FF2B5EF4-FFF2-40B4-BE49-F238E27FC236}">
                  <a16:creationId xmlns:a16="http://schemas.microsoft.com/office/drawing/2014/main" id="{7ECF7FCF-2E2F-4DB4-836C-38D24AB1E2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edif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409701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15</xdr:row>
      <xdr:rowOff>42863</xdr:rowOff>
    </xdr:from>
    <xdr:to>
      <xdr:col>1</xdr:col>
      <xdr:colOff>733425</xdr:colOff>
      <xdr:row>21</xdr:row>
      <xdr:rowOff>33338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 1">
              <a:extLst>
                <a:ext uri="{FF2B5EF4-FFF2-40B4-BE49-F238E27FC236}">
                  <a16:creationId xmlns:a16="http://schemas.microsoft.com/office/drawing/2014/main" id="{143D99DF-CEB8-4D6D-A27E-BD5B4B3A05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2900363"/>
              <a:ext cx="182880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23</xdr:row>
      <xdr:rowOff>0</xdr:rowOff>
    </xdr:from>
    <xdr:to>
      <xdr:col>1</xdr:col>
      <xdr:colOff>733425</xdr:colOff>
      <xdr:row>28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estacion 1">
              <a:extLst>
                <a:ext uri="{FF2B5EF4-FFF2-40B4-BE49-F238E27FC236}">
                  <a16:creationId xmlns:a16="http://schemas.microsoft.com/office/drawing/2014/main" id="{6A6E90E6-D276-432E-A615-CAE473579B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c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4381500"/>
              <a:ext cx="18288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JIMENEZ" refreshedDate="46262.355316435183" createdVersion="8" refreshedVersion="8" minRefreshableVersion="3" recordCount="2208" xr:uid="{EB1BBDD5-802F-4651-92B7-C88BBA9DF333}">
  <cacheSource type="worksheet">
    <worksheetSource name="Lecturas"/>
  </cacheSource>
  <cacheFields count="24">
    <cacheField name="id_lectura" numFmtId="0">
      <sharedItems containsSemiMixedTypes="0" containsString="0" containsNumber="1" containsInteger="1" minValue="1" maxValue="2208"/>
    </cacheField>
    <cacheField name="fecha_hora" numFmtId="166">
      <sharedItems containsSemiMixedTypes="0" containsNonDate="0" containsDate="1" containsString="0" minDate="2025-01-01T00:00:00" maxDate="2026-01-01T00:00:00"/>
    </cacheField>
    <cacheField name="hora" numFmtId="0">
      <sharedItems containsSemiMixedTypes="0" containsString="0" containsNumber="1" containsInteger="1" minValue="0" maxValue="20" count="4">
        <n v="0"/>
        <n v="8"/>
        <n v="14"/>
        <n v="20"/>
      </sharedItems>
    </cacheField>
    <cacheField name="dia_semana" numFmtId="0">
      <sharedItems/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estacion" numFmtId="0">
      <sharedItems count="4">
        <s v="Invierno"/>
        <s v="Primavera"/>
        <s v="Verano"/>
        <s v="Otoño"/>
      </sharedItems>
    </cacheField>
    <cacheField name="tipo_dia" numFmtId="0">
      <sharedItems count="2">
        <s v="Laborable"/>
        <s v="Fin de semana"/>
      </sharedItems>
    </cacheField>
    <cacheField name="edificio" numFmtId="0">
      <sharedItems count="6">
        <s v="Planta Logistica R2"/>
        <s v="Hospital Sur"/>
        <s v="Centro Comercial Delta"/>
        <s v="Residencial Mirador"/>
        <s v="Torre Atlantida"/>
        <s v="Campus Norte"/>
      </sharedItems>
    </cacheField>
    <cacheField name="ciudad" numFmtId="0">
      <sharedItems count="6">
        <s v="Zaragoza"/>
        <s v="Sevilla"/>
        <s v="Valencia"/>
        <s v="Barcelona"/>
        <s v="Madrid"/>
        <s v="Bilbao"/>
      </sharedItems>
    </cacheField>
    <cacheField name="tipo_edificio" numFmtId="0">
      <sharedItems count="6">
        <s v="Industrial"/>
        <s v="Sanitario"/>
        <s v="Comercial"/>
        <s v="Residencial"/>
        <s v="Oficinas"/>
        <s v="Educativo"/>
      </sharedItems>
    </cacheField>
    <cacheField name="superficie_m2" numFmtId="3">
      <sharedItems containsSemiMixedTypes="0" containsString="0" containsNumber="1" containsInteger="1" minValue="8600" maxValue="26000"/>
    </cacheField>
    <cacheField name="temperatura_exterior_c" numFmtId="164">
      <sharedItems containsString="0" containsBlank="1" containsNumber="1" minValue="-5.5" maxValue="39.799999999999997" count="345">
        <n v="1.1000000000000001"/>
        <n v="4.5999999999999996"/>
        <n v="7.7"/>
        <n v="8"/>
        <n v="-0.5"/>
        <n v="4.9000000000000004"/>
        <n v="12.9"/>
        <n v="8.1"/>
        <n v="7"/>
        <n v="0.1"/>
        <n v="6.3"/>
        <n v="14.9"/>
        <n v="13.2"/>
        <n v="14.8"/>
        <n v="8.6"/>
        <n v="15.1"/>
        <n v="11.5"/>
        <n v="10"/>
        <n v="8.1999999999999993"/>
        <n v="3.6"/>
        <n v="13.6"/>
        <n v="14"/>
        <n v="0.4"/>
        <n v="5"/>
        <n v="10.8"/>
        <n v="5.5"/>
        <n v="-2.2000000000000002"/>
        <n v="5.2"/>
        <n v="1.4"/>
        <n v="7.3"/>
        <n v="6.4"/>
        <n v="9.1"/>
        <n v="12.7"/>
        <n v="11"/>
        <n v="13.7"/>
        <n v="14.2"/>
        <n v="13.3"/>
        <n v="12"/>
        <n v="6.8"/>
        <n v="3.9"/>
        <n v="11.6"/>
        <n v="11.9"/>
        <n v="4"/>
        <m/>
        <n v="3.3"/>
        <n v="6.2"/>
        <n v="7.6"/>
        <n v="0.9"/>
        <n v="6.6"/>
        <n v="3.2"/>
        <n v="11.4"/>
        <n v="4.2"/>
        <n v="12.1"/>
        <n v="16.7"/>
        <n v="10.5"/>
        <n v="14.7"/>
        <n v="18.399999999999999"/>
        <n v="6.1"/>
        <n v="7.2"/>
        <n v="10.199999999999999"/>
        <n v="8.9"/>
        <n v="0.5"/>
        <n v="3.8"/>
        <n v="3.5"/>
        <n v="2.8"/>
        <n v="10.4"/>
        <n v="2.2000000000000002"/>
        <n v="6.7"/>
        <n v="4.4000000000000004"/>
        <n v="9.6"/>
        <n v="18.5"/>
        <n v="17.3"/>
        <n v="15.5"/>
        <n v="11.3"/>
        <n v="9.1999999999999993"/>
        <n v="5.4"/>
        <n v="8.8000000000000007"/>
        <n v="9"/>
        <n v="11.8"/>
        <n v="9.3000000000000007"/>
        <n v="8.6999999999999993"/>
        <n v="5.7"/>
        <n v="-5.5"/>
        <n v="0.7"/>
        <n v="8.3000000000000007"/>
        <n v="0.6"/>
        <n v="2.2999999999999998"/>
        <n v="5.8"/>
        <n v="12.4"/>
        <n v="11.7"/>
        <n v="7.9"/>
        <n v="1.5"/>
        <n v="1.7"/>
        <n v="1"/>
        <n v="6.5"/>
        <n v="8.4"/>
        <n v="9.6999999999999993"/>
        <n v="16.2"/>
        <n v="11.2"/>
        <n v="15.3"/>
        <n v="10.1"/>
        <n v="14.5"/>
        <n v="-1.6"/>
        <n v="0.3"/>
        <n v="3.1"/>
        <n v="16.5"/>
        <n v="18.100000000000001"/>
        <n v="13"/>
        <n v="4.5"/>
        <n v="3"/>
        <n v="5.0999999999999996"/>
        <n v="3.4"/>
        <n v="7.8"/>
        <n v="2.9"/>
        <n v="6"/>
        <n v="17.399999999999999"/>
        <n v="16.399999999999999"/>
        <n v="10.7"/>
        <n v="10.9"/>
        <n v="1.2"/>
        <n v="4.8"/>
        <n v="21.2"/>
        <n v="10.3"/>
        <n v="12.3"/>
        <n v="15.7"/>
        <n v="8.5"/>
        <n v="9.8000000000000007"/>
        <n v="2"/>
        <n v="4.3"/>
        <n v="10.6"/>
        <n v="18.2"/>
        <n v="15.9"/>
        <n v="9.4"/>
        <n v="7.5"/>
        <n v="1.6"/>
        <n v="17"/>
        <n v="15.4"/>
        <n v="11.1"/>
        <n v="5.3"/>
        <n v="16.899999999999999"/>
        <n v="14.1"/>
        <n v="2.5"/>
        <n v="12.6"/>
        <n v="13.4"/>
        <n v="17.600000000000001"/>
        <n v="15.6"/>
        <n v="14.3"/>
        <n v="18"/>
        <n v="13.5"/>
        <n v="1.9"/>
        <n v="4.0999999999999996"/>
        <n v="9.5"/>
        <n v="16.3"/>
        <n v="15.2"/>
        <n v="12.5"/>
        <n v="17.5"/>
        <n v="16.8"/>
        <n v="9.9"/>
        <n v="20.5"/>
        <n v="20"/>
        <n v="15"/>
        <n v="15.8"/>
        <n v="19.399999999999999"/>
        <n v="17.2"/>
        <n v="20.3"/>
        <n v="18.3"/>
        <n v="22.6"/>
        <n v="12.8"/>
        <n v="12.2"/>
        <n v="21.4"/>
        <n v="17.100000000000001"/>
        <n v="18.600000000000001"/>
        <n v="13.8"/>
        <n v="13.9"/>
        <n v="18.7"/>
        <n v="13.1"/>
        <n v="22.8"/>
        <n v="24.2"/>
        <n v="18.8"/>
        <n v="16.600000000000001"/>
        <n v="19.8"/>
        <n v="20.7"/>
        <n v="17.8"/>
        <n v="23.6"/>
        <n v="16"/>
        <n v="17.7"/>
        <n v="14.6"/>
        <n v="23.1"/>
        <n v="19.3"/>
        <n v="19.600000000000001"/>
        <n v="21"/>
        <n v="23.2"/>
        <n v="21.8"/>
        <n v="18.899999999999999"/>
        <n v="25.2"/>
        <n v="21.1"/>
        <n v="24.8"/>
        <n v="19"/>
        <n v="20.9"/>
        <n v="21.5"/>
        <n v="20.399999999999999"/>
        <n v="24"/>
        <n v="25.1"/>
        <n v="24.4"/>
        <n v="20.2"/>
        <n v="17.899999999999999"/>
        <n v="19.2"/>
        <n v="27.7"/>
        <n v="22.1"/>
        <n v="23.3"/>
        <n v="21.9"/>
        <n v="20.6"/>
        <n v="27.4"/>
        <n v="20.100000000000001"/>
        <n v="23.4"/>
        <n v="19.100000000000001"/>
        <n v="26.9"/>
        <n v="22.7"/>
        <n v="26"/>
        <n v="30.2"/>
        <n v="22"/>
        <n v="22.5"/>
        <n v="27.1"/>
        <n v="16.100000000000001"/>
        <n v="30.4"/>
        <n v="25.6"/>
        <n v="23.5"/>
        <n v="20.8"/>
        <n v="19.5"/>
        <n v="30"/>
        <n v="27"/>
        <n v="24.9"/>
        <n v="24.6"/>
        <n v="26.8"/>
        <n v="25.3"/>
        <n v="27.2"/>
        <n v="22.2"/>
        <n v="26.6"/>
        <n v="26.1"/>
        <n v="28.8"/>
        <n v="26.4"/>
        <n v="28.6"/>
        <n v="19.7"/>
        <n v="29.5"/>
        <n v="29.3"/>
        <n v="24.1"/>
        <n v="25.5"/>
        <n v="23.9"/>
        <n v="27.8"/>
        <n v="21.7"/>
        <n v="28.4"/>
        <n v="31.9"/>
        <n v="23"/>
        <n v="25.9"/>
        <n v="23.8"/>
        <n v="19.899999999999999"/>
        <n v="21.6"/>
        <n v="28.3"/>
        <n v="33.5"/>
        <n v="22.9"/>
        <n v="14.4"/>
        <n v="34.799999999999997"/>
        <n v="31.5"/>
        <n v="24.5"/>
        <n v="25.4"/>
        <n v="28.9"/>
        <n v="21.3"/>
        <n v="26.2"/>
        <n v="34.200000000000003"/>
        <n v="29.2"/>
        <n v="27.6"/>
        <n v="22.4"/>
        <n v="27.5"/>
        <n v="26.3"/>
        <n v="35.4"/>
        <n v="30.7"/>
        <n v="28.2"/>
        <n v="25.8"/>
        <n v="31.1"/>
        <n v="25"/>
        <n v="26.5"/>
        <n v="23.7"/>
        <n v="29.7"/>
        <n v="29.6"/>
        <n v="33.4"/>
        <n v="32.5"/>
        <n v="31.8"/>
        <n v="36.200000000000003"/>
        <n v="28"/>
        <n v="36"/>
        <n v="31.4"/>
        <n v="30.3"/>
        <n v="32"/>
        <n v="27.3"/>
        <n v="34.6"/>
        <n v="34.5"/>
        <n v="29.8"/>
        <n v="24.3"/>
        <n v="22.3"/>
        <n v="32.1"/>
        <n v="36.1"/>
        <n v="26.7"/>
        <n v="30.5"/>
        <n v="27.9"/>
        <n v="34.700000000000003"/>
        <n v="34.9"/>
        <n v="25.7"/>
        <n v="30.8"/>
        <n v="29.9"/>
        <n v="32.4"/>
        <n v="24.7"/>
        <n v="31.7"/>
        <n v="32.6"/>
        <n v="35.5"/>
        <n v="28.1"/>
        <n v="30.1"/>
        <n v="39.799999999999997"/>
        <n v="34"/>
        <n v="31.2"/>
        <n v="31"/>
        <n v="35.200000000000003"/>
        <n v="33.700000000000003"/>
        <n v="38.9"/>
        <n v="33.799999999999997"/>
        <n v="28.5"/>
        <n v="34.4"/>
        <n v="29.4"/>
        <n v="32.700000000000003"/>
        <n v="30.6"/>
        <n v="29"/>
        <n v="33.6"/>
        <n v="28.7"/>
        <n v="4.7"/>
        <n v="7.1"/>
        <n v="6.9"/>
        <n v="7.4"/>
        <n v="-2.9"/>
        <n v="5.6"/>
        <n v="-1.3"/>
        <n v="3.7"/>
        <n v="2.1"/>
        <n v="-0.7"/>
        <n v="0.8"/>
        <n v="1.8"/>
        <n v="5.9"/>
      </sharedItems>
      <fieldGroup base="11">
        <rangePr autoStart="0" autoEnd="0" startNum="-10" endNum="45" groupInterval="5"/>
        <groupItems count="13">
          <s v="&lt;-10 o (en blanco)"/>
          <s v="-10--5"/>
          <s v="-5-0"/>
          <s v="0-5"/>
          <s v="5-10"/>
          <s v="10-15"/>
          <s v="15-20"/>
          <s v="20-25"/>
          <s v="25-30"/>
          <s v="30-35"/>
          <s v="35-40"/>
          <s v="40-45"/>
          <s v="&gt;45"/>
        </groupItems>
      </fieldGroup>
    </cacheField>
    <cacheField name="humedad_relativa_pct" numFmtId="164">
      <sharedItems containsString="0" containsBlank="1" containsNumber="1" minValue="28.1" maxValue="99"/>
    </cacheField>
    <cacheField name="radiacion_solar_wm2" numFmtId="164">
      <sharedItems containsString="0" containsBlank="1" containsNumber="1" minValue="0" maxValue="956.5"/>
    </cacheField>
    <cacheField name="ocupacion_personas" numFmtId="3">
      <sharedItems containsString="0" containsBlank="1" containsNumber="1" containsInteger="1" minValue="0" maxValue="1711"/>
    </cacheField>
    <cacheField name="hvac_activo" numFmtId="0">
      <sharedItems containsSemiMixedTypes="0" containsString="0" containsNumber="1" containsInteger="1" minValue="0" maxValue="1"/>
    </cacheField>
    <cacheField name="modo_hvac" numFmtId="0">
      <sharedItems count="4">
        <s v="Apagado"/>
        <s v="Calefaccion"/>
        <s v="Ventilacion"/>
        <s v="Refrigeracion"/>
      </sharedItems>
    </cacheField>
    <cacheField name="consumo_kwh" numFmtId="4">
      <sharedItems containsString="0" containsBlank="1" containsNumber="1" minValue="6.99" maxValue="2295.19"/>
    </cacheField>
    <cacheField name="generacion_solar_kwh" numFmtId="4">
      <sharedItems containsSemiMixedTypes="0" containsString="0" containsNumber="1" minValue="0" maxValue="243.95"/>
    </cacheField>
    <cacheField name="periodo_tarifario" numFmtId="0">
      <sharedItems count="3">
        <s v="Valle"/>
        <s v="Llano"/>
        <s v="Punta"/>
      </sharedItems>
    </cacheField>
    <cacheField name="coste_eur" numFmtId="4">
      <sharedItems containsString="0" containsBlank="1" containsNumber="1" minValue="-5.96" maxValue="84.81"/>
    </cacheField>
    <cacheField name="wh_m2" numFmtId="4">
      <sharedItems containsString="0" containsBlank="1" containsNumber="1" minValue="0.81299999999999994" maxValue="131.90700000000001"/>
    </cacheField>
    <cacheField name="energia_red_kwh" numFmtId="4">
      <sharedItems containsString="0" containsBlank="1" containsNumber="1" minValue="0" maxValue="2198.52"/>
    </cacheField>
    <cacheField name="Cobertura Solar" numFmtId="0" formula="generacion_solar_kwh/consumo_kwh" databaseField="0"/>
  </cacheFields>
  <extLst>
    <ext xmlns:x14="http://schemas.microsoft.com/office/spreadsheetml/2009/9/main" uri="{725AE2AE-9491-48be-B2B4-4EB974FC3084}">
      <x14:pivotCacheDefinition pivotCacheId="4622576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8">
  <r>
    <n v="1473"/>
    <d v="2025-01-01T00:00:00"/>
    <x v="0"/>
    <s v="Miercoles"/>
    <x v="0"/>
    <x v="0"/>
    <x v="0"/>
    <x v="0"/>
    <x v="0"/>
    <x v="0"/>
    <n v="26000"/>
    <x v="0"/>
    <n v="66.2"/>
    <n v="0"/>
    <n v="0"/>
    <n v="0"/>
    <x v="0"/>
    <n v="46.86"/>
    <n v="0"/>
    <x v="0"/>
    <n v="4.8099999999999996"/>
    <n v="1.802"/>
    <n v="46.86"/>
  </r>
  <r>
    <n v="737"/>
    <d v="2025-01-01T00:00:00"/>
    <x v="0"/>
    <s v="Miercoles"/>
    <x v="0"/>
    <x v="0"/>
    <x v="0"/>
    <x v="1"/>
    <x v="1"/>
    <x v="1"/>
    <n v="21000"/>
    <x v="1"/>
    <n v="91.2"/>
    <n v="0"/>
    <n v="195"/>
    <n v="1"/>
    <x v="1"/>
    <n v="168.08"/>
    <n v="0"/>
    <x v="0"/>
    <n v="16.670000000000002"/>
    <n v="8.0039999999999996"/>
    <n v="168.08"/>
  </r>
  <r>
    <n v="1105"/>
    <d v="2025-01-01T00:00:00"/>
    <x v="0"/>
    <s v="Miercoles"/>
    <x v="0"/>
    <x v="0"/>
    <x v="0"/>
    <x v="2"/>
    <x v="2"/>
    <x v="2"/>
    <n v="17400"/>
    <x v="2"/>
    <n v="89.8"/>
    <n v="0"/>
    <n v="102"/>
    <n v="0"/>
    <x v="0"/>
    <n v="55.33"/>
    <n v="0"/>
    <x v="0"/>
    <n v="5.62"/>
    <n v="3.18"/>
    <n v="55.33"/>
  </r>
  <r>
    <n v="1841"/>
    <d v="2025-01-01T00:00:00"/>
    <x v="0"/>
    <s v="Miercoles"/>
    <x v="0"/>
    <x v="0"/>
    <x v="0"/>
    <x v="3"/>
    <x v="3"/>
    <x v="3"/>
    <n v="9800"/>
    <x v="3"/>
    <n v="92.2"/>
    <n v="0"/>
    <n v="293"/>
    <n v="1"/>
    <x v="1"/>
    <n v="103.37"/>
    <n v="0"/>
    <x v="0"/>
    <n v="10.67"/>
    <n v="10.548"/>
    <n v="103.37"/>
  </r>
  <r>
    <n v="1"/>
    <d v="2025-01-01T00:00:00"/>
    <x v="0"/>
    <s v="Miercoles"/>
    <x v="0"/>
    <x v="0"/>
    <x v="0"/>
    <x v="4"/>
    <x v="4"/>
    <x v="4"/>
    <n v="12500"/>
    <x v="4"/>
    <n v="83.5"/>
    <n v="0"/>
    <n v="41"/>
    <n v="0"/>
    <x v="0"/>
    <n v="27.48"/>
    <n v="0"/>
    <x v="0"/>
    <n v="2.77"/>
    <n v="2.198"/>
    <n v="27.48"/>
  </r>
  <r>
    <n v="369"/>
    <d v="2025-01-01T00:00:00"/>
    <x v="0"/>
    <s v="Miercoles"/>
    <x v="0"/>
    <x v="0"/>
    <x v="0"/>
    <x v="5"/>
    <x v="5"/>
    <x v="5"/>
    <n v="8600"/>
    <x v="5"/>
    <n v="88.4"/>
    <n v="0"/>
    <n v="0"/>
    <n v="0"/>
    <x v="0"/>
    <n v="11.42"/>
    <n v="0"/>
    <x v="0"/>
    <n v="1.1399999999999999"/>
    <n v="1.3280000000000001"/>
    <n v="11.42"/>
  </r>
  <r>
    <n v="1106"/>
    <d v="2025-01-01T08:00:00"/>
    <x v="1"/>
    <s v="Miercoles"/>
    <x v="0"/>
    <x v="0"/>
    <x v="0"/>
    <x v="2"/>
    <x v="2"/>
    <x v="2"/>
    <n v="17400"/>
    <x v="6"/>
    <n v="98.5"/>
    <n v="0"/>
    <n v="56"/>
    <n v="0"/>
    <x v="0"/>
    <n v="49.94"/>
    <n v="0"/>
    <x v="0"/>
    <n v="5.17"/>
    <n v="2.87"/>
    <n v="49.94"/>
  </r>
  <r>
    <n v="738"/>
    <d v="2025-01-01T08:00:00"/>
    <x v="1"/>
    <s v="Miercoles"/>
    <x v="0"/>
    <x v="0"/>
    <x v="0"/>
    <x v="1"/>
    <x v="1"/>
    <x v="1"/>
    <n v="21000"/>
    <x v="7"/>
    <n v="78.3"/>
    <n v="0"/>
    <n v="420"/>
    <n v="1"/>
    <x v="1"/>
    <n v="274.72000000000003"/>
    <n v="0"/>
    <x v="0"/>
    <n v="28.3"/>
    <n v="13.082000000000001"/>
    <n v="274.72000000000003"/>
  </r>
  <r>
    <n v="1842"/>
    <d v="2025-01-01T08:00:00"/>
    <x v="1"/>
    <s v="Miercoles"/>
    <x v="0"/>
    <x v="0"/>
    <x v="0"/>
    <x v="3"/>
    <x v="3"/>
    <x v="3"/>
    <n v="9800"/>
    <x v="2"/>
    <n v="86.5"/>
    <n v="0"/>
    <n v="126"/>
    <n v="1"/>
    <x v="1"/>
    <n v="50.51"/>
    <n v="0"/>
    <x v="0"/>
    <n v="5.09"/>
    <n v="5.1539999999999999"/>
    <n v="50.51"/>
  </r>
  <r>
    <n v="1474"/>
    <d v="2025-01-01T08:00:00"/>
    <x v="1"/>
    <s v="Miercoles"/>
    <x v="0"/>
    <x v="0"/>
    <x v="0"/>
    <x v="0"/>
    <x v="0"/>
    <x v="0"/>
    <n v="26000"/>
    <x v="8"/>
    <m/>
    <n v="0"/>
    <n v="17"/>
    <n v="0"/>
    <x v="0"/>
    <n v="44.37"/>
    <n v="0"/>
    <x v="0"/>
    <n v="4.5999999999999996"/>
    <n v="1.7070000000000001"/>
    <n v="44.37"/>
  </r>
  <r>
    <n v="2"/>
    <d v="2025-01-01T08:00:00"/>
    <x v="1"/>
    <s v="Miercoles"/>
    <x v="0"/>
    <x v="0"/>
    <x v="0"/>
    <x v="4"/>
    <x v="4"/>
    <x v="4"/>
    <n v="12500"/>
    <x v="9"/>
    <n v="87.5"/>
    <n v="0"/>
    <n v="0"/>
    <n v="0"/>
    <x v="0"/>
    <n v="24.61"/>
    <n v="0"/>
    <x v="0"/>
    <n v="2.4700000000000002"/>
    <n v="1.9690000000000001"/>
    <n v="24.61"/>
  </r>
  <r>
    <n v="370"/>
    <d v="2025-01-01T08:00:00"/>
    <x v="1"/>
    <s v="Miercoles"/>
    <x v="0"/>
    <x v="0"/>
    <x v="0"/>
    <x v="5"/>
    <x v="5"/>
    <x v="5"/>
    <n v="8600"/>
    <x v="10"/>
    <n v="94.9"/>
    <n v="0"/>
    <n v="84"/>
    <n v="0"/>
    <x v="0"/>
    <n v="16.05"/>
    <n v="0"/>
    <x v="0"/>
    <n v="1.63"/>
    <n v="1.8660000000000001"/>
    <n v="16.05"/>
  </r>
  <r>
    <n v="1107"/>
    <d v="2025-01-01T14:00:00"/>
    <x v="2"/>
    <s v="Miercoles"/>
    <x v="0"/>
    <x v="0"/>
    <x v="0"/>
    <x v="2"/>
    <x v="2"/>
    <x v="2"/>
    <n v="17400"/>
    <x v="11"/>
    <n v="81"/>
    <n v="402.3"/>
    <n v="1412"/>
    <n v="1"/>
    <x v="2"/>
    <n v="186.36"/>
    <n v="49.62"/>
    <x v="0"/>
    <n v="14.15"/>
    <n v="10.71"/>
    <n v="136.74"/>
  </r>
  <r>
    <n v="3"/>
    <d v="2025-01-01T14:00:00"/>
    <x v="2"/>
    <s v="Miercoles"/>
    <x v="0"/>
    <x v="0"/>
    <x v="0"/>
    <x v="4"/>
    <x v="4"/>
    <x v="4"/>
    <n v="12500"/>
    <x v="12"/>
    <n v="77.900000000000006"/>
    <n v="292.7"/>
    <n v="30"/>
    <n v="0"/>
    <x v="0"/>
    <n v="18.350000000000001"/>
    <n v="47.28"/>
    <x v="0"/>
    <n v="-1.17"/>
    <n v="1.468"/>
    <n v="0"/>
  </r>
  <r>
    <n v="739"/>
    <d v="2025-01-01T14:00:00"/>
    <x v="2"/>
    <s v="Miercoles"/>
    <x v="0"/>
    <x v="0"/>
    <x v="0"/>
    <x v="1"/>
    <x v="1"/>
    <x v="1"/>
    <n v="21000"/>
    <x v="13"/>
    <n v="69.7"/>
    <n v="400.4"/>
    <m/>
    <n v="1"/>
    <x v="2"/>
    <n v="214.45"/>
    <n v="82.53"/>
    <x v="0"/>
    <n v="13.48"/>
    <n v="10.212"/>
    <n v="131.91999999999999"/>
  </r>
  <r>
    <n v="371"/>
    <d v="2025-01-01T14:00:00"/>
    <x v="2"/>
    <s v="Miercoles"/>
    <x v="0"/>
    <x v="0"/>
    <x v="0"/>
    <x v="5"/>
    <x v="5"/>
    <x v="5"/>
    <n v="8600"/>
    <x v="14"/>
    <m/>
    <n v="209.4"/>
    <n v="27"/>
    <n v="0"/>
    <x v="0"/>
    <n v="9.39"/>
    <n v="15.09"/>
    <x v="0"/>
    <n v="-0.23"/>
    <n v="1.0920000000000001"/>
    <n v="0"/>
  </r>
  <r>
    <n v="1843"/>
    <d v="2025-01-01T14:00:00"/>
    <x v="2"/>
    <s v="Miercoles"/>
    <x v="0"/>
    <x v="0"/>
    <x v="0"/>
    <x v="3"/>
    <x v="3"/>
    <x v="3"/>
    <n v="9800"/>
    <x v="15"/>
    <n v="80.400000000000006"/>
    <n v="278.8"/>
    <n v="121"/>
    <n v="1"/>
    <x v="2"/>
    <n v="26.99"/>
    <n v="0"/>
    <x v="0"/>
    <n v="2.75"/>
    <n v="2.754"/>
    <n v="26.99"/>
  </r>
  <r>
    <n v="1475"/>
    <d v="2025-01-01T14:00:00"/>
    <x v="2"/>
    <s v="Miercoles"/>
    <x v="0"/>
    <x v="0"/>
    <x v="0"/>
    <x v="0"/>
    <x v="0"/>
    <x v="0"/>
    <n v="26000"/>
    <x v="16"/>
    <n v="66.400000000000006"/>
    <n v="397.4"/>
    <n v="0"/>
    <n v="0"/>
    <x v="0"/>
    <n v="36.880000000000003"/>
    <n v="110.54"/>
    <x v="0"/>
    <n v="-2.98"/>
    <n v="1.4179999999999999"/>
    <n v="0"/>
  </r>
  <r>
    <n v="1844"/>
    <d v="2025-01-01T20:00:00"/>
    <x v="3"/>
    <s v="Miercoles"/>
    <x v="0"/>
    <x v="0"/>
    <x v="0"/>
    <x v="3"/>
    <x v="3"/>
    <x v="3"/>
    <n v="9800"/>
    <x v="17"/>
    <n v="81.2"/>
    <n v="0"/>
    <n v="285"/>
    <n v="1"/>
    <x v="1"/>
    <n v="93.21"/>
    <n v="0"/>
    <x v="0"/>
    <n v="9.41"/>
    <n v="9.5109999999999992"/>
    <n v="93.21"/>
  </r>
  <r>
    <n v="372"/>
    <d v="2025-01-01T20:00:00"/>
    <x v="3"/>
    <s v="Miercoles"/>
    <x v="0"/>
    <x v="0"/>
    <x v="0"/>
    <x v="5"/>
    <x v="5"/>
    <x v="5"/>
    <n v="8600"/>
    <x v="14"/>
    <n v="90.8"/>
    <n v="0"/>
    <n v="0"/>
    <n v="0"/>
    <x v="0"/>
    <n v="12.78"/>
    <n v="0"/>
    <x v="0"/>
    <n v="1.29"/>
    <n v="1.486"/>
    <n v="12.78"/>
  </r>
  <r>
    <n v="1476"/>
    <d v="2025-01-01T20:00:00"/>
    <x v="3"/>
    <s v="Miercoles"/>
    <x v="0"/>
    <x v="0"/>
    <x v="0"/>
    <x v="0"/>
    <x v="0"/>
    <x v="0"/>
    <n v="26000"/>
    <x v="18"/>
    <n v="77.400000000000006"/>
    <n v="0"/>
    <n v="3"/>
    <n v="0"/>
    <x v="0"/>
    <n v="46.39"/>
    <n v="0"/>
    <x v="0"/>
    <n v="4.6100000000000003"/>
    <n v="1.784"/>
    <n v="46.39"/>
  </r>
  <r>
    <n v="4"/>
    <d v="2025-01-01T20:00:00"/>
    <x v="3"/>
    <s v="Miercoles"/>
    <x v="0"/>
    <x v="0"/>
    <x v="0"/>
    <x v="4"/>
    <x v="4"/>
    <x v="4"/>
    <n v="12500"/>
    <x v="19"/>
    <n v="74.099999999999994"/>
    <n v="0"/>
    <n v="34"/>
    <n v="0"/>
    <x v="0"/>
    <n v="24.68"/>
    <n v="0"/>
    <x v="0"/>
    <n v="2.38"/>
    <n v="1.974"/>
    <n v="24.68"/>
  </r>
  <r>
    <n v="1108"/>
    <d v="2025-01-01T20:00:00"/>
    <x v="3"/>
    <s v="Miercoles"/>
    <x v="0"/>
    <x v="0"/>
    <x v="0"/>
    <x v="2"/>
    <x v="2"/>
    <x v="2"/>
    <n v="17400"/>
    <x v="20"/>
    <n v="78.8"/>
    <n v="0"/>
    <n v="1318"/>
    <n v="1"/>
    <x v="1"/>
    <n v="287.25"/>
    <n v="0"/>
    <x v="0"/>
    <n v="28.29"/>
    <n v="16.509"/>
    <n v="287.25"/>
  </r>
  <r>
    <n v="740"/>
    <d v="2025-01-01T20:00:00"/>
    <x v="3"/>
    <s v="Miercoles"/>
    <x v="0"/>
    <x v="0"/>
    <x v="0"/>
    <x v="1"/>
    <x v="1"/>
    <x v="1"/>
    <n v="21000"/>
    <x v="21"/>
    <n v="65.400000000000006"/>
    <n v="0"/>
    <n v="400"/>
    <n v="1"/>
    <x v="1"/>
    <n v="286.35000000000002"/>
    <n v="0"/>
    <x v="0"/>
    <n v="28.92"/>
    <n v="13.635999999999999"/>
    <n v="286.35000000000002"/>
  </r>
  <r>
    <n v="1845"/>
    <d v="2025-01-05T00:00:00"/>
    <x v="0"/>
    <s v="Domingo"/>
    <x v="0"/>
    <x v="0"/>
    <x v="1"/>
    <x v="3"/>
    <x v="3"/>
    <x v="3"/>
    <n v="9800"/>
    <x v="5"/>
    <n v="81"/>
    <n v="0"/>
    <n v="303"/>
    <n v="1"/>
    <x v="1"/>
    <n v="98.83"/>
    <n v="0"/>
    <x v="0"/>
    <n v="10.06"/>
    <n v="10.085000000000001"/>
    <n v="98.83"/>
  </r>
  <r>
    <n v="1477"/>
    <d v="2025-01-05T00:00:00"/>
    <x v="0"/>
    <s v="Domingo"/>
    <x v="0"/>
    <x v="0"/>
    <x v="1"/>
    <x v="0"/>
    <x v="0"/>
    <x v="0"/>
    <n v="26000"/>
    <x v="22"/>
    <n v="81.3"/>
    <n v="0"/>
    <n v="22"/>
    <n v="1"/>
    <x v="1"/>
    <n v="98.19"/>
    <n v="0"/>
    <x v="0"/>
    <n v="10.06"/>
    <n v="3.7770000000000001"/>
    <n v="98.19"/>
  </r>
  <r>
    <n v="373"/>
    <d v="2025-01-05T00:00:00"/>
    <x v="0"/>
    <s v="Domingo"/>
    <x v="0"/>
    <x v="0"/>
    <x v="1"/>
    <x v="5"/>
    <x v="5"/>
    <x v="5"/>
    <n v="8600"/>
    <x v="23"/>
    <n v="94.1"/>
    <n v="0"/>
    <n v="16"/>
    <n v="0"/>
    <x v="0"/>
    <n v="12.19"/>
    <n v="0"/>
    <x v="0"/>
    <n v="1.21"/>
    <n v="1.417"/>
    <n v="12.19"/>
  </r>
  <r>
    <n v="1109"/>
    <d v="2025-01-05T00:00:00"/>
    <x v="0"/>
    <s v="Domingo"/>
    <x v="0"/>
    <x v="0"/>
    <x v="1"/>
    <x v="2"/>
    <x v="2"/>
    <x v="2"/>
    <n v="17400"/>
    <x v="24"/>
    <n v="81.900000000000006"/>
    <n v="0"/>
    <n v="0"/>
    <n v="1"/>
    <x v="1"/>
    <n v="53.76"/>
    <n v="0"/>
    <x v="0"/>
    <n v="5.52"/>
    <n v="3.09"/>
    <n v="53.76"/>
  </r>
  <r>
    <n v="741"/>
    <d v="2025-01-05T00:00:00"/>
    <x v="0"/>
    <s v="Domingo"/>
    <x v="0"/>
    <x v="0"/>
    <x v="1"/>
    <x v="1"/>
    <x v="1"/>
    <x v="1"/>
    <n v="21000"/>
    <x v="25"/>
    <n v="69.8"/>
    <n v="0"/>
    <n v="250"/>
    <n v="1"/>
    <x v="1"/>
    <n v="202.84"/>
    <n v="0"/>
    <x v="0"/>
    <n v="20.69"/>
    <n v="9.6590000000000007"/>
    <n v="202.84"/>
  </r>
  <r>
    <n v="5"/>
    <d v="2025-01-05T00:00:00"/>
    <x v="0"/>
    <s v="Domingo"/>
    <x v="0"/>
    <x v="0"/>
    <x v="1"/>
    <x v="4"/>
    <x v="4"/>
    <x v="4"/>
    <n v="12500"/>
    <x v="26"/>
    <n v="79.599999999999994"/>
    <n v="0"/>
    <n v="27"/>
    <n v="0"/>
    <x v="0"/>
    <n v="25.22"/>
    <n v="0"/>
    <x v="0"/>
    <n v="2.5499999999999998"/>
    <n v="2.0179999999999998"/>
    <n v="25.22"/>
  </r>
  <r>
    <n v="1478"/>
    <d v="2025-01-05T08:00:00"/>
    <x v="1"/>
    <s v="Domingo"/>
    <x v="0"/>
    <x v="0"/>
    <x v="1"/>
    <x v="0"/>
    <x v="0"/>
    <x v="0"/>
    <n v="26000"/>
    <x v="27"/>
    <n v="89.2"/>
    <n v="0"/>
    <n v="53"/>
    <n v="1"/>
    <x v="1"/>
    <n v="147.09"/>
    <n v="0"/>
    <x v="0"/>
    <n v="14.89"/>
    <n v="5.657"/>
    <n v="147.09"/>
  </r>
  <r>
    <n v="1846"/>
    <d v="2025-01-05T08:00:00"/>
    <x v="1"/>
    <s v="Domingo"/>
    <x v="0"/>
    <x v="0"/>
    <x v="1"/>
    <x v="3"/>
    <x v="3"/>
    <x v="3"/>
    <n v="9800"/>
    <x v="3"/>
    <n v="87.8"/>
    <n v="0"/>
    <n v="96"/>
    <n v="1"/>
    <x v="1"/>
    <n v="49.42"/>
    <n v="0"/>
    <x v="0"/>
    <n v="5.0199999999999996"/>
    <n v="5.0430000000000001"/>
    <n v="49.42"/>
  </r>
  <r>
    <n v="6"/>
    <d v="2025-01-05T08:00:00"/>
    <x v="1"/>
    <s v="Domingo"/>
    <x v="0"/>
    <x v="0"/>
    <x v="1"/>
    <x v="4"/>
    <x v="4"/>
    <x v="4"/>
    <n v="12500"/>
    <x v="28"/>
    <n v="61.2"/>
    <n v="0"/>
    <n v="10"/>
    <n v="0"/>
    <x v="0"/>
    <n v="22.55"/>
    <n v="0"/>
    <x v="0"/>
    <n v="2.2200000000000002"/>
    <n v="1.804"/>
    <n v="22.55"/>
  </r>
  <r>
    <n v="742"/>
    <d v="2025-01-05T08:00:00"/>
    <x v="1"/>
    <s v="Domingo"/>
    <x v="0"/>
    <x v="0"/>
    <x v="1"/>
    <x v="1"/>
    <x v="1"/>
    <x v="1"/>
    <n v="21000"/>
    <x v="29"/>
    <n v="83.2"/>
    <n v="0"/>
    <n v="404"/>
    <n v="1"/>
    <x v="1"/>
    <n v="286.25"/>
    <n v="0"/>
    <x v="0"/>
    <n v="28.8"/>
    <n v="13.631"/>
    <n v="286.25"/>
  </r>
  <r>
    <n v="1110"/>
    <d v="2025-01-05T08:00:00"/>
    <x v="1"/>
    <s v="Domingo"/>
    <x v="0"/>
    <x v="0"/>
    <x v="1"/>
    <x v="2"/>
    <x v="2"/>
    <x v="2"/>
    <n v="17400"/>
    <x v="30"/>
    <n v="99"/>
    <n v="0"/>
    <n v="145"/>
    <n v="1"/>
    <x v="1"/>
    <n v="68.42"/>
    <n v="0"/>
    <x v="0"/>
    <n v="6.86"/>
    <n v="3.9319999999999999"/>
    <n v="68.42"/>
  </r>
  <r>
    <n v="374"/>
    <d v="2025-01-05T08:00:00"/>
    <x v="1"/>
    <s v="Domingo"/>
    <x v="0"/>
    <x v="0"/>
    <x v="1"/>
    <x v="5"/>
    <x v="5"/>
    <x v="5"/>
    <n v="8600"/>
    <x v="31"/>
    <n v="99"/>
    <n v="0"/>
    <n v="18"/>
    <n v="0"/>
    <x v="0"/>
    <n v="15.24"/>
    <n v="0"/>
    <x v="0"/>
    <n v="1.49"/>
    <n v="1.772"/>
    <n v="15.24"/>
  </r>
  <r>
    <n v="1847"/>
    <d v="2025-01-05T14:00:00"/>
    <x v="2"/>
    <s v="Domingo"/>
    <x v="0"/>
    <x v="0"/>
    <x v="1"/>
    <x v="3"/>
    <x v="3"/>
    <x v="3"/>
    <n v="9800"/>
    <x v="32"/>
    <m/>
    <n v="376.8"/>
    <n v="107"/>
    <n v="1"/>
    <x v="1"/>
    <n v="29.72"/>
    <n v="0"/>
    <x v="0"/>
    <n v="2.96"/>
    <n v="3.0329999999999999"/>
    <n v="29.72"/>
  </r>
  <r>
    <n v="7"/>
    <d v="2025-01-05T14:00:00"/>
    <x v="2"/>
    <s v="Domingo"/>
    <x v="0"/>
    <x v="0"/>
    <x v="1"/>
    <x v="4"/>
    <x v="4"/>
    <x v="4"/>
    <n v="12500"/>
    <x v="33"/>
    <n v="64.7"/>
    <n v="475.8"/>
    <n v="0"/>
    <n v="0"/>
    <x v="0"/>
    <n v="16.07"/>
    <n v="73.48"/>
    <x v="0"/>
    <n v="-2.37"/>
    <n v="1.286"/>
    <n v="0"/>
  </r>
  <r>
    <n v="743"/>
    <d v="2025-01-05T14:00:00"/>
    <x v="2"/>
    <s v="Domingo"/>
    <x v="0"/>
    <x v="0"/>
    <x v="1"/>
    <x v="1"/>
    <x v="1"/>
    <x v="1"/>
    <n v="21000"/>
    <x v="34"/>
    <n v="83.3"/>
    <n v="397.7"/>
    <n v="425"/>
    <n v="1"/>
    <x v="1"/>
    <n v="210.66"/>
    <n v="85.66"/>
    <x v="0"/>
    <n v="12.45"/>
    <n v="10.031000000000001"/>
    <n v="125"/>
  </r>
  <r>
    <n v="1479"/>
    <d v="2025-01-05T14:00:00"/>
    <x v="2"/>
    <s v="Domingo"/>
    <x v="0"/>
    <x v="0"/>
    <x v="1"/>
    <x v="0"/>
    <x v="0"/>
    <x v="0"/>
    <n v="26000"/>
    <x v="35"/>
    <n v="81.8"/>
    <n v="324.8"/>
    <n v="66"/>
    <n v="1"/>
    <x v="1"/>
    <n v="83.38"/>
    <n v="89.59"/>
    <x v="0"/>
    <n v="-0.26"/>
    <n v="3.2069999999999999"/>
    <n v="0"/>
  </r>
  <r>
    <n v="1111"/>
    <d v="2025-01-05T14:00:00"/>
    <x v="2"/>
    <s v="Domingo"/>
    <x v="0"/>
    <x v="0"/>
    <x v="1"/>
    <x v="2"/>
    <x v="2"/>
    <x v="2"/>
    <n v="17400"/>
    <x v="36"/>
    <n v="77.099999999999994"/>
    <n v="436.6"/>
    <n v="1529"/>
    <n v="1"/>
    <x v="1"/>
    <n v="226.13"/>
    <n v="54.97"/>
    <x v="0"/>
    <n v="17.25"/>
    <n v="12.996"/>
    <n v="171.16"/>
  </r>
  <r>
    <n v="375"/>
    <d v="2025-01-05T14:00:00"/>
    <x v="2"/>
    <s v="Domingo"/>
    <x v="0"/>
    <x v="0"/>
    <x v="1"/>
    <x v="5"/>
    <x v="5"/>
    <x v="5"/>
    <n v="8600"/>
    <x v="37"/>
    <n v="81.2"/>
    <n v="353"/>
    <n v="0"/>
    <n v="0"/>
    <x v="0"/>
    <n v="7.8"/>
    <n v="27.18"/>
    <x v="0"/>
    <n v="-0.8"/>
    <n v="0.90700000000000003"/>
    <n v="0"/>
  </r>
  <r>
    <n v="1480"/>
    <d v="2025-01-05T20:00:00"/>
    <x v="3"/>
    <s v="Domingo"/>
    <x v="0"/>
    <x v="0"/>
    <x v="1"/>
    <x v="0"/>
    <x v="0"/>
    <x v="0"/>
    <n v="26000"/>
    <x v="38"/>
    <m/>
    <n v="0"/>
    <n v="77"/>
    <n v="1"/>
    <x v="1"/>
    <n v="139.41999999999999"/>
    <n v="0"/>
    <x v="0"/>
    <n v="14.15"/>
    <n v="5.3620000000000001"/>
    <n v="139.41999999999999"/>
  </r>
  <r>
    <n v="8"/>
    <d v="2025-01-05T20:00:00"/>
    <x v="3"/>
    <s v="Domingo"/>
    <x v="0"/>
    <x v="0"/>
    <x v="1"/>
    <x v="4"/>
    <x v="4"/>
    <x v="4"/>
    <n v="12500"/>
    <x v="39"/>
    <n v="72.8"/>
    <n v="0"/>
    <n v="0"/>
    <n v="0"/>
    <x v="0"/>
    <n v="25.26"/>
    <n v="0"/>
    <x v="0"/>
    <n v="2.5299999999999998"/>
    <n v="2.0209999999999999"/>
    <n v="25.26"/>
  </r>
  <r>
    <n v="1848"/>
    <d v="2025-01-05T20:00:00"/>
    <x v="3"/>
    <s v="Domingo"/>
    <x v="0"/>
    <x v="0"/>
    <x v="1"/>
    <x v="3"/>
    <x v="3"/>
    <x v="3"/>
    <n v="9800"/>
    <x v="2"/>
    <n v="99"/>
    <n v="0"/>
    <n v="287"/>
    <n v="1"/>
    <x v="1"/>
    <n v="102.16"/>
    <n v="0"/>
    <x v="0"/>
    <n v="10.09"/>
    <n v="10.423999999999999"/>
    <n v="102.16"/>
  </r>
  <r>
    <n v="376"/>
    <d v="2025-01-05T20:00:00"/>
    <x v="3"/>
    <s v="Domingo"/>
    <x v="0"/>
    <x v="0"/>
    <x v="1"/>
    <x v="5"/>
    <x v="5"/>
    <x v="5"/>
    <n v="8600"/>
    <x v="17"/>
    <n v="92.7"/>
    <n v="0"/>
    <n v="6"/>
    <n v="0"/>
    <x v="0"/>
    <n v="11.66"/>
    <n v="0"/>
    <x v="0"/>
    <n v="1.18"/>
    <n v="1.3560000000000001"/>
    <n v="11.66"/>
  </r>
  <r>
    <n v="1112"/>
    <d v="2025-01-05T20:00:00"/>
    <x v="3"/>
    <s v="Domingo"/>
    <x v="0"/>
    <x v="0"/>
    <x v="1"/>
    <x v="2"/>
    <x v="2"/>
    <x v="2"/>
    <n v="17400"/>
    <x v="40"/>
    <n v="64"/>
    <n v="0"/>
    <n v="1581"/>
    <n v="1"/>
    <x v="1"/>
    <n v="355.75"/>
    <n v="0"/>
    <x v="0"/>
    <n v="35.79"/>
    <n v="20.445"/>
    <n v="355.75"/>
  </r>
  <r>
    <n v="744"/>
    <d v="2025-01-05T20:00:00"/>
    <x v="3"/>
    <s v="Domingo"/>
    <x v="0"/>
    <x v="0"/>
    <x v="1"/>
    <x v="1"/>
    <x v="1"/>
    <x v="1"/>
    <n v="21000"/>
    <x v="41"/>
    <n v="58.1"/>
    <n v="0"/>
    <n v="364"/>
    <n v="1"/>
    <x v="1"/>
    <n v="275.32"/>
    <n v="0"/>
    <x v="0"/>
    <n v="27.48"/>
    <n v="13.11"/>
    <n v="275.32"/>
  </r>
  <r>
    <n v="1481"/>
    <d v="2025-01-09T00:00:00"/>
    <x v="0"/>
    <s v="Jueves"/>
    <x v="0"/>
    <x v="0"/>
    <x v="0"/>
    <x v="0"/>
    <x v="0"/>
    <x v="0"/>
    <n v="26000"/>
    <x v="4"/>
    <n v="72.099999999999994"/>
    <n v="0"/>
    <n v="54"/>
    <n v="1"/>
    <x v="1"/>
    <n v="138.6"/>
    <n v="0"/>
    <x v="0"/>
    <n v="14.05"/>
    <n v="5.3310000000000004"/>
    <n v="138.6"/>
  </r>
  <r>
    <n v="745"/>
    <d v="2025-01-09T00:00:00"/>
    <x v="0"/>
    <s v="Jueves"/>
    <x v="0"/>
    <x v="0"/>
    <x v="0"/>
    <x v="1"/>
    <x v="1"/>
    <x v="1"/>
    <n v="21000"/>
    <x v="42"/>
    <n v="72.5"/>
    <n v="0"/>
    <n v="215"/>
    <n v="1"/>
    <x v="1"/>
    <n v="201.84"/>
    <n v="0"/>
    <x v="0"/>
    <m/>
    <n v="9.6110000000000007"/>
    <n v="201.84"/>
  </r>
  <r>
    <n v="9"/>
    <d v="2025-01-09T00:00:00"/>
    <x v="0"/>
    <s v="Jueves"/>
    <x v="0"/>
    <x v="0"/>
    <x v="0"/>
    <x v="4"/>
    <x v="4"/>
    <x v="4"/>
    <n v="12500"/>
    <x v="43"/>
    <n v="75.900000000000006"/>
    <n v="0"/>
    <n v="27"/>
    <n v="0"/>
    <x v="0"/>
    <n v="25.24"/>
    <n v="0"/>
    <x v="0"/>
    <n v="2.52"/>
    <n v="2.0190000000000001"/>
    <n v="25.24"/>
  </r>
  <r>
    <n v="377"/>
    <d v="2025-01-09T00:00:00"/>
    <x v="0"/>
    <s v="Jueves"/>
    <x v="0"/>
    <x v="0"/>
    <x v="0"/>
    <x v="5"/>
    <x v="5"/>
    <x v="5"/>
    <n v="8600"/>
    <x v="44"/>
    <n v="98.9"/>
    <n v="0"/>
    <n v="97"/>
    <n v="1"/>
    <x v="1"/>
    <n v="33.15"/>
    <n v="0"/>
    <x v="0"/>
    <n v="3.3"/>
    <n v="3.855"/>
    <n v="33.15"/>
  </r>
  <r>
    <n v="1849"/>
    <d v="2025-01-09T00:00:00"/>
    <x v="0"/>
    <s v="Jueves"/>
    <x v="0"/>
    <x v="0"/>
    <x v="0"/>
    <x v="3"/>
    <x v="3"/>
    <x v="3"/>
    <n v="9800"/>
    <x v="45"/>
    <n v="99"/>
    <n v="0"/>
    <n v="318"/>
    <n v="1"/>
    <x v="1"/>
    <n v="95.31"/>
    <n v="0"/>
    <x v="0"/>
    <n v="9.1"/>
    <n v="9.7260000000000009"/>
    <n v="95.31"/>
  </r>
  <r>
    <n v="1113"/>
    <d v="2025-01-09T00:00:00"/>
    <x v="0"/>
    <s v="Jueves"/>
    <x v="0"/>
    <x v="0"/>
    <x v="0"/>
    <x v="2"/>
    <x v="2"/>
    <x v="2"/>
    <n v="17400"/>
    <x v="46"/>
    <n v="89"/>
    <n v="0"/>
    <n v="107"/>
    <n v="0"/>
    <x v="0"/>
    <n v="51.84"/>
    <n v="0"/>
    <x v="0"/>
    <n v="5.18"/>
    <n v="2.9790000000000001"/>
    <n v="51.84"/>
  </r>
  <r>
    <n v="10"/>
    <d v="2025-01-09T08:00:00"/>
    <x v="1"/>
    <s v="Jueves"/>
    <x v="0"/>
    <x v="0"/>
    <x v="0"/>
    <x v="4"/>
    <x v="4"/>
    <x v="4"/>
    <n v="12500"/>
    <x v="47"/>
    <n v="75"/>
    <n v="0"/>
    <n v="408"/>
    <n v="1"/>
    <x v="1"/>
    <n v="111.87"/>
    <n v="0"/>
    <x v="1"/>
    <n v="18.149999999999999"/>
    <n v="8.9499999999999993"/>
    <n v="111.87"/>
  </r>
  <r>
    <n v="378"/>
    <d v="2025-01-09T08:00:00"/>
    <x v="1"/>
    <s v="Jueves"/>
    <x v="0"/>
    <x v="0"/>
    <x v="0"/>
    <x v="5"/>
    <x v="5"/>
    <x v="5"/>
    <n v="8600"/>
    <x v="48"/>
    <n v="99"/>
    <n v="0"/>
    <n v="827"/>
    <n v="1"/>
    <x v="1"/>
    <n v="133.11000000000001"/>
    <n v="0"/>
    <x v="1"/>
    <n v="21.07"/>
    <n v="15.478"/>
    <n v="133.11000000000001"/>
  </r>
  <r>
    <n v="746"/>
    <d v="2025-01-09T08:00:00"/>
    <x v="1"/>
    <s v="Jueves"/>
    <x v="0"/>
    <x v="0"/>
    <x v="0"/>
    <x v="1"/>
    <x v="1"/>
    <x v="1"/>
    <n v="21000"/>
    <x v="49"/>
    <n v="65.900000000000006"/>
    <n v="0"/>
    <n v="424"/>
    <n v="1"/>
    <x v="1"/>
    <n v="303.23"/>
    <n v="0"/>
    <x v="1"/>
    <n v="49.18"/>
    <n v="14.44"/>
    <n v="303.23"/>
  </r>
  <r>
    <n v="1850"/>
    <d v="2025-01-09T08:00:00"/>
    <x v="1"/>
    <s v="Jueves"/>
    <x v="0"/>
    <x v="0"/>
    <x v="0"/>
    <x v="3"/>
    <x v="3"/>
    <x v="3"/>
    <n v="9800"/>
    <x v="50"/>
    <n v="91.5"/>
    <n v="0"/>
    <m/>
    <n v="1"/>
    <x v="1"/>
    <n v="34.64"/>
    <n v="0"/>
    <x v="1"/>
    <n v="5.47"/>
    <n v="3.5350000000000001"/>
    <n v="34.64"/>
  </r>
  <r>
    <n v="1482"/>
    <d v="2025-01-09T08:00:00"/>
    <x v="1"/>
    <s v="Jueves"/>
    <x v="0"/>
    <x v="0"/>
    <x v="0"/>
    <x v="0"/>
    <x v="0"/>
    <x v="0"/>
    <n v="26000"/>
    <x v="51"/>
    <n v="85.4"/>
    <n v="0"/>
    <n v="166"/>
    <n v="1"/>
    <x v="1"/>
    <n v="277.99"/>
    <n v="0"/>
    <x v="1"/>
    <n v="45.87"/>
    <n v="10.692"/>
    <n v="277.99"/>
  </r>
  <r>
    <n v="1114"/>
    <d v="2025-01-09T08:00:00"/>
    <x v="1"/>
    <s v="Jueves"/>
    <x v="0"/>
    <x v="0"/>
    <x v="0"/>
    <x v="2"/>
    <x v="2"/>
    <x v="2"/>
    <n v="17400"/>
    <x v="52"/>
    <n v="87"/>
    <n v="0"/>
    <n v="0"/>
    <n v="0"/>
    <x v="0"/>
    <n v="44.34"/>
    <n v="0"/>
    <x v="1"/>
    <n v="6.87"/>
    <n v="2.548"/>
    <n v="44.34"/>
  </r>
  <r>
    <n v="379"/>
    <d v="2025-01-09T14:00:00"/>
    <x v="2"/>
    <s v="Jueves"/>
    <x v="0"/>
    <x v="0"/>
    <x v="0"/>
    <x v="5"/>
    <x v="5"/>
    <x v="5"/>
    <n v="8600"/>
    <x v="52"/>
    <n v="99"/>
    <n v="180.9"/>
    <n v="747"/>
    <n v="1"/>
    <x v="1"/>
    <n v="82.62"/>
    <n v="12.61"/>
    <x v="1"/>
    <n v="11.15"/>
    <n v="9.6069999999999993"/>
    <n v="70.010000000000005"/>
  </r>
  <r>
    <n v="11"/>
    <d v="2025-01-09T14:00:00"/>
    <x v="2"/>
    <s v="Jueves"/>
    <x v="0"/>
    <x v="0"/>
    <x v="0"/>
    <x v="4"/>
    <x v="4"/>
    <x v="4"/>
    <n v="12500"/>
    <x v="12"/>
    <n v="58.9"/>
    <n v="332.4"/>
    <n v="539"/>
    <n v="1"/>
    <x v="1"/>
    <n v="109.16"/>
    <n v="48.02"/>
    <x v="1"/>
    <n v="10.029999999999999"/>
    <n v="8.7330000000000005"/>
    <n v="61.14"/>
  </r>
  <r>
    <n v="747"/>
    <d v="2025-01-09T14:00:00"/>
    <x v="2"/>
    <s v="Jueves"/>
    <x v="0"/>
    <x v="0"/>
    <x v="0"/>
    <x v="1"/>
    <x v="1"/>
    <x v="1"/>
    <n v="21000"/>
    <x v="53"/>
    <n v="70.3"/>
    <n v="346.1"/>
    <n v="380"/>
    <n v="0"/>
    <x v="0"/>
    <n v="190.53"/>
    <n v="69.23"/>
    <x v="1"/>
    <n v="19.61"/>
    <n v="9.0730000000000004"/>
    <n v="121.3"/>
  </r>
  <r>
    <n v="1483"/>
    <d v="2025-01-09T14:00:00"/>
    <x v="2"/>
    <s v="Jueves"/>
    <x v="0"/>
    <x v="0"/>
    <x v="0"/>
    <x v="0"/>
    <x v="0"/>
    <x v="0"/>
    <n v="26000"/>
    <x v="54"/>
    <n v="77.5"/>
    <n v="341"/>
    <n v="182"/>
    <n v="1"/>
    <x v="1"/>
    <n v="155.38"/>
    <n v="92.12"/>
    <x v="1"/>
    <n v="10.08"/>
    <n v="5.976"/>
    <n v="63.26"/>
  </r>
  <r>
    <n v="1851"/>
    <d v="2025-01-09T14:00:00"/>
    <x v="2"/>
    <s v="Jueves"/>
    <x v="0"/>
    <x v="0"/>
    <x v="0"/>
    <x v="3"/>
    <x v="3"/>
    <x v="3"/>
    <n v="9800"/>
    <x v="55"/>
    <n v="85.3"/>
    <n v="397.7"/>
    <n v="63"/>
    <n v="1"/>
    <x v="2"/>
    <m/>
    <n v="0"/>
    <x v="1"/>
    <n v="2.88"/>
    <m/>
    <m/>
  </r>
  <r>
    <n v="1115"/>
    <d v="2025-01-09T14:00:00"/>
    <x v="2"/>
    <s v="Jueves"/>
    <x v="0"/>
    <x v="0"/>
    <x v="0"/>
    <x v="2"/>
    <x v="2"/>
    <x v="2"/>
    <n v="17400"/>
    <x v="56"/>
    <n v="77.7"/>
    <n v="327.3"/>
    <n v="1277"/>
    <n v="0"/>
    <x v="0"/>
    <n v="197.4"/>
    <n v="42.48"/>
    <x v="1"/>
    <n v="24.48"/>
    <n v="11.345000000000001"/>
    <n v="154.91999999999999"/>
  </r>
  <r>
    <n v="380"/>
    <d v="2025-01-09T20:00:00"/>
    <x v="3"/>
    <s v="Jueves"/>
    <x v="0"/>
    <x v="0"/>
    <x v="0"/>
    <x v="5"/>
    <x v="5"/>
    <x v="5"/>
    <n v="8600"/>
    <x v="57"/>
    <n v="99"/>
    <n v="0"/>
    <n v="58"/>
    <n v="1"/>
    <x v="1"/>
    <n v="27.81"/>
    <n v="0"/>
    <x v="2"/>
    <n v="7"/>
    <n v="3.234"/>
    <n v="27.81"/>
  </r>
  <r>
    <n v="1484"/>
    <d v="2025-01-09T20:00:00"/>
    <x v="3"/>
    <s v="Jueves"/>
    <x v="0"/>
    <x v="0"/>
    <x v="0"/>
    <x v="0"/>
    <x v="0"/>
    <x v="0"/>
    <n v="26000"/>
    <x v="58"/>
    <n v="75.599999999999994"/>
    <n v="0"/>
    <n v="165"/>
    <n v="1"/>
    <x v="1"/>
    <n v="272.64"/>
    <n v="0"/>
    <x v="2"/>
    <n v="65.709999999999994"/>
    <n v="10.486000000000001"/>
    <n v="272.64"/>
  </r>
  <r>
    <n v="12"/>
    <d v="2025-01-09T20:00:00"/>
    <x v="3"/>
    <s v="Jueves"/>
    <x v="0"/>
    <x v="0"/>
    <x v="0"/>
    <x v="4"/>
    <x v="4"/>
    <x v="4"/>
    <n v="12500"/>
    <x v="43"/>
    <n v="84.8"/>
    <n v="0"/>
    <n v="64"/>
    <n v="1"/>
    <x v="1"/>
    <n v="244.14"/>
    <n v="0"/>
    <x v="2"/>
    <n v="11.39"/>
    <n v="19.530999999999999"/>
    <n v="244.14"/>
  </r>
  <r>
    <n v="1116"/>
    <d v="2025-01-09T20:00:00"/>
    <x v="3"/>
    <s v="Jueves"/>
    <x v="0"/>
    <x v="0"/>
    <x v="0"/>
    <x v="2"/>
    <x v="2"/>
    <x v="2"/>
    <n v="17400"/>
    <x v="59"/>
    <n v="81.2"/>
    <n v="0"/>
    <n v="1366"/>
    <n v="1"/>
    <x v="1"/>
    <n v="269.24"/>
    <n v="0"/>
    <x v="2"/>
    <n v="66.209999999999994"/>
    <n v="15.474"/>
    <n v="269.24"/>
  </r>
  <r>
    <n v="748"/>
    <d v="2025-01-09T20:00:00"/>
    <x v="3"/>
    <s v="Jueves"/>
    <x v="0"/>
    <x v="0"/>
    <x v="0"/>
    <x v="1"/>
    <x v="1"/>
    <x v="1"/>
    <n v="21000"/>
    <x v="24"/>
    <n v="71.599999999999994"/>
    <n v="0"/>
    <n v="382"/>
    <n v="1"/>
    <x v="1"/>
    <n v="272.86"/>
    <n v="0"/>
    <x v="2"/>
    <n v="67.510000000000005"/>
    <n v="12.993"/>
    <n v="272.86"/>
  </r>
  <r>
    <n v="1852"/>
    <d v="2025-01-09T20:00:00"/>
    <x v="3"/>
    <s v="Jueves"/>
    <x v="0"/>
    <x v="0"/>
    <x v="0"/>
    <x v="3"/>
    <x v="3"/>
    <x v="3"/>
    <n v="9800"/>
    <x v="60"/>
    <n v="90.2"/>
    <n v="0"/>
    <n v="312"/>
    <n v="1"/>
    <x v="1"/>
    <n v="96.76"/>
    <n v="0"/>
    <x v="2"/>
    <n v="23.53"/>
    <n v="9.8729999999999993"/>
    <n v="96.76"/>
  </r>
  <r>
    <n v="1853"/>
    <d v="2025-01-13T00:00:00"/>
    <x v="0"/>
    <s v="Lunes"/>
    <x v="0"/>
    <x v="0"/>
    <x v="0"/>
    <x v="3"/>
    <x v="3"/>
    <x v="3"/>
    <n v="9800"/>
    <x v="38"/>
    <n v="98.3"/>
    <m/>
    <n v="330"/>
    <n v="1"/>
    <x v="1"/>
    <n v="100.33"/>
    <n v="0"/>
    <x v="0"/>
    <n v="9.98"/>
    <n v="10.238"/>
    <n v="100.33"/>
  </r>
  <r>
    <n v="13"/>
    <d v="2025-01-13T00:00:00"/>
    <x v="0"/>
    <s v="Lunes"/>
    <x v="0"/>
    <x v="0"/>
    <x v="0"/>
    <x v="4"/>
    <x v="4"/>
    <x v="4"/>
    <n v="12500"/>
    <x v="61"/>
    <n v="78.8"/>
    <n v="0"/>
    <n v="0"/>
    <n v="0"/>
    <x v="0"/>
    <n v="24.54"/>
    <n v="0"/>
    <x v="0"/>
    <n v="2.4300000000000002"/>
    <n v="1.9630000000000001"/>
    <n v="24.54"/>
  </r>
  <r>
    <n v="1117"/>
    <d v="2025-01-13T00:00:00"/>
    <x v="0"/>
    <s v="Lunes"/>
    <x v="0"/>
    <x v="0"/>
    <x v="0"/>
    <x v="2"/>
    <x v="2"/>
    <x v="2"/>
    <n v="17400"/>
    <x v="14"/>
    <n v="88.8"/>
    <n v="0"/>
    <n v="10"/>
    <n v="0"/>
    <x v="0"/>
    <n v="47.39"/>
    <n v="0"/>
    <x v="0"/>
    <n v="4.67"/>
    <n v="2.7240000000000002"/>
    <n v="47.39"/>
  </r>
  <r>
    <n v="749"/>
    <d v="2025-01-13T00:00:00"/>
    <x v="0"/>
    <s v="Lunes"/>
    <x v="0"/>
    <x v="0"/>
    <x v="0"/>
    <x v="1"/>
    <x v="1"/>
    <x v="1"/>
    <n v="21000"/>
    <x v="62"/>
    <n v="74.400000000000006"/>
    <n v="0"/>
    <n v="223"/>
    <n v="1"/>
    <x v="1"/>
    <n v="204.83"/>
    <n v="0"/>
    <x v="0"/>
    <n v="20.09"/>
    <n v="9.7539999999999996"/>
    <n v="204.83"/>
  </r>
  <r>
    <n v="381"/>
    <d v="2025-01-13T00:00:00"/>
    <x v="0"/>
    <s v="Lunes"/>
    <x v="0"/>
    <x v="0"/>
    <x v="0"/>
    <x v="5"/>
    <x v="5"/>
    <x v="5"/>
    <n v="8600"/>
    <x v="63"/>
    <n v="95.8"/>
    <n v="0"/>
    <n v="8"/>
    <n v="1"/>
    <x v="1"/>
    <n v="25.58"/>
    <n v="0"/>
    <x v="0"/>
    <n v="2.57"/>
    <n v="2.9740000000000002"/>
    <n v="25.58"/>
  </r>
  <r>
    <n v="1485"/>
    <d v="2025-01-13T00:00:00"/>
    <x v="0"/>
    <s v="Lunes"/>
    <x v="0"/>
    <x v="0"/>
    <x v="0"/>
    <x v="0"/>
    <x v="0"/>
    <x v="0"/>
    <n v="26000"/>
    <x v="64"/>
    <n v="85.4"/>
    <n v="0"/>
    <n v="69"/>
    <n v="1"/>
    <x v="1"/>
    <n v="135.59"/>
    <n v="0"/>
    <x v="0"/>
    <n v="12.88"/>
    <n v="5.2149999999999999"/>
    <n v="135.59"/>
  </r>
  <r>
    <n v="1118"/>
    <d v="2025-01-13T08:00:00"/>
    <x v="1"/>
    <s v="Lunes"/>
    <x v="0"/>
    <x v="0"/>
    <x v="0"/>
    <x v="2"/>
    <x v="2"/>
    <x v="2"/>
    <n v="17400"/>
    <x v="65"/>
    <n v="89.9"/>
    <n v="0"/>
    <n v="93"/>
    <n v="0"/>
    <x v="0"/>
    <n v="54.08"/>
    <n v="0"/>
    <x v="1"/>
    <n v="8.34"/>
    <n v="3.1080000000000001"/>
    <n v="54.08"/>
  </r>
  <r>
    <n v="1486"/>
    <d v="2025-01-13T08:00:00"/>
    <x v="1"/>
    <s v="Lunes"/>
    <x v="0"/>
    <x v="0"/>
    <x v="0"/>
    <x v="0"/>
    <x v="0"/>
    <x v="0"/>
    <n v="26000"/>
    <x v="66"/>
    <n v="88"/>
    <n v="0"/>
    <n v="155"/>
    <n v="1"/>
    <x v="1"/>
    <n v="259.14"/>
    <n v="0"/>
    <x v="1"/>
    <n v="42.42"/>
    <n v="9.9670000000000005"/>
    <n v="259.14"/>
  </r>
  <r>
    <n v="382"/>
    <d v="2025-01-13T08:00:00"/>
    <x v="1"/>
    <s v="Lunes"/>
    <x v="0"/>
    <x v="0"/>
    <x v="0"/>
    <x v="5"/>
    <x v="5"/>
    <x v="5"/>
    <n v="8600"/>
    <x v="67"/>
    <m/>
    <n v="0"/>
    <n v="913"/>
    <n v="1"/>
    <x v="1"/>
    <n v="123.48"/>
    <n v="0"/>
    <x v="1"/>
    <n v="19.25"/>
    <n v="14.358000000000001"/>
    <n v="123.48"/>
  </r>
  <r>
    <n v="14"/>
    <d v="2025-01-13T08:00:00"/>
    <x v="1"/>
    <s v="Lunes"/>
    <x v="0"/>
    <x v="0"/>
    <x v="0"/>
    <x v="4"/>
    <x v="4"/>
    <x v="4"/>
    <n v="12500"/>
    <x v="68"/>
    <n v="79.099999999999994"/>
    <n v="0"/>
    <n v="308"/>
    <n v="1"/>
    <x v="1"/>
    <n v="111.57"/>
    <n v="0"/>
    <x v="1"/>
    <n v="17.93"/>
    <n v="8.9260000000000002"/>
    <n v="111.57"/>
  </r>
  <r>
    <n v="750"/>
    <d v="2025-01-13T08:00:00"/>
    <x v="1"/>
    <s v="Lunes"/>
    <x v="0"/>
    <x v="0"/>
    <x v="0"/>
    <x v="1"/>
    <x v="1"/>
    <x v="1"/>
    <n v="21000"/>
    <x v="46"/>
    <n v="71.599999999999994"/>
    <n v="0"/>
    <n v="385"/>
    <n v="1"/>
    <x v="1"/>
    <n v="289.06"/>
    <n v="0"/>
    <x v="1"/>
    <n v="46.02"/>
    <n v="13.765000000000001"/>
    <n v="289.06"/>
  </r>
  <r>
    <n v="1854"/>
    <d v="2025-01-13T08:00:00"/>
    <x v="1"/>
    <s v="Lunes"/>
    <x v="0"/>
    <x v="0"/>
    <x v="0"/>
    <x v="3"/>
    <x v="3"/>
    <x v="3"/>
    <n v="9800"/>
    <x v="69"/>
    <n v="93.9"/>
    <n v="0"/>
    <n v="100"/>
    <n v="1"/>
    <x v="1"/>
    <n v="36.979999999999997"/>
    <n v="0"/>
    <x v="1"/>
    <n v="5.69"/>
    <n v="3.7730000000000001"/>
    <n v="36.979999999999997"/>
  </r>
  <r>
    <n v="383"/>
    <d v="2025-01-13T14:00:00"/>
    <x v="2"/>
    <s v="Lunes"/>
    <x v="0"/>
    <x v="0"/>
    <x v="0"/>
    <x v="5"/>
    <x v="5"/>
    <x v="5"/>
    <n v="8600"/>
    <x v="50"/>
    <n v="93"/>
    <n v="306.89999999999998"/>
    <n v="801"/>
    <n v="1"/>
    <x v="1"/>
    <n v="87.36"/>
    <n v="23.69"/>
    <x v="1"/>
    <n v="10.01"/>
    <n v="10.157999999999999"/>
    <n v="63.67"/>
  </r>
  <r>
    <n v="751"/>
    <d v="2025-01-13T14:00:00"/>
    <x v="2"/>
    <s v="Lunes"/>
    <x v="0"/>
    <x v="0"/>
    <x v="0"/>
    <x v="1"/>
    <x v="1"/>
    <x v="1"/>
    <n v="21000"/>
    <x v="70"/>
    <n v="51.4"/>
    <m/>
    <n v="393"/>
    <n v="0"/>
    <x v="0"/>
    <n v="179.65"/>
    <n v="82.08"/>
    <x v="1"/>
    <n v="15.45"/>
    <n v="8.5549999999999997"/>
    <n v="97.57"/>
  </r>
  <r>
    <n v="1855"/>
    <d v="2025-01-13T14:00:00"/>
    <x v="2"/>
    <s v="Lunes"/>
    <x v="0"/>
    <x v="0"/>
    <x v="0"/>
    <x v="3"/>
    <x v="3"/>
    <x v="3"/>
    <n v="9800"/>
    <x v="71"/>
    <n v="85"/>
    <n v="263.3"/>
    <n v="59"/>
    <n v="0"/>
    <x v="0"/>
    <n v="17.68"/>
    <n v="0"/>
    <x v="1"/>
    <n v="2.75"/>
    <n v="1.804"/>
    <n v="17.68"/>
  </r>
  <r>
    <n v="1119"/>
    <d v="2025-01-13T14:00:00"/>
    <x v="2"/>
    <s v="Lunes"/>
    <x v="0"/>
    <x v="0"/>
    <x v="0"/>
    <x v="2"/>
    <x v="2"/>
    <x v="2"/>
    <n v="17400"/>
    <x v="72"/>
    <n v="77.099999999999994"/>
    <n v="315.10000000000002"/>
    <n v="1429"/>
    <n v="1"/>
    <x v="2"/>
    <n v="221.62"/>
    <n v="43.34"/>
    <x v="1"/>
    <n v="28.56"/>
    <n v="12.737"/>
    <n v="178.28"/>
  </r>
  <r>
    <n v="1487"/>
    <d v="2025-01-13T14:00:00"/>
    <x v="2"/>
    <s v="Lunes"/>
    <x v="0"/>
    <x v="0"/>
    <x v="0"/>
    <x v="0"/>
    <x v="0"/>
    <x v="0"/>
    <n v="26000"/>
    <x v="73"/>
    <n v="91.8"/>
    <n v="219"/>
    <n v="175"/>
    <n v="1"/>
    <x v="1"/>
    <n v="154.80000000000001"/>
    <n v="61.83"/>
    <x v="1"/>
    <n v="15.2"/>
    <n v="5.9539999999999997"/>
    <n v="92.97"/>
  </r>
  <r>
    <n v="15"/>
    <d v="2025-01-13T14:00:00"/>
    <x v="2"/>
    <s v="Lunes"/>
    <x v="0"/>
    <x v="0"/>
    <x v="0"/>
    <x v="4"/>
    <x v="4"/>
    <x v="4"/>
    <n v="12500"/>
    <x v="74"/>
    <n v="83.1"/>
    <n v="334.8"/>
    <n v="628"/>
    <n v="1"/>
    <x v="1"/>
    <n v="102.58"/>
    <n v="50.2"/>
    <x v="1"/>
    <n v="8.0399999999999991"/>
    <n v="8.2059999999999995"/>
    <n v="52.38"/>
  </r>
  <r>
    <n v="16"/>
    <d v="2025-01-13T20:00:00"/>
    <x v="3"/>
    <s v="Lunes"/>
    <x v="0"/>
    <x v="0"/>
    <x v="0"/>
    <x v="4"/>
    <x v="4"/>
    <x v="4"/>
    <n v="12500"/>
    <x v="75"/>
    <n v="73.2"/>
    <n v="0"/>
    <n v="75"/>
    <n v="1"/>
    <x v="1"/>
    <n v="46.4"/>
    <n v="0"/>
    <x v="2"/>
    <n v="11.51"/>
    <n v="3.7120000000000002"/>
    <n v="46.4"/>
  </r>
  <r>
    <n v="384"/>
    <d v="2025-01-13T20:00:00"/>
    <x v="3"/>
    <s v="Lunes"/>
    <x v="0"/>
    <x v="0"/>
    <x v="0"/>
    <x v="5"/>
    <x v="5"/>
    <x v="5"/>
    <n v="8600"/>
    <x v="76"/>
    <n v="99"/>
    <n v="0"/>
    <n v="62"/>
    <n v="1"/>
    <x v="1"/>
    <n v="25.07"/>
    <n v="0"/>
    <x v="2"/>
    <n v="6.01"/>
    <n v="2.915"/>
    <n v="25.07"/>
  </r>
  <r>
    <n v="1488"/>
    <d v="2025-01-13T20:00:00"/>
    <x v="3"/>
    <s v="Lunes"/>
    <x v="0"/>
    <x v="0"/>
    <x v="0"/>
    <x v="0"/>
    <x v="0"/>
    <x v="0"/>
    <n v="26000"/>
    <x v="77"/>
    <n v="75.5"/>
    <n v="0"/>
    <n v="170"/>
    <n v="1"/>
    <x v="1"/>
    <n v="266.68"/>
    <n v="0"/>
    <x v="2"/>
    <n v="63.95"/>
    <n v="10.257"/>
    <n v="266.68"/>
  </r>
  <r>
    <n v="752"/>
    <d v="2025-01-13T20:00:00"/>
    <x v="3"/>
    <s v="Lunes"/>
    <x v="0"/>
    <x v="0"/>
    <x v="0"/>
    <x v="1"/>
    <x v="1"/>
    <x v="1"/>
    <n v="21000"/>
    <x v="78"/>
    <n v="78.400000000000006"/>
    <n v="0"/>
    <n v="420"/>
    <n v="1"/>
    <x v="1"/>
    <n v="261.08999999999997"/>
    <n v="0"/>
    <x v="2"/>
    <n v="63.03"/>
    <n v="12.433"/>
    <n v="261.08999999999997"/>
  </r>
  <r>
    <n v="1120"/>
    <d v="2025-01-13T20:00:00"/>
    <x v="3"/>
    <s v="Lunes"/>
    <x v="0"/>
    <x v="0"/>
    <x v="0"/>
    <x v="2"/>
    <x v="2"/>
    <x v="2"/>
    <n v="17400"/>
    <x v="79"/>
    <n v="71.5"/>
    <n v="0"/>
    <n v="1390"/>
    <n v="1"/>
    <x v="1"/>
    <n v="285.04000000000002"/>
    <n v="0"/>
    <x v="2"/>
    <n v="67.900000000000006"/>
    <n v="16.382000000000001"/>
    <n v="285.04000000000002"/>
  </r>
  <r>
    <n v="1856"/>
    <d v="2025-01-13T20:00:00"/>
    <x v="3"/>
    <s v="Lunes"/>
    <x v="0"/>
    <x v="0"/>
    <x v="0"/>
    <x v="3"/>
    <x v="3"/>
    <x v="3"/>
    <n v="9800"/>
    <x v="80"/>
    <n v="85.8"/>
    <n v="0"/>
    <n v="290"/>
    <n v="1"/>
    <x v="1"/>
    <n v="98.24"/>
    <n v="0"/>
    <x v="2"/>
    <n v="23.85"/>
    <n v="10.023999999999999"/>
    <n v="98.24"/>
  </r>
  <r>
    <n v="1857"/>
    <d v="2025-01-17T00:00:00"/>
    <x v="0"/>
    <s v="Viernes"/>
    <x v="0"/>
    <x v="0"/>
    <x v="0"/>
    <x v="3"/>
    <x v="3"/>
    <x v="3"/>
    <n v="9800"/>
    <x v="81"/>
    <n v="87.4"/>
    <m/>
    <n v="304"/>
    <n v="1"/>
    <x v="1"/>
    <n v="102.46"/>
    <n v="0"/>
    <x v="0"/>
    <n v="10.29"/>
    <n v="10.455"/>
    <n v="102.46"/>
  </r>
  <r>
    <n v="17"/>
    <d v="2025-01-17T00:00:00"/>
    <x v="0"/>
    <s v="Viernes"/>
    <x v="0"/>
    <x v="0"/>
    <x v="0"/>
    <x v="4"/>
    <x v="4"/>
    <x v="4"/>
    <n v="12500"/>
    <x v="82"/>
    <n v="88.3"/>
    <n v="0"/>
    <n v="35"/>
    <n v="0"/>
    <x v="0"/>
    <n v="26.91"/>
    <n v="0"/>
    <x v="0"/>
    <n v="2.66"/>
    <n v="2.153"/>
    <n v="26.91"/>
  </r>
  <r>
    <n v="1489"/>
    <d v="2025-01-17T00:00:00"/>
    <x v="0"/>
    <s v="Viernes"/>
    <x v="0"/>
    <x v="0"/>
    <x v="0"/>
    <x v="0"/>
    <x v="0"/>
    <x v="0"/>
    <n v="26000"/>
    <x v="83"/>
    <n v="84.1"/>
    <n v="0"/>
    <n v="64"/>
    <n v="1"/>
    <x v="1"/>
    <n v="127.53"/>
    <n v="0"/>
    <x v="0"/>
    <n v="12.4"/>
    <n v="4.9050000000000002"/>
    <n v="127.53"/>
  </r>
  <r>
    <n v="1121"/>
    <d v="2025-01-17T00:00:00"/>
    <x v="0"/>
    <s v="Viernes"/>
    <x v="0"/>
    <x v="0"/>
    <x v="0"/>
    <x v="2"/>
    <x v="2"/>
    <x v="2"/>
    <n v="17400"/>
    <x v="84"/>
    <m/>
    <n v="0"/>
    <n v="86"/>
    <n v="0"/>
    <x v="0"/>
    <n v="51.96"/>
    <n v="0"/>
    <x v="0"/>
    <n v="5.14"/>
    <n v="2.9860000000000002"/>
    <n v="51.96"/>
  </r>
  <r>
    <n v="753"/>
    <d v="2025-01-17T00:00:00"/>
    <x v="0"/>
    <s v="Viernes"/>
    <x v="0"/>
    <x v="0"/>
    <x v="0"/>
    <x v="1"/>
    <x v="1"/>
    <x v="1"/>
    <n v="21000"/>
    <x v="67"/>
    <n v="79"/>
    <n v="0"/>
    <n v="173"/>
    <n v="1"/>
    <x v="1"/>
    <n v="186.3"/>
    <n v="0"/>
    <x v="0"/>
    <n v="19.100000000000001"/>
    <n v="8.8710000000000004"/>
    <n v="186.3"/>
  </r>
  <r>
    <n v="385"/>
    <d v="2025-01-17T00:00:00"/>
    <x v="0"/>
    <s v="Viernes"/>
    <x v="0"/>
    <x v="0"/>
    <x v="0"/>
    <x v="5"/>
    <x v="5"/>
    <x v="5"/>
    <n v="8600"/>
    <x v="75"/>
    <n v="99"/>
    <n v="0"/>
    <n v="5"/>
    <n v="1"/>
    <x v="1"/>
    <n v="23.64"/>
    <n v="0"/>
    <x v="0"/>
    <n v="2.27"/>
    <n v="2.7490000000000001"/>
    <n v="23.64"/>
  </r>
  <r>
    <n v="18"/>
    <d v="2025-01-17T08:00:00"/>
    <x v="1"/>
    <s v="Viernes"/>
    <x v="0"/>
    <x v="0"/>
    <x v="0"/>
    <x v="4"/>
    <x v="4"/>
    <x v="4"/>
    <n v="12500"/>
    <x v="85"/>
    <n v="67.5"/>
    <n v="0"/>
    <n v="272"/>
    <n v="1"/>
    <x v="1"/>
    <n v="117.44"/>
    <n v="0"/>
    <x v="1"/>
    <n v="18.489999999999998"/>
    <n v="9.3949999999999996"/>
    <n v="117.44"/>
  </r>
  <r>
    <n v="1122"/>
    <d v="2025-01-17T08:00:00"/>
    <x v="1"/>
    <s v="Viernes"/>
    <x v="0"/>
    <x v="0"/>
    <x v="0"/>
    <x v="2"/>
    <x v="2"/>
    <x v="2"/>
    <n v="17400"/>
    <x v="60"/>
    <n v="89.5"/>
    <n v="0"/>
    <n v="0"/>
    <n v="0"/>
    <x v="0"/>
    <n v="45.03"/>
    <n v="0"/>
    <x v="1"/>
    <n v="7.07"/>
    <n v="2.5880000000000001"/>
    <n v="45.03"/>
  </r>
  <r>
    <n v="1490"/>
    <d v="2025-01-17T08:00:00"/>
    <x v="1"/>
    <s v="Viernes"/>
    <x v="0"/>
    <x v="0"/>
    <x v="0"/>
    <x v="0"/>
    <x v="0"/>
    <x v="0"/>
    <n v="26000"/>
    <x v="86"/>
    <n v="72"/>
    <n v="0"/>
    <n v="164"/>
    <n v="1"/>
    <x v="1"/>
    <n v="283.93"/>
    <n v="0"/>
    <x v="1"/>
    <n v="44.61"/>
    <n v="10.92"/>
    <n v="283.93"/>
  </r>
  <r>
    <n v="1858"/>
    <d v="2025-01-17T08:00:00"/>
    <x v="1"/>
    <s v="Viernes"/>
    <x v="0"/>
    <x v="0"/>
    <x v="0"/>
    <x v="3"/>
    <x v="3"/>
    <x v="3"/>
    <n v="9800"/>
    <x v="57"/>
    <n v="96.5"/>
    <n v="0"/>
    <n v="72"/>
    <n v="1"/>
    <x v="1"/>
    <n v="35.880000000000003"/>
    <n v="0"/>
    <x v="1"/>
    <n v="5.52"/>
    <n v="3.661"/>
    <n v="35.880000000000003"/>
  </r>
  <r>
    <n v="754"/>
    <d v="2025-01-17T08:00:00"/>
    <x v="1"/>
    <s v="Viernes"/>
    <x v="0"/>
    <x v="0"/>
    <x v="0"/>
    <x v="1"/>
    <x v="1"/>
    <x v="1"/>
    <n v="21000"/>
    <x v="43"/>
    <n v="71.400000000000006"/>
    <n v="0"/>
    <n v="414"/>
    <n v="1"/>
    <x v="1"/>
    <n v="301.89999999999998"/>
    <n v="0"/>
    <x v="1"/>
    <n v="46.25"/>
    <n v="14.375999999999999"/>
    <n v="301.89999999999998"/>
  </r>
  <r>
    <n v="386"/>
    <d v="2025-01-17T08:00:00"/>
    <x v="1"/>
    <s v="Viernes"/>
    <x v="0"/>
    <x v="0"/>
    <x v="0"/>
    <x v="5"/>
    <x v="5"/>
    <x v="5"/>
    <n v="8600"/>
    <x v="87"/>
    <n v="97"/>
    <n v="0"/>
    <n v="771"/>
    <n v="1"/>
    <x v="1"/>
    <n v="113.82"/>
    <n v="0"/>
    <x v="1"/>
    <n v="17.72"/>
    <n v="13.234999999999999"/>
    <n v="113.82"/>
  </r>
  <r>
    <n v="19"/>
    <d v="2025-01-17T14:00:00"/>
    <x v="2"/>
    <s v="Viernes"/>
    <x v="0"/>
    <x v="0"/>
    <x v="0"/>
    <x v="4"/>
    <x v="4"/>
    <x v="4"/>
    <n v="12500"/>
    <x v="33"/>
    <n v="68.7"/>
    <n v="340.3"/>
    <n v="614"/>
    <n v="1"/>
    <x v="1"/>
    <n v="102.85"/>
    <n v="51.82"/>
    <x v="1"/>
    <n v="8.27"/>
    <n v="8.2279999999999998"/>
    <n v="51.03"/>
  </r>
  <r>
    <n v="1491"/>
    <d v="2025-01-17T14:00:00"/>
    <x v="2"/>
    <s v="Viernes"/>
    <x v="0"/>
    <x v="0"/>
    <x v="0"/>
    <x v="0"/>
    <x v="0"/>
    <x v="0"/>
    <n v="26000"/>
    <x v="37"/>
    <n v="65.900000000000006"/>
    <n v="416.8"/>
    <n v="154"/>
    <n v="1"/>
    <x v="1"/>
    <n v="160.75"/>
    <n v="116.15"/>
    <x v="1"/>
    <n v="7.26"/>
    <n v="6.1829999999999998"/>
    <n v="44.6"/>
  </r>
  <r>
    <n v="1859"/>
    <d v="2025-01-17T14:00:00"/>
    <x v="2"/>
    <s v="Viernes"/>
    <x v="0"/>
    <x v="0"/>
    <x v="0"/>
    <x v="3"/>
    <x v="3"/>
    <x v="3"/>
    <n v="9800"/>
    <x v="88"/>
    <n v="97.4"/>
    <n v="269.89999999999998"/>
    <m/>
    <n v="1"/>
    <x v="1"/>
    <n v="21.19"/>
    <n v="0"/>
    <x v="1"/>
    <n v="3.32"/>
    <n v="2.1619999999999999"/>
    <n v="21.19"/>
  </r>
  <r>
    <n v="387"/>
    <d v="2025-01-17T14:00:00"/>
    <x v="2"/>
    <s v="Viernes"/>
    <x v="0"/>
    <x v="0"/>
    <x v="0"/>
    <x v="5"/>
    <x v="5"/>
    <x v="5"/>
    <n v="8600"/>
    <x v="89"/>
    <n v="92.9"/>
    <n v="314.39999999999998"/>
    <n v="749"/>
    <n v="1"/>
    <x v="1"/>
    <n v="74.930000000000007"/>
    <n v="24.27"/>
    <x v="1"/>
    <n v="8.01"/>
    <n v="8.7129999999999992"/>
    <n v="50.66"/>
  </r>
  <r>
    <n v="1123"/>
    <d v="2025-01-17T14:00:00"/>
    <x v="2"/>
    <s v="Viernes"/>
    <x v="0"/>
    <x v="0"/>
    <x v="0"/>
    <x v="2"/>
    <x v="2"/>
    <x v="2"/>
    <n v="17400"/>
    <x v="43"/>
    <n v="82"/>
    <n v="414.4"/>
    <n v="1265"/>
    <n v="1"/>
    <x v="2"/>
    <n v="192.9"/>
    <n v="51.74"/>
    <x v="1"/>
    <n v="21.64"/>
    <n v="11.086"/>
    <n v="141.16"/>
  </r>
  <r>
    <n v="755"/>
    <d v="2025-01-17T14:00:00"/>
    <x v="2"/>
    <s v="Viernes"/>
    <x v="0"/>
    <x v="0"/>
    <x v="0"/>
    <x v="1"/>
    <x v="1"/>
    <x v="1"/>
    <n v="21000"/>
    <x v="35"/>
    <n v="83.3"/>
    <n v="351.4"/>
    <n v="419"/>
    <n v="1"/>
    <x v="1"/>
    <n v="196.78"/>
    <n v="69.77"/>
    <x v="1"/>
    <n v="20.260000000000002"/>
    <n v="9.3699999999999992"/>
    <n v="127.01"/>
  </r>
  <r>
    <n v="1492"/>
    <d v="2025-01-17T20:00:00"/>
    <x v="3"/>
    <s v="Viernes"/>
    <x v="0"/>
    <x v="0"/>
    <x v="0"/>
    <x v="0"/>
    <x v="0"/>
    <x v="0"/>
    <n v="26000"/>
    <x v="67"/>
    <n v="68.599999999999994"/>
    <n v="0"/>
    <n v="166"/>
    <n v="1"/>
    <x v="1"/>
    <n v="264.93"/>
    <n v="0"/>
    <x v="2"/>
    <n v="64.48"/>
    <n v="10.19"/>
    <n v="264.93"/>
  </r>
  <r>
    <n v="1124"/>
    <d v="2025-01-17T20:00:00"/>
    <x v="3"/>
    <s v="Viernes"/>
    <x v="0"/>
    <x v="0"/>
    <x v="0"/>
    <x v="2"/>
    <x v="2"/>
    <x v="2"/>
    <n v="17400"/>
    <x v="36"/>
    <n v="81.5"/>
    <n v="0"/>
    <n v="1363"/>
    <n v="1"/>
    <x v="1"/>
    <n v="268.51"/>
    <n v="0"/>
    <x v="2"/>
    <n v="63.88"/>
    <n v="15.432"/>
    <n v="268.51"/>
  </r>
  <r>
    <n v="1860"/>
    <d v="2025-01-17T20:00:00"/>
    <x v="3"/>
    <s v="Viernes"/>
    <x v="0"/>
    <x v="0"/>
    <x v="0"/>
    <x v="3"/>
    <x v="3"/>
    <x v="3"/>
    <n v="9800"/>
    <x v="80"/>
    <n v="81.599999999999994"/>
    <n v="0"/>
    <n v="284"/>
    <n v="1"/>
    <x v="1"/>
    <n v="97.93"/>
    <n v="0"/>
    <x v="2"/>
    <n v="24.03"/>
    <n v="9.9930000000000003"/>
    <n v="97.93"/>
  </r>
  <r>
    <n v="20"/>
    <d v="2025-01-17T20:00:00"/>
    <x v="3"/>
    <s v="Viernes"/>
    <x v="0"/>
    <x v="0"/>
    <x v="0"/>
    <x v="4"/>
    <x v="4"/>
    <x v="4"/>
    <n v="12500"/>
    <x v="8"/>
    <n v="74.400000000000006"/>
    <n v="0"/>
    <n v="106"/>
    <n v="1"/>
    <x v="1"/>
    <n v="43.19"/>
    <n v="0"/>
    <x v="2"/>
    <n v="10.78"/>
    <n v="3.4550000000000001"/>
    <n v="43.19"/>
  </r>
  <r>
    <n v="756"/>
    <d v="2025-01-17T20:00:00"/>
    <x v="3"/>
    <s v="Viernes"/>
    <x v="0"/>
    <x v="0"/>
    <x v="0"/>
    <x v="1"/>
    <x v="1"/>
    <x v="1"/>
    <n v="21000"/>
    <x v="40"/>
    <n v="65.400000000000006"/>
    <n v="0"/>
    <n v="371"/>
    <n v="1"/>
    <x v="1"/>
    <n v="297.66000000000003"/>
    <n v="0"/>
    <x v="2"/>
    <n v="72.989999999999995"/>
    <n v="14.173999999999999"/>
    <n v="297.66000000000003"/>
  </r>
  <r>
    <n v="388"/>
    <d v="2025-01-17T20:00:00"/>
    <x v="3"/>
    <s v="Viernes"/>
    <x v="0"/>
    <x v="0"/>
    <x v="0"/>
    <x v="5"/>
    <x v="5"/>
    <x v="5"/>
    <n v="8600"/>
    <x v="7"/>
    <n v="88.6"/>
    <n v="0"/>
    <n v="116"/>
    <n v="1"/>
    <x v="1"/>
    <n v="29.83"/>
    <n v="0"/>
    <x v="2"/>
    <n v="7.28"/>
    <n v="3.4689999999999999"/>
    <n v="29.83"/>
  </r>
  <r>
    <n v="1493"/>
    <d v="2025-01-21T00:00:00"/>
    <x v="0"/>
    <s v="Martes"/>
    <x v="0"/>
    <x v="0"/>
    <x v="0"/>
    <x v="0"/>
    <x v="0"/>
    <x v="0"/>
    <n v="26000"/>
    <x v="43"/>
    <n v="88"/>
    <n v="0"/>
    <n v="56"/>
    <n v="1"/>
    <x v="1"/>
    <n v="131.11000000000001"/>
    <n v="0"/>
    <x v="0"/>
    <n v="12.95"/>
    <n v="5.0430000000000001"/>
    <n v="131.11000000000001"/>
  </r>
  <r>
    <n v="1125"/>
    <d v="2025-01-21T00:00:00"/>
    <x v="0"/>
    <s v="Martes"/>
    <x v="0"/>
    <x v="0"/>
    <x v="0"/>
    <x v="2"/>
    <x v="2"/>
    <x v="2"/>
    <n v="17400"/>
    <x v="90"/>
    <n v="87.6"/>
    <n v="0"/>
    <n v="19"/>
    <n v="0"/>
    <x v="0"/>
    <n v="50.1"/>
    <n v="0"/>
    <x v="0"/>
    <n v="4.9400000000000004"/>
    <n v="2.879"/>
    <n v="50.1"/>
  </r>
  <r>
    <n v="21"/>
    <d v="2025-01-21T00:00:00"/>
    <x v="0"/>
    <s v="Martes"/>
    <x v="0"/>
    <x v="0"/>
    <x v="0"/>
    <x v="4"/>
    <x v="4"/>
    <x v="4"/>
    <n v="12500"/>
    <x v="91"/>
    <n v="73"/>
    <n v="0"/>
    <n v="23"/>
    <n v="0"/>
    <x v="0"/>
    <n v="24.83"/>
    <n v="0"/>
    <x v="0"/>
    <n v="2.42"/>
    <n v="1.986"/>
    <n v="24.83"/>
  </r>
  <r>
    <n v="1861"/>
    <d v="2025-01-21T00:00:00"/>
    <x v="0"/>
    <s v="Martes"/>
    <x v="0"/>
    <x v="0"/>
    <x v="0"/>
    <x v="3"/>
    <x v="3"/>
    <x v="3"/>
    <n v="9800"/>
    <x v="76"/>
    <n v="92.9"/>
    <n v="0"/>
    <n v="309"/>
    <n v="1"/>
    <x v="1"/>
    <n v="96.11"/>
    <n v="0"/>
    <x v="0"/>
    <n v="9.59"/>
    <n v="9.8070000000000004"/>
    <n v="96.11"/>
  </r>
  <r>
    <n v="757"/>
    <d v="2025-01-21T00:00:00"/>
    <x v="0"/>
    <s v="Martes"/>
    <x v="0"/>
    <x v="0"/>
    <x v="0"/>
    <x v="1"/>
    <x v="1"/>
    <x v="1"/>
    <n v="21000"/>
    <x v="1"/>
    <n v="76.400000000000006"/>
    <n v="0"/>
    <n v="212"/>
    <n v="1"/>
    <x v="1"/>
    <n v="180.25"/>
    <n v="0"/>
    <x v="0"/>
    <n v="17"/>
    <n v="8.5830000000000002"/>
    <n v="180.25"/>
  </r>
  <r>
    <n v="389"/>
    <d v="2025-01-21T00:00:00"/>
    <x v="0"/>
    <s v="Martes"/>
    <x v="0"/>
    <x v="0"/>
    <x v="0"/>
    <x v="5"/>
    <x v="5"/>
    <x v="5"/>
    <n v="8600"/>
    <x v="92"/>
    <n v="97.3"/>
    <n v="0"/>
    <n v="95"/>
    <n v="1"/>
    <x v="1"/>
    <n v="30.03"/>
    <n v="0"/>
    <x v="0"/>
    <n v="2.91"/>
    <n v="3.492"/>
    <n v="30.03"/>
  </r>
  <r>
    <n v="22"/>
    <d v="2025-01-21T08:00:00"/>
    <x v="1"/>
    <s v="Martes"/>
    <x v="0"/>
    <x v="0"/>
    <x v="0"/>
    <x v="4"/>
    <x v="4"/>
    <x v="4"/>
    <n v="12500"/>
    <x v="93"/>
    <n v="90.8"/>
    <n v="0"/>
    <n v="339"/>
    <n v="1"/>
    <x v="1"/>
    <n v="113.23"/>
    <n v="0"/>
    <x v="1"/>
    <n v="17.260000000000002"/>
    <n v="9.0579999999999998"/>
    <n v="113.23"/>
  </r>
  <r>
    <n v="758"/>
    <d v="2025-01-21T08:00:00"/>
    <x v="1"/>
    <s v="Martes"/>
    <x v="0"/>
    <x v="0"/>
    <x v="0"/>
    <x v="1"/>
    <x v="1"/>
    <x v="1"/>
    <n v="21000"/>
    <x v="94"/>
    <n v="78.8"/>
    <n v="0"/>
    <n v="419"/>
    <n v="1"/>
    <x v="1"/>
    <n v="317.2"/>
    <n v="0"/>
    <x v="1"/>
    <n v="48.79"/>
    <n v="15.105"/>
    <n v="317.2"/>
  </r>
  <r>
    <n v="1862"/>
    <d v="2025-01-21T08:00:00"/>
    <x v="1"/>
    <s v="Martes"/>
    <x v="0"/>
    <x v="0"/>
    <x v="0"/>
    <x v="3"/>
    <x v="3"/>
    <x v="3"/>
    <n v="9800"/>
    <x v="95"/>
    <n v="81"/>
    <n v="0"/>
    <n v="97"/>
    <n v="1"/>
    <x v="1"/>
    <n v="39.270000000000003"/>
    <n v="0"/>
    <x v="1"/>
    <n v="5.99"/>
    <n v="4.0069999999999997"/>
    <n v="39.270000000000003"/>
  </r>
  <r>
    <n v="390"/>
    <d v="2025-01-21T08:00:00"/>
    <x v="1"/>
    <s v="Martes"/>
    <x v="0"/>
    <x v="0"/>
    <x v="0"/>
    <x v="5"/>
    <x v="5"/>
    <x v="5"/>
    <n v="8600"/>
    <x v="94"/>
    <n v="89"/>
    <n v="0"/>
    <n v="813"/>
    <n v="1"/>
    <x v="1"/>
    <n v="119.3"/>
    <n v="0"/>
    <x v="1"/>
    <n v="19.12"/>
    <n v="13.872"/>
    <n v="119.3"/>
  </r>
  <r>
    <n v="1494"/>
    <d v="2025-01-21T08:00:00"/>
    <x v="1"/>
    <s v="Martes"/>
    <x v="0"/>
    <x v="0"/>
    <x v="0"/>
    <x v="0"/>
    <x v="0"/>
    <x v="0"/>
    <n v="26000"/>
    <x v="25"/>
    <m/>
    <n v="0"/>
    <n v="175"/>
    <n v="1"/>
    <x v="1"/>
    <n v="262.61"/>
    <n v="0"/>
    <x v="1"/>
    <n v="41.52"/>
    <n v="10.1"/>
    <n v="262.61"/>
  </r>
  <r>
    <n v="1126"/>
    <d v="2025-01-21T08:00:00"/>
    <x v="1"/>
    <s v="Martes"/>
    <x v="0"/>
    <x v="0"/>
    <x v="0"/>
    <x v="2"/>
    <x v="2"/>
    <x v="2"/>
    <n v="17400"/>
    <x v="96"/>
    <n v="83.8"/>
    <n v="0"/>
    <n v="64"/>
    <n v="0"/>
    <x v="0"/>
    <n v="49.8"/>
    <n v="0"/>
    <x v="1"/>
    <n v="7.84"/>
    <n v="2.8620000000000001"/>
    <n v="49.8"/>
  </r>
  <r>
    <n v="1863"/>
    <d v="2025-01-21T14:00:00"/>
    <x v="2"/>
    <s v="Martes"/>
    <x v="0"/>
    <x v="0"/>
    <x v="0"/>
    <x v="3"/>
    <x v="3"/>
    <x v="3"/>
    <n v="9800"/>
    <x v="41"/>
    <n v="93.1"/>
    <n v="390.9"/>
    <n v="96"/>
    <n v="1"/>
    <x v="1"/>
    <n v="22.87"/>
    <n v="0"/>
    <x v="1"/>
    <n v="3.63"/>
    <n v="2.3340000000000001"/>
    <n v="22.87"/>
  </r>
  <r>
    <n v="759"/>
    <d v="2025-01-21T14:00:00"/>
    <x v="2"/>
    <s v="Martes"/>
    <x v="0"/>
    <x v="0"/>
    <x v="0"/>
    <x v="1"/>
    <x v="1"/>
    <x v="1"/>
    <n v="21000"/>
    <x v="97"/>
    <n v="80"/>
    <n v="330.2"/>
    <n v="382"/>
    <n v="0"/>
    <x v="0"/>
    <n v="208.85"/>
    <n v="64.900000000000006"/>
    <x v="1"/>
    <n v="23.03"/>
    <n v="9.9450000000000003"/>
    <n v="143.94999999999999"/>
  </r>
  <r>
    <n v="391"/>
    <d v="2025-01-21T14:00:00"/>
    <x v="2"/>
    <s v="Martes"/>
    <x v="0"/>
    <x v="0"/>
    <x v="0"/>
    <x v="5"/>
    <x v="5"/>
    <x v="5"/>
    <n v="8600"/>
    <x v="65"/>
    <n v="99"/>
    <n v="255"/>
    <n v="779"/>
    <n v="1"/>
    <x v="1"/>
    <n v="83.25"/>
    <n v="19.2"/>
    <x v="1"/>
    <n v="9.6999999999999993"/>
    <n v="9.68"/>
    <n v="64.05"/>
  </r>
  <r>
    <n v="1495"/>
    <d v="2025-01-21T14:00:00"/>
    <x v="2"/>
    <s v="Martes"/>
    <x v="0"/>
    <x v="0"/>
    <x v="0"/>
    <x v="0"/>
    <x v="0"/>
    <x v="0"/>
    <n v="26000"/>
    <x v="98"/>
    <n v="76.5"/>
    <n v="364.4"/>
    <n v="153"/>
    <n v="1"/>
    <x v="1"/>
    <n v="164.61"/>
    <n v="104.59"/>
    <x v="1"/>
    <n v="9.44"/>
    <n v="6.3310000000000004"/>
    <n v="60.02"/>
  </r>
  <r>
    <n v="1127"/>
    <d v="2025-01-21T14:00:00"/>
    <x v="2"/>
    <s v="Martes"/>
    <x v="0"/>
    <x v="0"/>
    <x v="0"/>
    <x v="2"/>
    <x v="2"/>
    <x v="2"/>
    <n v="17400"/>
    <x v="99"/>
    <n v="83.4"/>
    <n v="318.3"/>
    <n v="1222"/>
    <n v="1"/>
    <x v="2"/>
    <n v="201.21"/>
    <n v="41.78"/>
    <x v="1"/>
    <n v="25"/>
    <n v="11.564"/>
    <n v="159.43"/>
  </r>
  <r>
    <n v="23"/>
    <d v="2025-01-21T14:00:00"/>
    <x v="2"/>
    <s v="Martes"/>
    <x v="0"/>
    <x v="0"/>
    <x v="0"/>
    <x v="4"/>
    <x v="4"/>
    <x v="4"/>
    <n v="12500"/>
    <x v="7"/>
    <n v="67.099999999999994"/>
    <n v="476.3"/>
    <n v="623"/>
    <n v="1"/>
    <x v="1"/>
    <n v="109.12"/>
    <n v="71.400000000000006"/>
    <x v="1"/>
    <n v="5.91"/>
    <n v="8.73"/>
    <n v="37.72"/>
  </r>
  <r>
    <n v="24"/>
    <d v="2025-01-21T20:00:00"/>
    <x v="3"/>
    <s v="Martes"/>
    <x v="0"/>
    <x v="0"/>
    <x v="0"/>
    <x v="4"/>
    <x v="4"/>
    <x v="4"/>
    <n v="12500"/>
    <x v="62"/>
    <n v="77.8"/>
    <n v="0"/>
    <n v="37"/>
    <n v="1"/>
    <x v="1"/>
    <n v="44.05"/>
    <n v="0"/>
    <x v="2"/>
    <n v="10.59"/>
    <n v="3.524"/>
    <n v="44.05"/>
  </r>
  <r>
    <n v="1864"/>
    <d v="2025-01-21T20:00:00"/>
    <x v="3"/>
    <s v="Martes"/>
    <x v="0"/>
    <x v="0"/>
    <x v="0"/>
    <x v="3"/>
    <x v="3"/>
    <x v="3"/>
    <n v="9800"/>
    <x v="100"/>
    <n v="86.8"/>
    <n v="0"/>
    <n v="334"/>
    <n v="1"/>
    <x v="1"/>
    <n v="104.2"/>
    <n v="0"/>
    <x v="2"/>
    <n v="24.85"/>
    <n v="10.632999999999999"/>
    <n v="104.2"/>
  </r>
  <r>
    <n v="1496"/>
    <d v="2025-01-21T20:00:00"/>
    <x v="3"/>
    <s v="Martes"/>
    <x v="0"/>
    <x v="0"/>
    <x v="0"/>
    <x v="0"/>
    <x v="0"/>
    <x v="0"/>
    <n v="26000"/>
    <x v="38"/>
    <n v="84.6"/>
    <n v="0"/>
    <n v="170"/>
    <n v="1"/>
    <x v="1"/>
    <n v="265.99"/>
    <n v="0"/>
    <x v="2"/>
    <n v="64.290000000000006"/>
    <n v="10.23"/>
    <n v="265.99"/>
  </r>
  <r>
    <n v="760"/>
    <d v="2025-01-21T20:00:00"/>
    <x v="3"/>
    <s v="Martes"/>
    <x v="0"/>
    <x v="0"/>
    <x v="0"/>
    <x v="1"/>
    <x v="1"/>
    <x v="1"/>
    <n v="21000"/>
    <x v="24"/>
    <n v="82.3"/>
    <n v="0"/>
    <n v="413"/>
    <n v="1"/>
    <x v="1"/>
    <n v="274.5"/>
    <n v="0"/>
    <x v="2"/>
    <n v="64.400000000000006"/>
    <n v="13.071"/>
    <n v="274.5"/>
  </r>
  <r>
    <n v="1128"/>
    <d v="2025-01-21T20:00:00"/>
    <x v="3"/>
    <s v="Martes"/>
    <x v="0"/>
    <x v="0"/>
    <x v="0"/>
    <x v="2"/>
    <x v="2"/>
    <x v="2"/>
    <n v="17400"/>
    <x v="101"/>
    <m/>
    <n v="0"/>
    <n v="1374"/>
    <n v="1"/>
    <x v="2"/>
    <n v="265.5"/>
    <n v="0"/>
    <x v="2"/>
    <n v="62.45"/>
    <n v="15.259"/>
    <n v="265.5"/>
  </r>
  <r>
    <n v="392"/>
    <d v="2025-01-21T20:00:00"/>
    <x v="3"/>
    <s v="Martes"/>
    <x v="0"/>
    <x v="0"/>
    <x v="0"/>
    <x v="5"/>
    <x v="5"/>
    <x v="5"/>
    <n v="8600"/>
    <x v="6"/>
    <n v="91.7"/>
    <n v="0"/>
    <n v="11"/>
    <n v="1"/>
    <x v="1"/>
    <n v="21.49"/>
    <n v="0"/>
    <x v="2"/>
    <n v="5.0999999999999996"/>
    <n v="2.4990000000000001"/>
    <n v="21.49"/>
  </r>
  <r>
    <n v="1865"/>
    <d v="2025-01-25T00:00:00"/>
    <x v="0"/>
    <s v="Sabado"/>
    <x v="0"/>
    <x v="0"/>
    <x v="1"/>
    <x v="3"/>
    <x v="3"/>
    <x v="3"/>
    <n v="9800"/>
    <x v="38"/>
    <n v="93.2"/>
    <n v="0"/>
    <n v="324"/>
    <n v="1"/>
    <x v="1"/>
    <n v="103.32"/>
    <n v="0"/>
    <x v="0"/>
    <n v="9.93"/>
    <n v="10.542999999999999"/>
    <n v="103.32"/>
  </r>
  <r>
    <n v="25"/>
    <d v="2025-01-25T00:00:00"/>
    <x v="0"/>
    <s v="Sabado"/>
    <x v="0"/>
    <x v="0"/>
    <x v="1"/>
    <x v="4"/>
    <x v="4"/>
    <x v="4"/>
    <n v="12500"/>
    <x v="102"/>
    <n v="90.9"/>
    <n v="0"/>
    <n v="13"/>
    <n v="0"/>
    <x v="0"/>
    <n v="24.14"/>
    <n v="0"/>
    <x v="0"/>
    <n v="2.41"/>
    <n v="1.931"/>
    <n v="24.14"/>
  </r>
  <r>
    <n v="1129"/>
    <d v="2025-01-25T00:00:00"/>
    <x v="0"/>
    <s v="Sabado"/>
    <x v="0"/>
    <x v="0"/>
    <x v="1"/>
    <x v="2"/>
    <x v="2"/>
    <x v="2"/>
    <n v="17400"/>
    <x v="31"/>
    <n v="99"/>
    <n v="0"/>
    <n v="87"/>
    <n v="1"/>
    <x v="1"/>
    <n v="54.74"/>
    <n v="0"/>
    <x v="0"/>
    <n v="5.22"/>
    <n v="3.1459999999999999"/>
    <n v="54.74"/>
  </r>
  <r>
    <n v="393"/>
    <d v="2025-01-25T00:00:00"/>
    <x v="0"/>
    <s v="Sabado"/>
    <x v="0"/>
    <x v="0"/>
    <x v="1"/>
    <x v="5"/>
    <x v="5"/>
    <x v="5"/>
    <n v="8600"/>
    <x v="18"/>
    <n v="92.3"/>
    <n v="0"/>
    <n v="0"/>
    <n v="0"/>
    <x v="0"/>
    <n v="12.44"/>
    <n v="0"/>
    <x v="0"/>
    <n v="1.2"/>
    <n v="1.4470000000000001"/>
    <n v="12.44"/>
  </r>
  <r>
    <n v="761"/>
    <d v="2025-01-25T00:00:00"/>
    <x v="0"/>
    <s v="Sabado"/>
    <x v="0"/>
    <x v="0"/>
    <x v="1"/>
    <x v="1"/>
    <x v="1"/>
    <x v="1"/>
    <n v="21000"/>
    <x v="25"/>
    <n v="81.3"/>
    <n v="0"/>
    <n v="216"/>
    <n v="1"/>
    <x v="1"/>
    <n v="190.11"/>
    <n v="0"/>
    <x v="0"/>
    <n v="18.21"/>
    <n v="9.0530000000000008"/>
    <n v="190.11"/>
  </r>
  <r>
    <n v="1497"/>
    <d v="2025-01-25T00:00:00"/>
    <x v="0"/>
    <s v="Sabado"/>
    <x v="0"/>
    <x v="0"/>
    <x v="1"/>
    <x v="0"/>
    <x v="0"/>
    <x v="0"/>
    <n v="26000"/>
    <x v="103"/>
    <n v="88.1"/>
    <n v="0"/>
    <n v="33"/>
    <n v="1"/>
    <x v="1"/>
    <n v="94.04"/>
    <n v="0"/>
    <x v="0"/>
    <n v="9.3000000000000007"/>
    <n v="3.617"/>
    <n v="94.04"/>
  </r>
  <r>
    <n v="1866"/>
    <d v="2025-01-25T08:00:00"/>
    <x v="1"/>
    <s v="Sabado"/>
    <x v="0"/>
    <x v="0"/>
    <x v="1"/>
    <x v="3"/>
    <x v="3"/>
    <x v="3"/>
    <n v="9800"/>
    <x v="87"/>
    <n v="93.9"/>
    <n v="0"/>
    <n v="115"/>
    <n v="1"/>
    <x v="1"/>
    <n v="50.32"/>
    <n v="0"/>
    <x v="0"/>
    <n v="4.9800000000000004"/>
    <n v="5.1349999999999998"/>
    <n v="50.32"/>
  </r>
  <r>
    <n v="762"/>
    <d v="2025-01-25T08:00:00"/>
    <x v="1"/>
    <s v="Sabado"/>
    <x v="0"/>
    <x v="0"/>
    <x v="1"/>
    <x v="1"/>
    <x v="1"/>
    <x v="1"/>
    <n v="21000"/>
    <x v="27"/>
    <n v="66.400000000000006"/>
    <n v="0"/>
    <n v="432"/>
    <n v="1"/>
    <x v="1"/>
    <n v="284.17"/>
    <n v="0"/>
    <x v="0"/>
    <n v="26.66"/>
    <n v="13.532"/>
    <n v="284.17"/>
  </r>
  <r>
    <n v="1498"/>
    <d v="2025-01-25T08:00:00"/>
    <x v="1"/>
    <s v="Sabado"/>
    <x v="0"/>
    <x v="0"/>
    <x v="1"/>
    <x v="0"/>
    <x v="0"/>
    <x v="0"/>
    <n v="26000"/>
    <x v="63"/>
    <n v="66.2"/>
    <n v="0"/>
    <n v="49"/>
    <n v="1"/>
    <x v="1"/>
    <n v="141.43"/>
    <n v="0"/>
    <x v="0"/>
    <n v="14.04"/>
    <n v="5.44"/>
    <n v="141.43"/>
  </r>
  <r>
    <n v="394"/>
    <d v="2025-01-25T08:00:00"/>
    <x v="1"/>
    <s v="Sabado"/>
    <x v="0"/>
    <x v="0"/>
    <x v="1"/>
    <x v="5"/>
    <x v="5"/>
    <x v="5"/>
    <n v="8600"/>
    <x v="80"/>
    <n v="94.6"/>
    <n v="0"/>
    <n v="0"/>
    <n v="0"/>
    <x v="0"/>
    <n v="11.82"/>
    <n v="0"/>
    <x v="0"/>
    <n v="1.1599999999999999"/>
    <n v="1.3740000000000001"/>
    <n v="11.82"/>
  </r>
  <r>
    <n v="26"/>
    <d v="2025-01-25T08:00:00"/>
    <x v="1"/>
    <s v="Sabado"/>
    <x v="0"/>
    <x v="0"/>
    <x v="1"/>
    <x v="4"/>
    <x v="4"/>
    <x v="4"/>
    <n v="12500"/>
    <x v="104"/>
    <n v="75.099999999999994"/>
    <n v="0"/>
    <n v="0"/>
    <n v="0"/>
    <x v="0"/>
    <n v="24.44"/>
    <n v="0"/>
    <x v="0"/>
    <n v="2.36"/>
    <n v="1.9550000000000001"/>
    <n v="24.44"/>
  </r>
  <r>
    <n v="1130"/>
    <d v="2025-01-25T08:00:00"/>
    <x v="1"/>
    <s v="Sabado"/>
    <x v="0"/>
    <x v="0"/>
    <x v="1"/>
    <x v="2"/>
    <x v="2"/>
    <x v="2"/>
    <n v="17400"/>
    <x v="60"/>
    <n v="79.599999999999994"/>
    <n v="0"/>
    <n v="64"/>
    <n v="1"/>
    <x v="1"/>
    <n v="59.09"/>
    <n v="0"/>
    <x v="0"/>
    <n v="5.74"/>
    <n v="3.3959999999999999"/>
    <n v="59.09"/>
  </r>
  <r>
    <n v="763"/>
    <d v="2025-01-25T14:00:00"/>
    <x v="2"/>
    <s v="Sabado"/>
    <x v="0"/>
    <x v="0"/>
    <x v="1"/>
    <x v="1"/>
    <x v="1"/>
    <x v="1"/>
    <n v="21000"/>
    <x v="105"/>
    <n v="53.8"/>
    <n v="590.9"/>
    <n v="444"/>
    <n v="0"/>
    <x v="0"/>
    <n v="198.4"/>
    <n v="107.46"/>
    <x v="0"/>
    <n v="8.5399999999999991"/>
    <n v="9.4480000000000004"/>
    <n v="90.94"/>
  </r>
  <r>
    <n v="1131"/>
    <d v="2025-01-25T14:00:00"/>
    <x v="2"/>
    <s v="Sabado"/>
    <x v="0"/>
    <x v="0"/>
    <x v="1"/>
    <x v="2"/>
    <x v="2"/>
    <x v="2"/>
    <n v="17400"/>
    <x v="106"/>
    <n v="78.400000000000006"/>
    <n v="486"/>
    <n v="1616"/>
    <n v="0"/>
    <x v="0"/>
    <n v="233.56"/>
    <n v="61.56"/>
    <x v="0"/>
    <n v="16.670000000000002"/>
    <n v="13.423"/>
    <n v="172"/>
  </r>
  <r>
    <n v="1499"/>
    <d v="2025-01-25T14:00:00"/>
    <x v="2"/>
    <s v="Sabado"/>
    <x v="0"/>
    <x v="0"/>
    <x v="1"/>
    <x v="0"/>
    <x v="0"/>
    <x v="0"/>
    <n v="26000"/>
    <x v="43"/>
    <n v="92.9"/>
    <n v="263.39999999999998"/>
    <n v="60"/>
    <n v="1"/>
    <x v="1"/>
    <n v="93.82"/>
    <n v="70.11"/>
    <x v="0"/>
    <n v="2.31"/>
    <n v="3.6080000000000001"/>
    <n v="23.71"/>
  </r>
  <r>
    <n v="27"/>
    <d v="2025-01-25T14:00:00"/>
    <x v="2"/>
    <s v="Sabado"/>
    <x v="0"/>
    <x v="0"/>
    <x v="1"/>
    <x v="4"/>
    <x v="4"/>
    <x v="4"/>
    <n v="12500"/>
    <x v="100"/>
    <n v="73.7"/>
    <n v="350.3"/>
    <n v="0"/>
    <n v="0"/>
    <x v="0"/>
    <n v="15.8"/>
    <n v="53.95"/>
    <x v="0"/>
    <n v="-1.49"/>
    <n v="1.264"/>
    <n v="0"/>
  </r>
  <r>
    <n v="1867"/>
    <d v="2025-01-25T14:00:00"/>
    <x v="2"/>
    <s v="Sabado"/>
    <x v="0"/>
    <x v="0"/>
    <x v="1"/>
    <x v="3"/>
    <x v="3"/>
    <x v="3"/>
    <n v="9800"/>
    <x v="43"/>
    <n v="74.3"/>
    <n v="400.9"/>
    <n v="133"/>
    <n v="1"/>
    <x v="1"/>
    <n v="29.46"/>
    <n v="0"/>
    <x v="0"/>
    <n v="2.86"/>
    <n v="3.0059999999999998"/>
    <n v="29.46"/>
  </r>
  <r>
    <n v="395"/>
    <d v="2025-01-25T14:00:00"/>
    <x v="2"/>
    <s v="Sabado"/>
    <x v="0"/>
    <x v="0"/>
    <x v="1"/>
    <x v="5"/>
    <x v="5"/>
    <x v="5"/>
    <n v="8600"/>
    <x v="107"/>
    <n v="89.7"/>
    <n v="277.3"/>
    <n v="94"/>
    <n v="0"/>
    <x v="0"/>
    <n v="13.88"/>
    <n v="21.32"/>
    <x v="0"/>
    <n v="-0.28000000000000003"/>
    <n v="1.6140000000000001"/>
    <n v="0"/>
  </r>
  <r>
    <n v="1868"/>
    <d v="2025-01-25T20:00:00"/>
    <x v="3"/>
    <s v="Sabado"/>
    <x v="0"/>
    <x v="0"/>
    <x v="1"/>
    <x v="3"/>
    <x v="3"/>
    <x v="3"/>
    <n v="9800"/>
    <x v="100"/>
    <n v="86.7"/>
    <n v="0"/>
    <n v="309"/>
    <n v="1"/>
    <x v="1"/>
    <n v="105.06"/>
    <n v="0"/>
    <x v="0"/>
    <n v="10"/>
    <n v="10.72"/>
    <n v="105.06"/>
  </r>
  <r>
    <n v="1132"/>
    <d v="2025-01-25T20:00:00"/>
    <x v="3"/>
    <s v="Sabado"/>
    <x v="0"/>
    <x v="0"/>
    <x v="1"/>
    <x v="2"/>
    <x v="2"/>
    <x v="2"/>
    <n v="17400"/>
    <x v="65"/>
    <n v="75"/>
    <n v="0"/>
    <n v="1604"/>
    <n v="1"/>
    <x v="1"/>
    <n v="343.57"/>
    <n v="0"/>
    <x v="0"/>
    <n v="32.33"/>
    <n v="19.745000000000001"/>
    <n v="343.57"/>
  </r>
  <r>
    <n v="28"/>
    <d v="2025-01-25T20:00:00"/>
    <x v="3"/>
    <s v="Sabado"/>
    <x v="0"/>
    <x v="0"/>
    <x v="1"/>
    <x v="4"/>
    <x v="4"/>
    <x v="4"/>
    <n v="12500"/>
    <x v="108"/>
    <n v="77.7"/>
    <n v="0"/>
    <n v="3"/>
    <n v="0"/>
    <x v="0"/>
    <n v="22.17"/>
    <n v="0"/>
    <x v="0"/>
    <n v="2.16"/>
    <n v="1.774"/>
    <n v="22.17"/>
  </r>
  <r>
    <n v="396"/>
    <d v="2025-01-25T20:00:00"/>
    <x v="3"/>
    <s v="Sabado"/>
    <x v="0"/>
    <x v="0"/>
    <x v="1"/>
    <x v="5"/>
    <x v="5"/>
    <x v="5"/>
    <n v="8600"/>
    <x v="18"/>
    <n v="98.7"/>
    <n v="0"/>
    <n v="46"/>
    <n v="0"/>
    <x v="0"/>
    <n v="13.89"/>
    <n v="0"/>
    <x v="0"/>
    <n v="1.34"/>
    <n v="1.615"/>
    <n v="13.89"/>
  </r>
  <r>
    <n v="764"/>
    <d v="2025-01-25T20:00:00"/>
    <x v="3"/>
    <s v="Sabado"/>
    <x v="0"/>
    <x v="0"/>
    <x v="1"/>
    <x v="1"/>
    <x v="1"/>
    <x v="1"/>
    <n v="21000"/>
    <x v="52"/>
    <n v="73.599999999999994"/>
    <n v="0"/>
    <n v="422"/>
    <n v="1"/>
    <x v="1"/>
    <n v="291.60000000000002"/>
    <n v="0"/>
    <x v="0"/>
    <n v="27.73"/>
    <n v="13.885999999999999"/>
    <n v="291.60000000000002"/>
  </r>
  <r>
    <n v="1500"/>
    <d v="2025-01-25T20:00:00"/>
    <x v="3"/>
    <s v="Sabado"/>
    <x v="0"/>
    <x v="0"/>
    <x v="1"/>
    <x v="0"/>
    <x v="0"/>
    <x v="0"/>
    <n v="26000"/>
    <x v="14"/>
    <n v="73.599999999999994"/>
    <n v="0"/>
    <n v="47"/>
    <n v="1"/>
    <x v="1"/>
    <n v="154.99"/>
    <n v="0"/>
    <x v="0"/>
    <n v="14.97"/>
    <n v="5.9610000000000003"/>
    <n v="154.99"/>
  </r>
  <r>
    <n v="29"/>
    <d v="2025-01-29T00:00:00"/>
    <x v="0"/>
    <s v="Miercoles"/>
    <x v="0"/>
    <x v="0"/>
    <x v="0"/>
    <x v="4"/>
    <x v="4"/>
    <x v="4"/>
    <n v="12500"/>
    <x v="109"/>
    <n v="73.5"/>
    <n v="0"/>
    <n v="16"/>
    <n v="0"/>
    <x v="0"/>
    <n v="24.55"/>
    <n v="0"/>
    <x v="0"/>
    <n v="2.34"/>
    <n v="1.964"/>
    <n v="24.55"/>
  </r>
  <r>
    <n v="765"/>
    <d v="2025-01-29T00:00:00"/>
    <x v="0"/>
    <s v="Miercoles"/>
    <x v="0"/>
    <x v="0"/>
    <x v="0"/>
    <x v="1"/>
    <x v="1"/>
    <x v="1"/>
    <n v="21000"/>
    <x v="5"/>
    <n v="84.1"/>
    <n v="0"/>
    <n v="196"/>
    <n v="1"/>
    <x v="1"/>
    <n v="191.07"/>
    <n v="0"/>
    <x v="0"/>
    <n v="17.79"/>
    <n v="9.0990000000000002"/>
    <n v="191.07"/>
  </r>
  <r>
    <n v="1869"/>
    <d v="2025-01-29T00:00:00"/>
    <x v="0"/>
    <s v="Miercoles"/>
    <x v="0"/>
    <x v="0"/>
    <x v="0"/>
    <x v="3"/>
    <x v="3"/>
    <x v="3"/>
    <n v="9800"/>
    <x v="8"/>
    <n v="96.8"/>
    <n v="0"/>
    <n v="300"/>
    <n v="1"/>
    <x v="1"/>
    <n v="99.7"/>
    <n v="0"/>
    <x v="0"/>
    <n v="9.9499999999999993"/>
    <n v="10.173"/>
    <n v="99.7"/>
  </r>
  <r>
    <n v="1133"/>
    <d v="2025-01-29T00:00:00"/>
    <x v="0"/>
    <s v="Miercoles"/>
    <x v="0"/>
    <x v="0"/>
    <x v="0"/>
    <x v="2"/>
    <x v="2"/>
    <x v="2"/>
    <n v="17400"/>
    <x v="30"/>
    <n v="79.2"/>
    <n v="0"/>
    <n v="54"/>
    <n v="0"/>
    <x v="0"/>
    <n v="48.87"/>
    <n v="0"/>
    <x v="0"/>
    <n v="4.71"/>
    <n v="2.8090000000000002"/>
    <n v="48.87"/>
  </r>
  <r>
    <n v="397"/>
    <d v="2025-01-29T00:00:00"/>
    <x v="0"/>
    <s v="Miercoles"/>
    <x v="0"/>
    <x v="0"/>
    <x v="0"/>
    <x v="5"/>
    <x v="5"/>
    <x v="5"/>
    <n v="8600"/>
    <x v="110"/>
    <n v="99"/>
    <n v="0"/>
    <n v="34"/>
    <n v="1"/>
    <x v="1"/>
    <n v="25.67"/>
    <n v="0"/>
    <x v="0"/>
    <n v="2.54"/>
    <n v="2.9849999999999999"/>
    <n v="25.67"/>
  </r>
  <r>
    <n v="1501"/>
    <d v="2025-01-29T00:00:00"/>
    <x v="0"/>
    <s v="Miercoles"/>
    <x v="0"/>
    <x v="0"/>
    <x v="0"/>
    <x v="0"/>
    <x v="0"/>
    <x v="0"/>
    <n v="26000"/>
    <x v="111"/>
    <n v="79.5"/>
    <n v="0"/>
    <n v="57"/>
    <n v="1"/>
    <x v="1"/>
    <n v="699.2"/>
    <n v="0"/>
    <x v="0"/>
    <n v="11.67"/>
    <n v="26.891999999999999"/>
    <n v="699.2"/>
  </r>
  <r>
    <n v="766"/>
    <d v="2025-01-29T08:00:00"/>
    <x v="1"/>
    <s v="Miercoles"/>
    <x v="0"/>
    <x v="0"/>
    <x v="0"/>
    <x v="1"/>
    <x v="1"/>
    <x v="1"/>
    <n v="21000"/>
    <x v="112"/>
    <n v="83.5"/>
    <n v="0"/>
    <n v="470"/>
    <n v="1"/>
    <x v="1"/>
    <n v="310.87"/>
    <n v="0"/>
    <x v="1"/>
    <n v="47.41"/>
    <n v="14.803000000000001"/>
    <n v="310.87"/>
  </r>
  <r>
    <n v="30"/>
    <d v="2025-01-29T08:00:00"/>
    <x v="1"/>
    <s v="Miercoles"/>
    <x v="0"/>
    <x v="0"/>
    <x v="0"/>
    <x v="4"/>
    <x v="4"/>
    <x v="4"/>
    <n v="12500"/>
    <x v="113"/>
    <n v="83.1"/>
    <n v="0"/>
    <n v="327"/>
    <n v="1"/>
    <x v="1"/>
    <n v="104.28"/>
    <n v="0"/>
    <x v="1"/>
    <n v="16.25"/>
    <n v="8.3420000000000005"/>
    <n v="104.28"/>
  </r>
  <r>
    <n v="1870"/>
    <d v="2025-01-29T08:00:00"/>
    <x v="1"/>
    <s v="Miercoles"/>
    <x v="0"/>
    <x v="0"/>
    <x v="0"/>
    <x v="3"/>
    <x v="3"/>
    <x v="3"/>
    <n v="9800"/>
    <x v="2"/>
    <n v="86"/>
    <n v="0"/>
    <n v="37"/>
    <n v="1"/>
    <x v="1"/>
    <n v="32.1"/>
    <n v="0"/>
    <x v="1"/>
    <n v="5.04"/>
    <n v="3.2759999999999998"/>
    <n v="32.1"/>
  </r>
  <r>
    <n v="398"/>
    <d v="2025-01-29T08:00:00"/>
    <x v="1"/>
    <s v="Miercoles"/>
    <x v="0"/>
    <x v="0"/>
    <x v="0"/>
    <x v="5"/>
    <x v="5"/>
    <x v="5"/>
    <n v="8600"/>
    <x v="96"/>
    <n v="92.5"/>
    <n v="0"/>
    <n v="753"/>
    <n v="1"/>
    <x v="1"/>
    <n v="116.54"/>
    <n v="0"/>
    <x v="1"/>
    <n v="18.16"/>
    <n v="13.551"/>
    <n v="116.54"/>
  </r>
  <r>
    <n v="1134"/>
    <d v="2025-01-29T08:00:00"/>
    <x v="1"/>
    <s v="Miercoles"/>
    <x v="0"/>
    <x v="0"/>
    <x v="0"/>
    <x v="2"/>
    <x v="2"/>
    <x v="2"/>
    <n v="17400"/>
    <x v="50"/>
    <n v="85.9"/>
    <n v="0"/>
    <n v="155"/>
    <n v="0"/>
    <x v="0"/>
    <n v="54.19"/>
    <n v="0"/>
    <x v="1"/>
    <n v="8.5500000000000007"/>
    <n v="3.1139999999999999"/>
    <n v="54.19"/>
  </r>
  <r>
    <n v="1502"/>
    <d v="2025-01-29T08:00:00"/>
    <x v="1"/>
    <s v="Miercoles"/>
    <x v="0"/>
    <x v="0"/>
    <x v="0"/>
    <x v="0"/>
    <x v="0"/>
    <x v="0"/>
    <n v="26000"/>
    <x v="114"/>
    <n v="83.8"/>
    <n v="0"/>
    <n v="164"/>
    <n v="1"/>
    <x v="1"/>
    <n v="262.76"/>
    <n v="0"/>
    <x v="1"/>
    <n v="40.94"/>
    <n v="10.106"/>
    <n v="262.76"/>
  </r>
  <r>
    <n v="767"/>
    <d v="2025-01-29T14:00:00"/>
    <x v="2"/>
    <s v="Miercoles"/>
    <x v="0"/>
    <x v="0"/>
    <x v="0"/>
    <x v="1"/>
    <x v="1"/>
    <x v="1"/>
    <n v="21000"/>
    <x v="115"/>
    <n v="72.2"/>
    <n v="295.60000000000002"/>
    <n v="400"/>
    <n v="0"/>
    <x v="0"/>
    <n v="205.71"/>
    <n v="64.400000000000006"/>
    <x v="1"/>
    <n v="22.34"/>
    <n v="9.7959999999999994"/>
    <n v="141.31"/>
  </r>
  <r>
    <n v="1503"/>
    <d v="2025-01-29T14:00:00"/>
    <x v="2"/>
    <s v="Miercoles"/>
    <x v="0"/>
    <x v="0"/>
    <x v="0"/>
    <x v="0"/>
    <x v="0"/>
    <x v="0"/>
    <n v="26000"/>
    <x v="116"/>
    <n v="69.900000000000006"/>
    <n v="418.5"/>
    <n v="169"/>
    <n v="0"/>
    <x v="0"/>
    <n v="153.62"/>
    <n v="114.63"/>
    <x v="1"/>
    <n v="5.74"/>
    <n v="5.9080000000000004"/>
    <n v="38.99"/>
  </r>
  <r>
    <n v="31"/>
    <d v="2025-01-29T14:00:00"/>
    <x v="2"/>
    <s v="Miercoles"/>
    <x v="0"/>
    <x v="0"/>
    <x v="0"/>
    <x v="4"/>
    <x v="4"/>
    <x v="4"/>
    <n v="12500"/>
    <x v="117"/>
    <n v="76.599999999999994"/>
    <n v="456"/>
    <n v="580"/>
    <n v="1"/>
    <x v="1"/>
    <n v="105.8"/>
    <n v="69.05"/>
    <x v="1"/>
    <n v="5.63"/>
    <n v="8.4640000000000004"/>
    <n v="36.75"/>
  </r>
  <r>
    <n v="1871"/>
    <d v="2025-01-29T14:00:00"/>
    <x v="2"/>
    <s v="Miercoles"/>
    <x v="0"/>
    <x v="0"/>
    <x v="0"/>
    <x v="3"/>
    <x v="3"/>
    <x v="3"/>
    <n v="9800"/>
    <x v="101"/>
    <n v="85.9"/>
    <n v="331.4"/>
    <n v="74"/>
    <n v="1"/>
    <x v="2"/>
    <n v="19.489999999999998"/>
    <n v="0"/>
    <x v="1"/>
    <n v="2.99"/>
    <n v="1.9890000000000001"/>
    <n v="19.489999999999998"/>
  </r>
  <r>
    <n v="399"/>
    <d v="2025-01-29T14:00:00"/>
    <x v="2"/>
    <s v="Miercoles"/>
    <x v="0"/>
    <x v="0"/>
    <x v="0"/>
    <x v="5"/>
    <x v="5"/>
    <x v="5"/>
    <n v="8600"/>
    <x v="41"/>
    <n v="90.1"/>
    <n v="365.4"/>
    <m/>
    <n v="1"/>
    <x v="1"/>
    <n v="88.27"/>
    <n v="28.48"/>
    <x v="1"/>
    <n v="8.93"/>
    <n v="10.263999999999999"/>
    <n v="59.79"/>
  </r>
  <r>
    <n v="1135"/>
    <d v="2025-01-29T14:00:00"/>
    <x v="2"/>
    <s v="Miercoles"/>
    <x v="0"/>
    <x v="0"/>
    <x v="0"/>
    <x v="2"/>
    <x v="2"/>
    <x v="2"/>
    <n v="17400"/>
    <x v="20"/>
    <n v="77"/>
    <n v="458.6"/>
    <n v="1320"/>
    <n v="1"/>
    <x v="1"/>
    <n v="189.24"/>
    <n v="63.51"/>
    <x v="1"/>
    <n v="19.440000000000001"/>
    <n v="10.875999999999999"/>
    <n v="125.73"/>
  </r>
  <r>
    <n v="1872"/>
    <d v="2025-01-29T20:00:00"/>
    <x v="3"/>
    <s v="Miercoles"/>
    <x v="0"/>
    <x v="0"/>
    <x v="0"/>
    <x v="3"/>
    <x v="3"/>
    <x v="3"/>
    <n v="9800"/>
    <x v="53"/>
    <n v="87.4"/>
    <n v="0"/>
    <n v="291"/>
    <n v="0"/>
    <x v="0"/>
    <n v="93.94"/>
    <n v="0"/>
    <x v="2"/>
    <n v="22.51"/>
    <n v="9.5860000000000003"/>
    <n v="93.94"/>
  </r>
  <r>
    <n v="1136"/>
    <d v="2025-01-29T20:00:00"/>
    <x v="3"/>
    <s v="Miercoles"/>
    <x v="0"/>
    <x v="0"/>
    <x v="0"/>
    <x v="2"/>
    <x v="2"/>
    <x v="2"/>
    <n v="17400"/>
    <x v="40"/>
    <n v="82.3"/>
    <n v="0"/>
    <n v="1304"/>
    <n v="1"/>
    <x v="1"/>
    <n v="269.06"/>
    <n v="0"/>
    <x v="2"/>
    <n v="63.69"/>
    <n v="15.462999999999999"/>
    <n v="269.06"/>
  </r>
  <r>
    <n v="1504"/>
    <d v="2025-01-29T20:00:00"/>
    <x v="3"/>
    <s v="Miercoles"/>
    <x v="0"/>
    <x v="0"/>
    <x v="0"/>
    <x v="0"/>
    <x v="0"/>
    <x v="0"/>
    <n v="26000"/>
    <x v="94"/>
    <n v="82.4"/>
    <n v="0"/>
    <n v="162"/>
    <n v="1"/>
    <x v="1"/>
    <n v="273.99"/>
    <n v="0"/>
    <x v="2"/>
    <n v="63.57"/>
    <n v="10.538"/>
    <n v="273.99"/>
  </r>
  <r>
    <n v="32"/>
    <d v="2025-01-29T20:00:00"/>
    <x v="3"/>
    <s v="Miercoles"/>
    <x v="0"/>
    <x v="0"/>
    <x v="0"/>
    <x v="4"/>
    <x v="4"/>
    <x v="4"/>
    <n v="12500"/>
    <x v="18"/>
    <n v="70.2"/>
    <n v="0"/>
    <n v="49"/>
    <n v="1"/>
    <x v="1"/>
    <n v="43.41"/>
    <n v="0"/>
    <x v="2"/>
    <n v="10.24"/>
    <n v="3.4729999999999999"/>
    <n v="43.41"/>
  </r>
  <r>
    <n v="768"/>
    <d v="2025-01-29T20:00:00"/>
    <x v="3"/>
    <s v="Miercoles"/>
    <x v="0"/>
    <x v="0"/>
    <x v="0"/>
    <x v="1"/>
    <x v="1"/>
    <x v="1"/>
    <n v="21000"/>
    <x v="36"/>
    <n v="65.8"/>
    <n v="0"/>
    <n v="397"/>
    <n v="1"/>
    <x v="1"/>
    <n v="270.02999999999997"/>
    <n v="0"/>
    <x v="2"/>
    <n v="63.46"/>
    <n v="12.859"/>
    <n v="270.02999999999997"/>
  </r>
  <r>
    <n v="400"/>
    <d v="2025-01-29T20:00:00"/>
    <x v="3"/>
    <s v="Miercoles"/>
    <x v="0"/>
    <x v="0"/>
    <x v="0"/>
    <x v="5"/>
    <x v="5"/>
    <x v="5"/>
    <n v="8600"/>
    <x v="118"/>
    <n v="89.4"/>
    <n v="0"/>
    <n v="78"/>
    <n v="1"/>
    <x v="1"/>
    <n v="25.3"/>
    <n v="0"/>
    <x v="2"/>
    <n v="5.92"/>
    <n v="2.9420000000000002"/>
    <n v="25.3"/>
  </r>
  <r>
    <n v="401"/>
    <d v="2025-02-02T00:00:00"/>
    <x v="0"/>
    <s v="Domingo"/>
    <x v="1"/>
    <x v="0"/>
    <x v="1"/>
    <x v="5"/>
    <x v="5"/>
    <x v="5"/>
    <n v="8600"/>
    <x v="63"/>
    <n v="99"/>
    <n v="0"/>
    <n v="26"/>
    <n v="0"/>
    <x v="0"/>
    <n v="14.17"/>
    <n v="0"/>
    <x v="0"/>
    <n v="1.34"/>
    <n v="1.6479999999999999"/>
    <n v="14.17"/>
  </r>
  <r>
    <n v="1505"/>
    <d v="2025-02-02T00:00:00"/>
    <x v="0"/>
    <s v="Domingo"/>
    <x v="1"/>
    <x v="0"/>
    <x v="1"/>
    <x v="0"/>
    <x v="0"/>
    <x v="0"/>
    <n v="26000"/>
    <x v="104"/>
    <n v="78.3"/>
    <n v="0"/>
    <n v="7"/>
    <n v="1"/>
    <x v="1"/>
    <n v="93.52"/>
    <n v="0"/>
    <x v="0"/>
    <n v="8.81"/>
    <n v="3.597"/>
    <n v="93.52"/>
  </r>
  <r>
    <n v="769"/>
    <d v="2025-02-02T00:00:00"/>
    <x v="0"/>
    <s v="Domingo"/>
    <x v="1"/>
    <x v="0"/>
    <x v="1"/>
    <x v="1"/>
    <x v="1"/>
    <x v="1"/>
    <n v="21000"/>
    <x v="95"/>
    <n v="76.5"/>
    <n v="0"/>
    <n v="181"/>
    <n v="1"/>
    <x v="1"/>
    <n v="194.44"/>
    <n v="0"/>
    <x v="0"/>
    <n v="18.34"/>
    <n v="9.2590000000000003"/>
    <n v="194.44"/>
  </r>
  <r>
    <n v="1873"/>
    <d v="2025-02-02T00:00:00"/>
    <x v="0"/>
    <s v="Domingo"/>
    <x v="1"/>
    <x v="0"/>
    <x v="1"/>
    <x v="3"/>
    <x v="3"/>
    <x v="3"/>
    <n v="9800"/>
    <x v="95"/>
    <n v="89.4"/>
    <n v="0"/>
    <n v="326"/>
    <n v="1"/>
    <x v="1"/>
    <n v="109.86"/>
    <n v="0"/>
    <x v="0"/>
    <n v="10.16"/>
    <n v="11.21"/>
    <n v="109.86"/>
  </r>
  <r>
    <n v="1137"/>
    <d v="2025-02-02T00:00:00"/>
    <x v="0"/>
    <s v="Domingo"/>
    <x v="1"/>
    <x v="0"/>
    <x v="1"/>
    <x v="2"/>
    <x v="2"/>
    <x v="2"/>
    <n v="17400"/>
    <x v="29"/>
    <n v="85.9"/>
    <n v="0"/>
    <n v="126"/>
    <n v="1"/>
    <x v="1"/>
    <n v="69.069999999999993"/>
    <n v="0"/>
    <x v="0"/>
    <n v="6.52"/>
    <n v="3.97"/>
    <n v="69.069999999999993"/>
  </r>
  <r>
    <n v="33"/>
    <d v="2025-02-02T00:00:00"/>
    <x v="0"/>
    <s v="Domingo"/>
    <x v="1"/>
    <x v="0"/>
    <x v="1"/>
    <x v="4"/>
    <x v="4"/>
    <x v="4"/>
    <n v="12500"/>
    <x v="119"/>
    <n v="73.900000000000006"/>
    <n v="0"/>
    <n v="0"/>
    <n v="0"/>
    <x v="0"/>
    <n v="22.07"/>
    <n v="0"/>
    <x v="0"/>
    <n v="2.0699999999999998"/>
    <n v="1.766"/>
    <n v="22.07"/>
  </r>
  <r>
    <n v="34"/>
    <d v="2025-02-02T08:00:00"/>
    <x v="1"/>
    <s v="Domingo"/>
    <x v="1"/>
    <x v="0"/>
    <x v="1"/>
    <x v="4"/>
    <x v="4"/>
    <x v="4"/>
    <n v="12500"/>
    <x v="42"/>
    <n v="73.900000000000006"/>
    <n v="0"/>
    <n v="70"/>
    <n v="0"/>
    <x v="0"/>
    <n v="26.71"/>
    <n v="0"/>
    <x v="0"/>
    <n v="2.5099999999999998"/>
    <n v="2.137"/>
    <n v="26.71"/>
  </r>
  <r>
    <n v="1506"/>
    <d v="2025-02-02T08:00:00"/>
    <x v="1"/>
    <s v="Domingo"/>
    <x v="1"/>
    <x v="0"/>
    <x v="1"/>
    <x v="0"/>
    <x v="0"/>
    <x v="0"/>
    <n v="26000"/>
    <x v="120"/>
    <n v="75.400000000000006"/>
    <n v="0"/>
    <n v="63"/>
    <n v="1"/>
    <x v="1"/>
    <n v="149.94"/>
    <n v="0"/>
    <x v="0"/>
    <n v="14.44"/>
    <n v="5.7670000000000003"/>
    <n v="149.94"/>
  </r>
  <r>
    <n v="1138"/>
    <d v="2025-02-02T08:00:00"/>
    <x v="1"/>
    <s v="Domingo"/>
    <x v="1"/>
    <x v="0"/>
    <x v="1"/>
    <x v="2"/>
    <x v="2"/>
    <x v="2"/>
    <n v="17400"/>
    <x v="40"/>
    <n v="75.3"/>
    <n v="0"/>
    <n v="108"/>
    <n v="1"/>
    <x v="1"/>
    <n v="56.09"/>
    <n v="0"/>
    <x v="0"/>
    <n v="5.18"/>
    <n v="3.2240000000000002"/>
    <n v="56.09"/>
  </r>
  <r>
    <n v="770"/>
    <d v="2025-02-02T08:00:00"/>
    <x v="1"/>
    <s v="Domingo"/>
    <x v="1"/>
    <x v="0"/>
    <x v="1"/>
    <x v="1"/>
    <x v="1"/>
    <x v="1"/>
    <n v="21000"/>
    <x v="52"/>
    <n v="69.900000000000006"/>
    <n v="0"/>
    <n v="410"/>
    <n v="1"/>
    <x v="1"/>
    <n v="310.19"/>
    <n v="0"/>
    <x v="0"/>
    <n v="29.5"/>
    <n v="14.771000000000001"/>
    <n v="310.19"/>
  </r>
  <r>
    <n v="1874"/>
    <d v="2025-02-02T08:00:00"/>
    <x v="1"/>
    <s v="Domingo"/>
    <x v="1"/>
    <x v="0"/>
    <x v="1"/>
    <x v="3"/>
    <x v="3"/>
    <x v="3"/>
    <n v="9800"/>
    <x v="37"/>
    <n v="93.1"/>
    <n v="0"/>
    <n v="120"/>
    <n v="1"/>
    <x v="1"/>
    <n v="49.98"/>
    <n v="0"/>
    <x v="0"/>
    <n v="4.84"/>
    <n v="5.0999999999999996"/>
    <n v="49.98"/>
  </r>
  <r>
    <n v="402"/>
    <d v="2025-02-02T08:00:00"/>
    <x v="1"/>
    <s v="Domingo"/>
    <x v="1"/>
    <x v="0"/>
    <x v="1"/>
    <x v="5"/>
    <x v="5"/>
    <x v="5"/>
    <n v="8600"/>
    <x v="45"/>
    <n v="91.2"/>
    <n v="0"/>
    <n v="0"/>
    <n v="0"/>
    <x v="0"/>
    <n v="11.92"/>
    <n v="0"/>
    <x v="0"/>
    <n v="1.1499999999999999"/>
    <n v="1.3859999999999999"/>
    <n v="11.92"/>
  </r>
  <r>
    <n v="771"/>
    <d v="2025-02-02T14:00:00"/>
    <x v="2"/>
    <s v="Domingo"/>
    <x v="1"/>
    <x v="0"/>
    <x v="1"/>
    <x v="1"/>
    <x v="1"/>
    <x v="1"/>
    <n v="21000"/>
    <x v="121"/>
    <n v="60"/>
    <n v="410.2"/>
    <n v="424"/>
    <n v="0"/>
    <x v="0"/>
    <n v="200.62"/>
    <n v="84.64"/>
    <x v="0"/>
    <n v="10.91"/>
    <n v="9.5530000000000008"/>
    <n v="115.98"/>
  </r>
  <r>
    <n v="1875"/>
    <d v="2025-02-02T14:00:00"/>
    <x v="2"/>
    <s v="Domingo"/>
    <x v="1"/>
    <x v="0"/>
    <x v="1"/>
    <x v="3"/>
    <x v="3"/>
    <x v="3"/>
    <n v="9800"/>
    <x v="32"/>
    <n v="96.3"/>
    <n v="340.8"/>
    <n v="108"/>
    <n v="1"/>
    <x v="1"/>
    <n v="30.73"/>
    <n v="0"/>
    <x v="0"/>
    <n v="2.81"/>
    <n v="3.1360000000000001"/>
    <n v="30.73"/>
  </r>
  <r>
    <n v="1507"/>
    <d v="2025-02-02T14:00:00"/>
    <x v="2"/>
    <s v="Domingo"/>
    <x v="1"/>
    <x v="0"/>
    <x v="1"/>
    <x v="0"/>
    <x v="0"/>
    <x v="0"/>
    <n v="26000"/>
    <x v="122"/>
    <n v="66.400000000000006"/>
    <n v="341.7"/>
    <n v="70"/>
    <n v="1"/>
    <x v="1"/>
    <n v="93.21"/>
    <n v="95.67"/>
    <x v="0"/>
    <n v="-0.09"/>
    <n v="3.585"/>
    <n v="0"/>
  </r>
  <r>
    <n v="403"/>
    <d v="2025-02-02T14:00:00"/>
    <x v="2"/>
    <s v="Domingo"/>
    <x v="1"/>
    <x v="0"/>
    <x v="1"/>
    <x v="5"/>
    <x v="5"/>
    <x v="5"/>
    <n v="8600"/>
    <x v="123"/>
    <n v="89.8"/>
    <n v="318"/>
    <n v="69"/>
    <n v="0"/>
    <x v="0"/>
    <m/>
    <n v="23.71"/>
    <x v="0"/>
    <n v="-0.48"/>
    <m/>
    <m/>
  </r>
  <r>
    <n v="1139"/>
    <d v="2025-02-02T14:00:00"/>
    <x v="2"/>
    <s v="Domingo"/>
    <x v="1"/>
    <x v="0"/>
    <x v="1"/>
    <x v="2"/>
    <x v="2"/>
    <x v="2"/>
    <n v="17400"/>
    <x v="124"/>
    <n v="74.099999999999994"/>
    <n v="350.1"/>
    <n v="1504"/>
    <n v="1"/>
    <x v="2"/>
    <n v="213.07"/>
    <n v="46.62"/>
    <x v="0"/>
    <n v="16.23"/>
    <n v="12.244999999999999"/>
    <n v="166.45"/>
  </r>
  <r>
    <n v="35"/>
    <d v="2025-02-02T14:00:00"/>
    <x v="2"/>
    <s v="Domingo"/>
    <x v="1"/>
    <x v="0"/>
    <x v="1"/>
    <x v="4"/>
    <x v="4"/>
    <x v="4"/>
    <n v="12500"/>
    <x v="118"/>
    <n v="82.1"/>
    <n v="283.60000000000002"/>
    <m/>
    <n v="0"/>
    <x v="0"/>
    <n v="18.7"/>
    <n v="40.93"/>
    <x v="0"/>
    <n v="-0.82"/>
    <n v="1.496"/>
    <n v="0"/>
  </r>
  <r>
    <n v="404"/>
    <d v="2025-02-02T20:00:00"/>
    <x v="3"/>
    <s v="Domingo"/>
    <x v="1"/>
    <x v="0"/>
    <x v="1"/>
    <x v="5"/>
    <x v="5"/>
    <x v="5"/>
    <n v="8600"/>
    <x v="125"/>
    <n v="99"/>
    <n v="0"/>
    <n v="0"/>
    <n v="0"/>
    <x v="0"/>
    <n v="11.93"/>
    <n v="0"/>
    <x v="0"/>
    <n v="1.1299999999999999"/>
    <n v="1.387"/>
    <n v="11.93"/>
  </r>
  <r>
    <n v="1140"/>
    <d v="2025-02-02T20:00:00"/>
    <x v="3"/>
    <s v="Domingo"/>
    <x v="1"/>
    <x v="0"/>
    <x v="1"/>
    <x v="2"/>
    <x v="2"/>
    <x v="2"/>
    <n v="17400"/>
    <x v="43"/>
    <n v="92"/>
    <n v="0"/>
    <n v="1437"/>
    <n v="1"/>
    <x v="1"/>
    <n v="297.85000000000002"/>
    <n v="0"/>
    <x v="0"/>
    <n v="29.04"/>
    <n v="17.117999999999999"/>
    <n v="297.85000000000002"/>
  </r>
  <r>
    <n v="772"/>
    <d v="2025-02-02T20:00:00"/>
    <x v="3"/>
    <s v="Domingo"/>
    <x v="1"/>
    <x v="0"/>
    <x v="1"/>
    <x v="1"/>
    <x v="1"/>
    <x v="1"/>
    <n v="21000"/>
    <x v="123"/>
    <n v="66.7"/>
    <n v="0"/>
    <n v="412"/>
    <n v="1"/>
    <x v="1"/>
    <n v="296.44"/>
    <n v="0"/>
    <x v="0"/>
    <n v="28.19"/>
    <n v="14.116"/>
    <n v="296.44"/>
  </r>
  <r>
    <n v="1508"/>
    <d v="2025-02-02T20:00:00"/>
    <x v="3"/>
    <s v="Domingo"/>
    <x v="1"/>
    <x v="0"/>
    <x v="1"/>
    <x v="0"/>
    <x v="0"/>
    <x v="0"/>
    <n v="26000"/>
    <x v="126"/>
    <n v="71"/>
    <n v="0"/>
    <n v="50"/>
    <n v="1"/>
    <x v="1"/>
    <n v="128.13"/>
    <n v="0"/>
    <x v="0"/>
    <n v="11.98"/>
    <n v="4.9279999999999999"/>
    <n v="128.13"/>
  </r>
  <r>
    <n v="36"/>
    <d v="2025-02-02T20:00:00"/>
    <x v="3"/>
    <s v="Domingo"/>
    <x v="1"/>
    <x v="0"/>
    <x v="1"/>
    <x v="4"/>
    <x v="4"/>
    <x v="4"/>
    <n v="12500"/>
    <x v="81"/>
    <n v="72.400000000000006"/>
    <n v="0"/>
    <n v="0"/>
    <n v="0"/>
    <x v="0"/>
    <n v="23.01"/>
    <n v="0"/>
    <x v="0"/>
    <n v="2.23"/>
    <n v="1.841"/>
    <n v="23.01"/>
  </r>
  <r>
    <n v="1876"/>
    <d v="2025-02-02T20:00:00"/>
    <x v="3"/>
    <s v="Domingo"/>
    <x v="1"/>
    <x v="0"/>
    <x v="1"/>
    <x v="3"/>
    <x v="3"/>
    <x v="3"/>
    <n v="9800"/>
    <x v="59"/>
    <n v="88.3"/>
    <n v="0"/>
    <n v="272"/>
    <n v="1"/>
    <x v="1"/>
    <n v="93.97"/>
    <n v="0"/>
    <x v="0"/>
    <n v="8.75"/>
    <n v="9.5890000000000004"/>
    <n v="93.97"/>
  </r>
  <r>
    <n v="405"/>
    <d v="2025-02-06T00:00:00"/>
    <x v="0"/>
    <s v="Jueves"/>
    <x v="1"/>
    <x v="0"/>
    <x v="0"/>
    <x v="5"/>
    <x v="5"/>
    <x v="5"/>
    <n v="8600"/>
    <x v="48"/>
    <n v="99"/>
    <n v="0"/>
    <n v="87"/>
    <n v="1"/>
    <x v="1"/>
    <n v="28.39"/>
    <n v="0"/>
    <x v="0"/>
    <n v="2.63"/>
    <n v="3.3010000000000002"/>
    <n v="28.39"/>
  </r>
  <r>
    <n v="37"/>
    <d v="2025-02-06T00:00:00"/>
    <x v="0"/>
    <s v="Jueves"/>
    <x v="1"/>
    <x v="0"/>
    <x v="0"/>
    <x v="4"/>
    <x v="4"/>
    <x v="4"/>
    <n v="12500"/>
    <x v="85"/>
    <n v="80.7"/>
    <n v="0"/>
    <n v="3"/>
    <n v="0"/>
    <x v="0"/>
    <n v="24.74"/>
    <n v="0"/>
    <x v="0"/>
    <n v="2.34"/>
    <n v="1.9790000000000001"/>
    <n v="24.74"/>
  </r>
  <r>
    <n v="1509"/>
    <d v="2025-02-06T00:00:00"/>
    <x v="0"/>
    <s v="Jueves"/>
    <x v="1"/>
    <x v="0"/>
    <x v="0"/>
    <x v="0"/>
    <x v="0"/>
    <x v="0"/>
    <n v="26000"/>
    <x v="127"/>
    <n v="77.599999999999994"/>
    <n v="0"/>
    <n v="43"/>
    <n v="1"/>
    <x v="1"/>
    <n v="129.76"/>
    <n v="0"/>
    <x v="0"/>
    <n v="12.05"/>
    <n v="4.9909999999999997"/>
    <n v="129.76"/>
  </r>
  <r>
    <n v="773"/>
    <d v="2025-02-06T00:00:00"/>
    <x v="0"/>
    <s v="Jueves"/>
    <x v="1"/>
    <x v="0"/>
    <x v="0"/>
    <x v="1"/>
    <x v="1"/>
    <x v="1"/>
    <n v="21000"/>
    <x v="81"/>
    <n v="76.7"/>
    <n v="0"/>
    <n v="195"/>
    <n v="1"/>
    <x v="1"/>
    <n v="198.28"/>
    <n v="0"/>
    <x v="0"/>
    <n v="18.239999999999998"/>
    <n v="9.4420000000000002"/>
    <n v="198.28"/>
  </r>
  <r>
    <n v="1141"/>
    <d v="2025-02-06T00:00:00"/>
    <x v="0"/>
    <s v="Jueves"/>
    <x v="1"/>
    <x v="0"/>
    <x v="0"/>
    <x v="2"/>
    <x v="2"/>
    <x v="2"/>
    <n v="17400"/>
    <x v="69"/>
    <n v="81.599999999999994"/>
    <n v="0"/>
    <n v="112"/>
    <n v="0"/>
    <x v="0"/>
    <n v="55.35"/>
    <n v="0"/>
    <x v="0"/>
    <n v="5.08"/>
    <n v="3.181"/>
    <n v="55.35"/>
  </r>
  <r>
    <n v="1877"/>
    <d v="2025-02-06T00:00:00"/>
    <x v="0"/>
    <s v="Jueves"/>
    <x v="1"/>
    <x v="0"/>
    <x v="0"/>
    <x v="3"/>
    <x v="3"/>
    <x v="3"/>
    <n v="9800"/>
    <x v="87"/>
    <n v="84.5"/>
    <n v="0"/>
    <n v="332"/>
    <n v="1"/>
    <x v="1"/>
    <n v="98.95"/>
    <n v="0"/>
    <x v="0"/>
    <n v="9.1199999999999992"/>
    <n v="10.097"/>
    <n v="98.95"/>
  </r>
  <r>
    <n v="38"/>
    <d v="2025-02-06T08:00:00"/>
    <x v="1"/>
    <s v="Jueves"/>
    <x v="1"/>
    <x v="0"/>
    <x v="0"/>
    <x v="4"/>
    <x v="4"/>
    <x v="4"/>
    <n v="12500"/>
    <x v="128"/>
    <n v="62.5"/>
    <n v="28.9"/>
    <n v="337"/>
    <n v="1"/>
    <x v="1"/>
    <n v="111.51"/>
    <n v="4.17"/>
    <x v="1"/>
    <n v="16.239999999999998"/>
    <n v="8.9209999999999994"/>
    <n v="107.34"/>
  </r>
  <r>
    <n v="406"/>
    <d v="2025-02-06T08:00:00"/>
    <x v="1"/>
    <s v="Jueves"/>
    <x v="1"/>
    <x v="0"/>
    <x v="0"/>
    <x v="5"/>
    <x v="5"/>
    <x v="5"/>
    <n v="8600"/>
    <x v="8"/>
    <n v="99"/>
    <n v="29.6"/>
    <n v="708"/>
    <n v="1"/>
    <x v="1"/>
    <n v="121.56"/>
    <n v="2.4900000000000002"/>
    <x v="1"/>
    <n v="17.78"/>
    <n v="14.135"/>
    <n v="119.07"/>
  </r>
  <r>
    <n v="1878"/>
    <d v="2025-02-06T08:00:00"/>
    <x v="1"/>
    <s v="Jueves"/>
    <x v="1"/>
    <x v="0"/>
    <x v="0"/>
    <x v="3"/>
    <x v="3"/>
    <x v="3"/>
    <n v="9800"/>
    <x v="33"/>
    <n v="84.2"/>
    <n v="72.599999999999994"/>
    <n v="74"/>
    <n v="1"/>
    <x v="1"/>
    <n v="35.72"/>
    <n v="0"/>
    <x v="1"/>
    <n v="5.12"/>
    <n v="3.645"/>
    <n v="35.72"/>
  </r>
  <r>
    <n v="774"/>
    <d v="2025-02-06T08:00:00"/>
    <x v="1"/>
    <s v="Jueves"/>
    <x v="1"/>
    <x v="0"/>
    <x v="0"/>
    <x v="1"/>
    <x v="1"/>
    <x v="1"/>
    <n v="21000"/>
    <x v="8"/>
    <n v="81.900000000000006"/>
    <n v="0"/>
    <n v="373"/>
    <n v="1"/>
    <x v="1"/>
    <n v="283.05"/>
    <n v="0"/>
    <x v="1"/>
    <n v="41.44"/>
    <n v="13.478999999999999"/>
    <n v="283.05"/>
  </r>
  <r>
    <n v="1510"/>
    <d v="2025-02-06T08:00:00"/>
    <x v="1"/>
    <s v="Jueves"/>
    <x v="1"/>
    <x v="0"/>
    <x v="0"/>
    <x v="0"/>
    <x v="0"/>
    <x v="0"/>
    <n v="26000"/>
    <x v="125"/>
    <n v="64.8"/>
    <n v="77.599999999999994"/>
    <n v="180"/>
    <n v="1"/>
    <x v="1"/>
    <n v="269.83999999999997"/>
    <n v="21.67"/>
    <x v="1"/>
    <n v="37.42"/>
    <n v="10.378"/>
    <n v="248.17"/>
  </r>
  <r>
    <n v="1142"/>
    <d v="2025-02-06T08:00:00"/>
    <x v="1"/>
    <s v="Jueves"/>
    <x v="1"/>
    <x v="0"/>
    <x v="0"/>
    <x v="2"/>
    <x v="2"/>
    <x v="2"/>
    <n v="17400"/>
    <x v="129"/>
    <n v="73.599999999999994"/>
    <n v="21.5"/>
    <n v="20"/>
    <n v="0"/>
    <x v="0"/>
    <n v="49.32"/>
    <n v="2.6"/>
    <x v="1"/>
    <n v="7.11"/>
    <n v="2.8340000000000001"/>
    <n v="46.72"/>
  </r>
  <r>
    <n v="1511"/>
    <d v="2025-02-06T14:00:00"/>
    <x v="2"/>
    <s v="Jueves"/>
    <x v="1"/>
    <x v="0"/>
    <x v="0"/>
    <x v="0"/>
    <x v="0"/>
    <x v="0"/>
    <n v="26000"/>
    <x v="122"/>
    <n v="76.8"/>
    <n v="403.5"/>
    <n v="159"/>
    <n v="1"/>
    <x v="1"/>
    <n v="159.6"/>
    <n v="114.66"/>
    <x v="1"/>
    <n v="6.71"/>
    <n v="6.1379999999999999"/>
    <n v="44.94"/>
  </r>
  <r>
    <n v="39"/>
    <d v="2025-02-06T14:00:00"/>
    <x v="2"/>
    <s v="Jueves"/>
    <x v="1"/>
    <x v="0"/>
    <x v="0"/>
    <x v="4"/>
    <x v="4"/>
    <x v="4"/>
    <n v="12500"/>
    <x v="40"/>
    <n v="64.5"/>
    <n v="415.6"/>
    <n v="602"/>
    <n v="1"/>
    <x v="1"/>
    <n v="108.58"/>
    <n v="66"/>
    <x v="1"/>
    <n v="6.43"/>
    <n v="8.6859999999999999"/>
    <n v="42.58"/>
  </r>
  <r>
    <n v="775"/>
    <d v="2025-02-06T14:00:00"/>
    <x v="2"/>
    <s v="Jueves"/>
    <x v="1"/>
    <x v="0"/>
    <x v="0"/>
    <x v="1"/>
    <x v="1"/>
    <x v="1"/>
    <n v="21000"/>
    <x v="130"/>
    <n v="53"/>
    <n v="565.5"/>
    <n v="407"/>
    <n v="0"/>
    <x v="0"/>
    <n v="181.73"/>
    <n v="111.96"/>
    <x v="1"/>
    <n v="10.69"/>
    <n v="8.6539999999999999"/>
    <n v="69.77"/>
  </r>
  <r>
    <n v="1143"/>
    <d v="2025-02-06T14:00:00"/>
    <x v="2"/>
    <s v="Jueves"/>
    <x v="1"/>
    <x v="0"/>
    <x v="0"/>
    <x v="2"/>
    <x v="2"/>
    <x v="2"/>
    <n v="17400"/>
    <x v="131"/>
    <n v="79"/>
    <n v="366.4"/>
    <n v="1501"/>
    <n v="1"/>
    <x v="2"/>
    <n v="211.85"/>
    <n v="44.43"/>
    <x v="1"/>
    <n v="25.11"/>
    <n v="12.175000000000001"/>
    <n v="167.42"/>
  </r>
  <r>
    <n v="1879"/>
    <d v="2025-02-06T14:00:00"/>
    <x v="2"/>
    <s v="Jueves"/>
    <x v="1"/>
    <x v="0"/>
    <x v="0"/>
    <x v="3"/>
    <x v="3"/>
    <x v="3"/>
    <n v="9800"/>
    <x v="35"/>
    <n v="87.8"/>
    <n v="424.4"/>
    <n v="80"/>
    <n v="1"/>
    <x v="1"/>
    <n v="20.61"/>
    <n v="0"/>
    <x v="1"/>
    <n v="3.2"/>
    <n v="2.1030000000000002"/>
    <n v="20.61"/>
  </r>
  <r>
    <n v="407"/>
    <d v="2025-02-06T14:00:00"/>
    <x v="2"/>
    <s v="Jueves"/>
    <x v="1"/>
    <x v="0"/>
    <x v="0"/>
    <x v="5"/>
    <x v="5"/>
    <x v="5"/>
    <n v="8600"/>
    <x v="132"/>
    <n v="93.8"/>
    <n v="310.39999999999998"/>
    <n v="800"/>
    <n v="1"/>
    <x v="1"/>
    <m/>
    <n v="23.39"/>
    <x v="1"/>
    <n v="8.7799999999999994"/>
    <m/>
    <m/>
  </r>
  <r>
    <n v="1512"/>
    <d v="2025-02-06T20:00:00"/>
    <x v="3"/>
    <s v="Jueves"/>
    <x v="1"/>
    <x v="0"/>
    <x v="0"/>
    <x v="0"/>
    <x v="0"/>
    <x v="0"/>
    <n v="26000"/>
    <x v="18"/>
    <n v="65.2"/>
    <n v="0"/>
    <n v="166"/>
    <n v="1"/>
    <x v="1"/>
    <n v="249.28"/>
    <n v="0"/>
    <x v="2"/>
    <n v="58.03"/>
    <n v="9.5879999999999992"/>
    <n v="249.28"/>
  </r>
  <r>
    <n v="408"/>
    <d v="2025-02-06T20:00:00"/>
    <x v="3"/>
    <s v="Jueves"/>
    <x v="1"/>
    <x v="0"/>
    <x v="0"/>
    <x v="5"/>
    <x v="5"/>
    <x v="5"/>
    <n v="8600"/>
    <x v="133"/>
    <n v="99"/>
    <n v="0"/>
    <n v="0"/>
    <n v="1"/>
    <x v="1"/>
    <n v="23.26"/>
    <n v="0"/>
    <x v="2"/>
    <n v="5.45"/>
    <n v="2.7050000000000001"/>
    <n v="23.26"/>
  </r>
  <r>
    <n v="40"/>
    <d v="2025-02-06T20:00:00"/>
    <x v="3"/>
    <s v="Jueves"/>
    <x v="1"/>
    <x v="0"/>
    <x v="0"/>
    <x v="4"/>
    <x v="4"/>
    <x v="4"/>
    <n v="12500"/>
    <x v="112"/>
    <n v="63.2"/>
    <n v="0"/>
    <n v="71"/>
    <n v="1"/>
    <x v="1"/>
    <n v="48.73"/>
    <n v="0"/>
    <x v="2"/>
    <n v="11.15"/>
    <n v="3.8980000000000001"/>
    <n v="48.73"/>
  </r>
  <r>
    <n v="1880"/>
    <d v="2025-02-06T20:00:00"/>
    <x v="3"/>
    <s v="Jueves"/>
    <x v="1"/>
    <x v="0"/>
    <x v="0"/>
    <x v="3"/>
    <x v="3"/>
    <x v="3"/>
    <n v="9800"/>
    <x v="125"/>
    <n v="88.6"/>
    <n v="0"/>
    <n v="307"/>
    <n v="1"/>
    <x v="1"/>
    <n v="91.48"/>
    <n v="0"/>
    <x v="2"/>
    <n v="21.74"/>
    <n v="9.3350000000000009"/>
    <n v="91.48"/>
  </r>
  <r>
    <n v="1144"/>
    <d v="2025-02-06T20:00:00"/>
    <x v="3"/>
    <s v="Jueves"/>
    <x v="1"/>
    <x v="0"/>
    <x v="0"/>
    <x v="2"/>
    <x v="2"/>
    <x v="2"/>
    <n v="17400"/>
    <x v="43"/>
    <n v="83.5"/>
    <n v="0"/>
    <n v="1260"/>
    <n v="1"/>
    <x v="1"/>
    <n v="249.34"/>
    <n v="0"/>
    <x v="2"/>
    <n v="57.42"/>
    <n v="14.33"/>
    <n v="249.34"/>
  </r>
  <r>
    <n v="776"/>
    <d v="2025-02-06T20:00:00"/>
    <x v="3"/>
    <s v="Jueves"/>
    <x v="1"/>
    <x v="0"/>
    <x v="0"/>
    <x v="1"/>
    <x v="1"/>
    <x v="1"/>
    <n v="21000"/>
    <x v="17"/>
    <n v="81.2"/>
    <n v="0"/>
    <n v="395"/>
    <n v="1"/>
    <x v="1"/>
    <n v="298.49"/>
    <n v="0"/>
    <x v="2"/>
    <n v="71.34"/>
    <n v="14.214"/>
    <n v="298.49"/>
  </r>
  <r>
    <n v="1881"/>
    <d v="2025-02-10T00:00:00"/>
    <x v="0"/>
    <s v="Lunes"/>
    <x v="1"/>
    <x v="0"/>
    <x v="0"/>
    <x v="3"/>
    <x v="3"/>
    <x v="3"/>
    <n v="9800"/>
    <x v="68"/>
    <n v="87"/>
    <n v="0"/>
    <n v="291"/>
    <n v="1"/>
    <x v="1"/>
    <n v="103.7"/>
    <n v="0"/>
    <x v="0"/>
    <n v="10.08"/>
    <n v="10.582000000000001"/>
    <n v="103.7"/>
  </r>
  <r>
    <n v="777"/>
    <d v="2025-02-10T00:00:00"/>
    <x v="0"/>
    <s v="Lunes"/>
    <x v="1"/>
    <x v="0"/>
    <x v="0"/>
    <x v="1"/>
    <x v="1"/>
    <x v="1"/>
    <n v="21000"/>
    <x v="87"/>
    <n v="78.099999999999994"/>
    <n v="0"/>
    <n v="178"/>
    <n v="1"/>
    <x v="1"/>
    <n v="175.55"/>
    <n v="0"/>
    <x v="0"/>
    <n v="16.62"/>
    <n v="8.36"/>
    <n v="175.55"/>
  </r>
  <r>
    <n v="409"/>
    <d v="2025-02-10T00:00:00"/>
    <x v="0"/>
    <s v="Lunes"/>
    <x v="1"/>
    <x v="0"/>
    <x v="0"/>
    <x v="5"/>
    <x v="5"/>
    <x v="5"/>
    <n v="8600"/>
    <x v="23"/>
    <n v="99"/>
    <n v="0"/>
    <n v="72"/>
    <n v="1"/>
    <x v="1"/>
    <n v="27.39"/>
    <n v="0"/>
    <x v="0"/>
    <n v="2.64"/>
    <n v="3.1850000000000001"/>
    <n v="27.39"/>
  </r>
  <r>
    <n v="41"/>
    <d v="2025-02-10T00:00:00"/>
    <x v="0"/>
    <s v="Lunes"/>
    <x v="1"/>
    <x v="0"/>
    <x v="0"/>
    <x v="4"/>
    <x v="4"/>
    <x v="4"/>
    <n v="12500"/>
    <x v="113"/>
    <n v="85.7"/>
    <n v="0"/>
    <n v="34"/>
    <n v="0"/>
    <x v="0"/>
    <n v="27.79"/>
    <n v="0"/>
    <x v="0"/>
    <n v="2.6"/>
    <n v="2.2229999999999999"/>
    <n v="27.79"/>
  </r>
  <r>
    <n v="1513"/>
    <d v="2025-02-10T00:00:00"/>
    <x v="0"/>
    <s v="Lunes"/>
    <x v="1"/>
    <x v="0"/>
    <x v="0"/>
    <x v="0"/>
    <x v="0"/>
    <x v="0"/>
    <n v="26000"/>
    <x v="30"/>
    <n v="67.099999999999994"/>
    <n v="0"/>
    <n v="38"/>
    <n v="1"/>
    <x v="1"/>
    <n v="121.95"/>
    <n v="0"/>
    <x v="0"/>
    <n v="11.21"/>
    <n v="4.6900000000000004"/>
    <n v="121.95"/>
  </r>
  <r>
    <n v="1145"/>
    <d v="2025-02-10T00:00:00"/>
    <x v="0"/>
    <s v="Lunes"/>
    <x v="1"/>
    <x v="0"/>
    <x v="0"/>
    <x v="2"/>
    <x v="2"/>
    <x v="2"/>
    <n v="17400"/>
    <x v="18"/>
    <n v="86.7"/>
    <n v="0"/>
    <n v="125"/>
    <n v="0"/>
    <x v="0"/>
    <n v="56.7"/>
    <n v="0"/>
    <x v="0"/>
    <n v="5.32"/>
    <n v="3.2589999999999999"/>
    <n v="56.7"/>
  </r>
  <r>
    <n v="410"/>
    <d v="2025-02-10T08:00:00"/>
    <x v="1"/>
    <s v="Lunes"/>
    <x v="1"/>
    <x v="0"/>
    <x v="0"/>
    <x v="5"/>
    <x v="5"/>
    <x v="5"/>
    <n v="8600"/>
    <x v="43"/>
    <n v="99"/>
    <n v="6.9"/>
    <n v="793"/>
    <n v="1"/>
    <x v="1"/>
    <n v="117.89"/>
    <n v="0.53"/>
    <x v="1"/>
    <n v="17.63"/>
    <n v="13.708"/>
    <n v="117.36"/>
  </r>
  <r>
    <n v="1882"/>
    <d v="2025-02-10T08:00:00"/>
    <x v="1"/>
    <s v="Lunes"/>
    <x v="1"/>
    <x v="0"/>
    <x v="0"/>
    <x v="3"/>
    <x v="3"/>
    <x v="3"/>
    <n v="9800"/>
    <x v="54"/>
    <n v="88.8"/>
    <n v="33.200000000000003"/>
    <n v="91"/>
    <n v="1"/>
    <x v="1"/>
    <n v="36.229999999999997"/>
    <n v="0"/>
    <x v="1"/>
    <n v="5.41"/>
    <n v="3.6970000000000001"/>
    <n v="36.229999999999997"/>
  </r>
  <r>
    <n v="778"/>
    <d v="2025-02-10T08:00:00"/>
    <x v="1"/>
    <s v="Lunes"/>
    <x v="1"/>
    <x v="0"/>
    <x v="0"/>
    <x v="1"/>
    <x v="1"/>
    <x v="1"/>
    <n v="21000"/>
    <x v="69"/>
    <n v="69.7"/>
    <n v="50"/>
    <n v="397"/>
    <n v="1"/>
    <x v="1"/>
    <n v="285.31"/>
    <n v="9.4700000000000006"/>
    <x v="1"/>
    <n v="42.56"/>
    <n v="13.586"/>
    <n v="275.83999999999997"/>
  </r>
  <r>
    <n v="42"/>
    <d v="2025-02-10T08:00:00"/>
    <x v="1"/>
    <s v="Lunes"/>
    <x v="1"/>
    <x v="0"/>
    <x v="0"/>
    <x v="4"/>
    <x v="4"/>
    <x v="4"/>
    <n v="12500"/>
    <x v="134"/>
    <n v="88.6"/>
    <n v="19.5"/>
    <n v="395"/>
    <n v="1"/>
    <x v="1"/>
    <n v="113.17"/>
    <n v="3.01"/>
    <x v="1"/>
    <n v="16.3"/>
    <n v="9.0540000000000003"/>
    <n v="110.16"/>
  </r>
  <r>
    <n v="1514"/>
    <d v="2025-02-10T08:00:00"/>
    <x v="1"/>
    <s v="Lunes"/>
    <x v="1"/>
    <x v="0"/>
    <x v="0"/>
    <x v="0"/>
    <x v="0"/>
    <x v="0"/>
    <n v="26000"/>
    <x v="58"/>
    <n v="63.6"/>
    <n v="23.3"/>
    <n v="169"/>
    <n v="1"/>
    <x v="1"/>
    <n v="260.82"/>
    <n v="6.44"/>
    <x v="1"/>
    <n v="37.47"/>
    <n v="10.032"/>
    <n v="254.38"/>
  </r>
  <r>
    <n v="1146"/>
    <d v="2025-02-10T08:00:00"/>
    <x v="1"/>
    <s v="Lunes"/>
    <x v="1"/>
    <x v="0"/>
    <x v="0"/>
    <x v="2"/>
    <x v="2"/>
    <x v="2"/>
    <n v="17400"/>
    <x v="69"/>
    <n v="89.3"/>
    <n v="1.8"/>
    <n v="0"/>
    <n v="0"/>
    <x v="0"/>
    <n v="44.4"/>
    <n v="0.23"/>
    <x v="1"/>
    <n v="6.78"/>
    <n v="2.552"/>
    <n v="44.17"/>
  </r>
  <r>
    <n v="779"/>
    <d v="2025-02-10T14:00:00"/>
    <x v="2"/>
    <s v="Lunes"/>
    <x v="1"/>
    <x v="0"/>
    <x v="0"/>
    <x v="1"/>
    <x v="1"/>
    <x v="1"/>
    <n v="21000"/>
    <x v="135"/>
    <n v="64.599999999999994"/>
    <n v="408.9"/>
    <n v="396"/>
    <n v="0"/>
    <x v="0"/>
    <n v="211.8"/>
    <n v="82.21"/>
    <x v="1"/>
    <n v="19.399999999999999"/>
    <n v="10.086"/>
    <n v="129.59"/>
  </r>
  <r>
    <n v="1883"/>
    <d v="2025-02-10T14:00:00"/>
    <x v="2"/>
    <s v="Lunes"/>
    <x v="1"/>
    <x v="0"/>
    <x v="0"/>
    <x v="3"/>
    <x v="3"/>
    <x v="3"/>
    <n v="9800"/>
    <x v="136"/>
    <n v="89.5"/>
    <n v="433.7"/>
    <n v="91"/>
    <n v="1"/>
    <x v="2"/>
    <n v="19.940000000000001"/>
    <n v="0"/>
    <x v="1"/>
    <n v="3.01"/>
    <n v="2.0350000000000001"/>
    <n v="19.940000000000001"/>
  </r>
  <r>
    <n v="43"/>
    <d v="2025-02-10T14:00:00"/>
    <x v="2"/>
    <s v="Lunes"/>
    <x v="1"/>
    <x v="0"/>
    <x v="0"/>
    <x v="4"/>
    <x v="4"/>
    <x v="4"/>
    <n v="12500"/>
    <x v="52"/>
    <n v="68.400000000000006"/>
    <n v="496.1"/>
    <n v="601"/>
    <n v="1"/>
    <x v="1"/>
    <n v="111.74"/>
    <n v="72.37"/>
    <x v="1"/>
    <n v="5.82"/>
    <n v="8.9390000000000001"/>
    <n v="39.369999999999997"/>
  </r>
  <r>
    <n v="1147"/>
    <d v="2025-02-10T14:00:00"/>
    <x v="2"/>
    <s v="Lunes"/>
    <x v="1"/>
    <x v="0"/>
    <x v="0"/>
    <x v="2"/>
    <x v="2"/>
    <x v="2"/>
    <n v="17400"/>
    <x v="21"/>
    <n v="93.2"/>
    <n v="265.3"/>
    <n v="1344"/>
    <n v="1"/>
    <x v="1"/>
    <n v="209.2"/>
    <n v="33.65"/>
    <x v="1"/>
    <n v="26.26"/>
    <n v="12.023"/>
    <n v="175.55"/>
  </r>
  <r>
    <n v="1515"/>
    <d v="2025-02-10T14:00:00"/>
    <x v="2"/>
    <s v="Lunes"/>
    <x v="1"/>
    <x v="0"/>
    <x v="0"/>
    <x v="0"/>
    <x v="0"/>
    <x v="0"/>
    <n v="26000"/>
    <x v="99"/>
    <n v="70.8"/>
    <n v="417"/>
    <n v="170"/>
    <n v="1"/>
    <x v="2"/>
    <n v="152.88999999999999"/>
    <n v="115.63"/>
    <x v="1"/>
    <n v="5.51"/>
    <n v="5.88"/>
    <n v="37.26"/>
  </r>
  <r>
    <n v="411"/>
    <d v="2025-02-10T14:00:00"/>
    <x v="2"/>
    <s v="Lunes"/>
    <x v="1"/>
    <x v="0"/>
    <x v="0"/>
    <x v="5"/>
    <x v="5"/>
    <x v="5"/>
    <n v="8600"/>
    <x v="37"/>
    <n v="91.4"/>
    <n v="258.60000000000002"/>
    <n v="811"/>
    <n v="1"/>
    <x v="1"/>
    <n v="85.4"/>
    <n v="19.38"/>
    <x v="1"/>
    <n v="9.84"/>
    <n v="9.93"/>
    <n v="66.02"/>
  </r>
  <r>
    <n v="1516"/>
    <d v="2025-02-10T20:00:00"/>
    <x v="3"/>
    <s v="Lunes"/>
    <x v="1"/>
    <x v="0"/>
    <x v="0"/>
    <x v="0"/>
    <x v="0"/>
    <x v="0"/>
    <n v="26000"/>
    <x v="80"/>
    <n v="77"/>
    <n v="0"/>
    <n v="167"/>
    <n v="1"/>
    <x v="1"/>
    <n v="259.36"/>
    <n v="0"/>
    <x v="2"/>
    <n v="60.77"/>
    <n v="9.9749999999999996"/>
    <n v="259.36"/>
  </r>
  <r>
    <n v="780"/>
    <d v="2025-02-10T20:00:00"/>
    <x v="3"/>
    <s v="Lunes"/>
    <x v="1"/>
    <x v="0"/>
    <x v="0"/>
    <x v="1"/>
    <x v="1"/>
    <x v="1"/>
    <n v="21000"/>
    <x v="43"/>
    <n v="68.7"/>
    <n v="0"/>
    <n v="415"/>
    <n v="1"/>
    <x v="1"/>
    <n v="295.08999999999997"/>
    <n v="0"/>
    <x v="2"/>
    <n v="70.349999999999994"/>
    <n v="14.052"/>
    <n v="295.08999999999997"/>
  </r>
  <r>
    <n v="1148"/>
    <d v="2025-02-10T20:00:00"/>
    <x v="3"/>
    <s v="Lunes"/>
    <x v="1"/>
    <x v="0"/>
    <x v="0"/>
    <x v="2"/>
    <x v="2"/>
    <x v="2"/>
    <n v="17400"/>
    <x v="34"/>
    <n v="90.7"/>
    <n v="0"/>
    <n v="1448"/>
    <n v="1"/>
    <x v="1"/>
    <n v="268.5"/>
    <n v="0"/>
    <x v="2"/>
    <n v="60.57"/>
    <n v="15.430999999999999"/>
    <n v="268.5"/>
  </r>
  <r>
    <n v="44"/>
    <d v="2025-02-10T20:00:00"/>
    <x v="3"/>
    <s v="Lunes"/>
    <x v="1"/>
    <x v="0"/>
    <x v="0"/>
    <x v="4"/>
    <x v="4"/>
    <x v="4"/>
    <n v="12500"/>
    <x v="100"/>
    <n v="63"/>
    <n v="0"/>
    <n v="108"/>
    <n v="1"/>
    <x v="1"/>
    <n v="43.03"/>
    <n v="0"/>
    <x v="2"/>
    <n v="9.9499999999999993"/>
    <n v="3.4420000000000002"/>
    <n v="43.03"/>
  </r>
  <r>
    <n v="1884"/>
    <d v="2025-02-10T20:00:00"/>
    <x v="3"/>
    <s v="Lunes"/>
    <x v="1"/>
    <x v="0"/>
    <x v="0"/>
    <x v="3"/>
    <x v="3"/>
    <x v="3"/>
    <n v="9800"/>
    <x v="137"/>
    <n v="69"/>
    <n v="0"/>
    <n v="300"/>
    <n v="1"/>
    <x v="1"/>
    <n v="101.43"/>
    <n v="0"/>
    <x v="2"/>
    <n v="23.47"/>
    <n v="10.35"/>
    <n v="101.43"/>
  </r>
  <r>
    <n v="412"/>
    <d v="2025-02-10T20:00:00"/>
    <x v="3"/>
    <s v="Lunes"/>
    <x v="1"/>
    <x v="0"/>
    <x v="0"/>
    <x v="5"/>
    <x v="5"/>
    <x v="5"/>
    <n v="8600"/>
    <x v="3"/>
    <n v="93.7"/>
    <n v="0"/>
    <n v="92"/>
    <n v="1"/>
    <x v="1"/>
    <n v="27.85"/>
    <n v="0"/>
    <x v="2"/>
    <n v="6.18"/>
    <n v="3.238"/>
    <n v="27.85"/>
  </r>
  <r>
    <n v="781"/>
    <d v="2025-02-14T00:00:00"/>
    <x v="0"/>
    <s v="Viernes"/>
    <x v="1"/>
    <x v="0"/>
    <x v="0"/>
    <x v="1"/>
    <x v="1"/>
    <x v="1"/>
    <n v="21000"/>
    <x v="120"/>
    <n v="81.2"/>
    <n v="0"/>
    <n v="150"/>
    <n v="1"/>
    <x v="1"/>
    <n v="196.41"/>
    <n v="0"/>
    <x v="0"/>
    <n v="18.29"/>
    <n v="9.3529999999999998"/>
    <n v="196.41"/>
  </r>
  <r>
    <n v="1517"/>
    <d v="2025-02-14T00:00:00"/>
    <x v="0"/>
    <s v="Viernes"/>
    <x v="1"/>
    <x v="0"/>
    <x v="0"/>
    <x v="0"/>
    <x v="0"/>
    <x v="0"/>
    <n v="26000"/>
    <x v="111"/>
    <n v="88.3"/>
    <n v="0"/>
    <n v="44"/>
    <n v="1"/>
    <x v="1"/>
    <n v="129.80000000000001"/>
    <n v="0"/>
    <x v="0"/>
    <n v="12.11"/>
    <n v="4.992"/>
    <n v="129.80000000000001"/>
  </r>
  <r>
    <n v="413"/>
    <d v="2025-02-14T00:00:00"/>
    <x v="0"/>
    <s v="Viernes"/>
    <x v="1"/>
    <x v="0"/>
    <x v="0"/>
    <x v="5"/>
    <x v="5"/>
    <x v="5"/>
    <n v="8600"/>
    <x v="68"/>
    <n v="99"/>
    <n v="0"/>
    <n v="57"/>
    <n v="1"/>
    <x v="1"/>
    <n v="28.59"/>
    <n v="0"/>
    <x v="0"/>
    <n v="2.65"/>
    <n v="3.3239999999999998"/>
    <n v="28.59"/>
  </r>
  <r>
    <n v="1885"/>
    <d v="2025-02-14T00:00:00"/>
    <x v="0"/>
    <s v="Viernes"/>
    <x v="1"/>
    <x v="0"/>
    <x v="0"/>
    <x v="3"/>
    <x v="3"/>
    <x v="3"/>
    <n v="9800"/>
    <x v="80"/>
    <n v="84.8"/>
    <n v="0"/>
    <n v="324"/>
    <n v="1"/>
    <x v="1"/>
    <n v="99.53"/>
    <n v="0"/>
    <x v="0"/>
    <n v="9.4"/>
    <n v="10.156000000000001"/>
    <n v="99.53"/>
  </r>
  <r>
    <n v="45"/>
    <d v="2025-02-14T00:00:00"/>
    <x v="0"/>
    <s v="Viernes"/>
    <x v="1"/>
    <x v="0"/>
    <x v="0"/>
    <x v="4"/>
    <x v="4"/>
    <x v="4"/>
    <n v="12500"/>
    <x v="127"/>
    <n v="69.099999999999994"/>
    <n v="0"/>
    <n v="0"/>
    <n v="0"/>
    <x v="0"/>
    <n v="22.69"/>
    <n v="0"/>
    <x v="0"/>
    <n v="2.04"/>
    <n v="1.8149999999999999"/>
    <n v="22.69"/>
  </r>
  <r>
    <n v="1149"/>
    <d v="2025-02-14T00:00:00"/>
    <x v="0"/>
    <s v="Viernes"/>
    <x v="1"/>
    <x v="0"/>
    <x v="0"/>
    <x v="2"/>
    <x v="2"/>
    <x v="2"/>
    <n v="17400"/>
    <x v="32"/>
    <n v="72.7"/>
    <n v="0"/>
    <n v="151"/>
    <n v="0"/>
    <x v="0"/>
    <n v="55.08"/>
    <n v="0"/>
    <x v="0"/>
    <n v="5.13"/>
    <n v="3.1659999999999999"/>
    <n v="55.08"/>
  </r>
  <r>
    <n v="1518"/>
    <d v="2025-02-14T08:00:00"/>
    <x v="1"/>
    <s v="Viernes"/>
    <x v="1"/>
    <x v="0"/>
    <x v="0"/>
    <x v="0"/>
    <x v="0"/>
    <x v="0"/>
    <n v="26000"/>
    <x v="138"/>
    <n v="74.599999999999994"/>
    <n v="16.399999999999999"/>
    <n v="167"/>
    <n v="1"/>
    <x v="1"/>
    <n v="274.18"/>
    <n v="4.3"/>
    <x v="1"/>
    <n v="40.619999999999997"/>
    <n v="10.545"/>
    <n v="269.88"/>
  </r>
  <r>
    <n v="782"/>
    <d v="2025-02-14T08:00:00"/>
    <x v="1"/>
    <s v="Viernes"/>
    <x v="1"/>
    <x v="0"/>
    <x v="0"/>
    <x v="1"/>
    <x v="1"/>
    <x v="1"/>
    <n v="21000"/>
    <x v="2"/>
    <n v="69.3"/>
    <n v="30"/>
    <n v="413"/>
    <n v="1"/>
    <x v="1"/>
    <n v="284.70999999999998"/>
    <n v="5.66"/>
    <x v="1"/>
    <n v="41.05"/>
    <n v="13.558"/>
    <n v="279.05"/>
  </r>
  <r>
    <n v="414"/>
    <d v="2025-02-14T08:00:00"/>
    <x v="1"/>
    <s v="Viernes"/>
    <x v="1"/>
    <x v="0"/>
    <x v="0"/>
    <x v="5"/>
    <x v="5"/>
    <x v="5"/>
    <n v="8600"/>
    <x v="8"/>
    <n v="98.1"/>
    <m/>
    <n v="797"/>
    <n v="1"/>
    <x v="1"/>
    <n v="125.13"/>
    <n v="0.51"/>
    <x v="1"/>
    <n v="18.309999999999999"/>
    <n v="14.55"/>
    <n v="124.62"/>
  </r>
  <r>
    <n v="46"/>
    <d v="2025-02-14T08:00:00"/>
    <x v="1"/>
    <s v="Viernes"/>
    <x v="1"/>
    <x v="0"/>
    <x v="0"/>
    <x v="4"/>
    <x v="4"/>
    <x v="4"/>
    <n v="12500"/>
    <x v="48"/>
    <n v="71.400000000000006"/>
    <n v="50.9"/>
    <n v="326"/>
    <n v="1"/>
    <x v="1"/>
    <n v="115.86"/>
    <n v="7.49"/>
    <x v="1"/>
    <n v="15.67"/>
    <n v="9.2690000000000001"/>
    <n v="108.37"/>
  </r>
  <r>
    <n v="1150"/>
    <d v="2025-02-14T08:00:00"/>
    <x v="1"/>
    <s v="Viernes"/>
    <x v="1"/>
    <x v="0"/>
    <x v="0"/>
    <x v="2"/>
    <x v="2"/>
    <x v="2"/>
    <n v="17400"/>
    <x v="6"/>
    <n v="72.7"/>
    <n v="72.599999999999994"/>
    <n v="0"/>
    <n v="0"/>
    <x v="0"/>
    <n v="46.57"/>
    <n v="9.2100000000000009"/>
    <x v="1"/>
    <n v="5.65"/>
    <n v="2.6760000000000002"/>
    <n v="37.36"/>
  </r>
  <r>
    <n v="1886"/>
    <d v="2025-02-14T08:00:00"/>
    <x v="1"/>
    <s v="Viernes"/>
    <x v="1"/>
    <x v="0"/>
    <x v="0"/>
    <x v="3"/>
    <x v="3"/>
    <x v="3"/>
    <n v="9800"/>
    <x v="32"/>
    <n v="85.2"/>
    <n v="40.1"/>
    <n v="69"/>
    <n v="1"/>
    <x v="1"/>
    <n v="33.22"/>
    <n v="0"/>
    <x v="1"/>
    <n v="5.09"/>
    <n v="3.39"/>
    <n v="33.22"/>
  </r>
  <r>
    <n v="1887"/>
    <d v="2025-02-14T14:00:00"/>
    <x v="2"/>
    <s v="Viernes"/>
    <x v="1"/>
    <x v="0"/>
    <x v="0"/>
    <x v="3"/>
    <x v="3"/>
    <x v="3"/>
    <n v="9800"/>
    <x v="34"/>
    <n v="63.7"/>
    <n v="525.9"/>
    <n v="61"/>
    <n v="1"/>
    <x v="1"/>
    <n v="18.97"/>
    <n v="0"/>
    <x v="1"/>
    <n v="2.8"/>
    <n v="1.9359999999999999"/>
    <n v="18.97"/>
  </r>
  <r>
    <n v="1151"/>
    <d v="2025-02-14T14:00:00"/>
    <x v="2"/>
    <s v="Viernes"/>
    <x v="1"/>
    <x v="0"/>
    <x v="0"/>
    <x v="2"/>
    <x v="2"/>
    <x v="2"/>
    <n v="17400"/>
    <x v="24"/>
    <n v="81.8"/>
    <n v="473.2"/>
    <n v="1370"/>
    <n v="1"/>
    <x v="1"/>
    <n v="213.92"/>
    <n v="57.26"/>
    <x v="1"/>
    <n v="23.77"/>
    <n v="12.294"/>
    <n v="156.66"/>
  </r>
  <r>
    <n v="47"/>
    <d v="2025-02-14T14:00:00"/>
    <x v="2"/>
    <s v="Viernes"/>
    <x v="1"/>
    <x v="0"/>
    <x v="0"/>
    <x v="4"/>
    <x v="4"/>
    <x v="4"/>
    <n v="12500"/>
    <x v="88"/>
    <n v="57.3"/>
    <n v="465.3"/>
    <n v="596"/>
    <n v="1"/>
    <x v="1"/>
    <n v="116.01"/>
    <n v="76.62"/>
    <x v="1"/>
    <n v="5.95"/>
    <n v="9.2810000000000006"/>
    <n v="39.39"/>
  </r>
  <r>
    <n v="783"/>
    <d v="2025-02-14T14:00:00"/>
    <x v="2"/>
    <s v="Viernes"/>
    <x v="1"/>
    <x v="0"/>
    <x v="0"/>
    <x v="1"/>
    <x v="1"/>
    <x v="1"/>
    <n v="21000"/>
    <x v="139"/>
    <n v="67.7"/>
    <n v="464.8"/>
    <n v="367"/>
    <n v="0"/>
    <x v="0"/>
    <n v="183.98"/>
    <n v="92.92"/>
    <x v="1"/>
    <n v="13.53"/>
    <n v="8.7609999999999992"/>
    <n v="91.06"/>
  </r>
  <r>
    <n v="1519"/>
    <d v="2025-02-14T14:00:00"/>
    <x v="2"/>
    <s v="Viernes"/>
    <x v="1"/>
    <x v="0"/>
    <x v="0"/>
    <x v="0"/>
    <x v="0"/>
    <x v="0"/>
    <n v="26000"/>
    <x v="6"/>
    <n v="74.5"/>
    <n v="352.9"/>
    <n v="179"/>
    <n v="1"/>
    <x v="1"/>
    <n v="164.31"/>
    <n v="95.6"/>
    <x v="1"/>
    <n v="10.24"/>
    <n v="6.32"/>
    <n v="68.709999999999994"/>
  </r>
  <r>
    <n v="415"/>
    <d v="2025-02-14T14:00:00"/>
    <x v="2"/>
    <s v="Viernes"/>
    <x v="1"/>
    <x v="0"/>
    <x v="0"/>
    <x v="5"/>
    <x v="5"/>
    <x v="5"/>
    <n v="8600"/>
    <x v="3"/>
    <n v="99"/>
    <n v="349.4"/>
    <m/>
    <n v="1"/>
    <x v="1"/>
    <n v="89.04"/>
    <n v="25.88"/>
    <x v="1"/>
    <n v="9.6300000000000008"/>
    <n v="10.353"/>
    <n v="63.16"/>
  </r>
  <r>
    <n v="48"/>
    <d v="2025-02-14T20:00:00"/>
    <x v="3"/>
    <s v="Viernes"/>
    <x v="1"/>
    <x v="0"/>
    <x v="0"/>
    <x v="4"/>
    <x v="4"/>
    <x v="4"/>
    <n v="12500"/>
    <x v="45"/>
    <n v="73.7"/>
    <n v="0"/>
    <n v="56"/>
    <n v="1"/>
    <x v="1"/>
    <n v="44.1"/>
    <n v="0"/>
    <x v="2"/>
    <n v="10.17"/>
    <n v="3.528"/>
    <n v="44.1"/>
  </r>
  <r>
    <n v="1888"/>
    <d v="2025-02-14T20:00:00"/>
    <x v="3"/>
    <s v="Viernes"/>
    <x v="1"/>
    <x v="0"/>
    <x v="0"/>
    <x v="3"/>
    <x v="3"/>
    <x v="3"/>
    <n v="9800"/>
    <x v="112"/>
    <n v="90.9"/>
    <m/>
    <n v="322"/>
    <n v="1"/>
    <x v="1"/>
    <n v="111.54"/>
    <n v="0"/>
    <x v="2"/>
    <n v="25.74"/>
    <n v="11.382"/>
    <n v="111.54"/>
  </r>
  <r>
    <n v="416"/>
    <d v="2025-02-14T20:00:00"/>
    <x v="3"/>
    <s v="Viernes"/>
    <x v="1"/>
    <x v="0"/>
    <x v="0"/>
    <x v="5"/>
    <x v="5"/>
    <x v="5"/>
    <n v="8600"/>
    <x v="46"/>
    <n v="95.5"/>
    <n v="0"/>
    <n v="102"/>
    <n v="1"/>
    <x v="1"/>
    <n v="28.65"/>
    <n v="0"/>
    <x v="2"/>
    <n v="6.32"/>
    <n v="3.331"/>
    <n v="28.65"/>
  </r>
  <r>
    <n v="784"/>
    <d v="2025-02-14T20:00:00"/>
    <x v="3"/>
    <s v="Viernes"/>
    <x v="1"/>
    <x v="0"/>
    <x v="0"/>
    <x v="1"/>
    <x v="1"/>
    <x v="1"/>
    <n v="21000"/>
    <x v="16"/>
    <n v="74.5"/>
    <n v="0"/>
    <n v="420"/>
    <n v="1"/>
    <x v="1"/>
    <n v="299.13"/>
    <n v="0"/>
    <x v="2"/>
    <n v="68.44"/>
    <n v="14.244"/>
    <n v="299.13"/>
  </r>
  <r>
    <n v="1520"/>
    <d v="2025-02-14T20:00:00"/>
    <x v="3"/>
    <s v="Viernes"/>
    <x v="1"/>
    <x v="0"/>
    <x v="0"/>
    <x v="0"/>
    <x v="0"/>
    <x v="0"/>
    <n v="26000"/>
    <x v="87"/>
    <n v="82.3"/>
    <n v="0"/>
    <n v="163"/>
    <n v="1"/>
    <x v="1"/>
    <n v="253.13"/>
    <n v="0"/>
    <x v="2"/>
    <n v="58.35"/>
    <n v="9.7360000000000007"/>
    <n v="253.13"/>
  </r>
  <r>
    <n v="1152"/>
    <d v="2025-02-14T20:00:00"/>
    <x v="3"/>
    <s v="Viernes"/>
    <x v="1"/>
    <x v="0"/>
    <x v="0"/>
    <x v="2"/>
    <x v="2"/>
    <x v="2"/>
    <n v="17400"/>
    <x v="140"/>
    <n v="84.8"/>
    <n v="0"/>
    <n v="1241"/>
    <n v="1"/>
    <x v="1"/>
    <n v="259.41000000000003"/>
    <n v="0"/>
    <x v="2"/>
    <n v="59.72"/>
    <n v="14.909000000000001"/>
    <n v="259.41000000000003"/>
  </r>
  <r>
    <n v="417"/>
    <d v="2025-02-18T00:00:00"/>
    <x v="0"/>
    <s v="Martes"/>
    <x v="1"/>
    <x v="0"/>
    <x v="0"/>
    <x v="5"/>
    <x v="5"/>
    <x v="5"/>
    <n v="8600"/>
    <x v="51"/>
    <n v="92.5"/>
    <n v="0"/>
    <n v="139"/>
    <n v="1"/>
    <x v="1"/>
    <n v="32.950000000000003"/>
    <n v="0"/>
    <x v="0"/>
    <n v="3.14"/>
    <n v="3.831"/>
    <n v="32.950000000000003"/>
  </r>
  <r>
    <n v="785"/>
    <d v="2025-02-18T00:00:00"/>
    <x v="0"/>
    <s v="Martes"/>
    <x v="1"/>
    <x v="0"/>
    <x v="0"/>
    <x v="1"/>
    <x v="1"/>
    <x v="1"/>
    <n v="21000"/>
    <x v="29"/>
    <n v="77.2"/>
    <n v="0"/>
    <n v="208"/>
    <n v="1"/>
    <x v="1"/>
    <n v="198.03"/>
    <n v="0"/>
    <x v="0"/>
    <n v="18.399999999999999"/>
    <n v="9.43"/>
    <n v="198.03"/>
  </r>
  <r>
    <n v="1153"/>
    <d v="2025-02-18T00:00:00"/>
    <x v="0"/>
    <s v="Martes"/>
    <x v="1"/>
    <x v="0"/>
    <x v="0"/>
    <x v="2"/>
    <x v="2"/>
    <x v="2"/>
    <n v="17400"/>
    <x v="58"/>
    <n v="89.7"/>
    <n v="0"/>
    <n v="133"/>
    <n v="0"/>
    <x v="0"/>
    <n v="54.08"/>
    <n v="0"/>
    <x v="0"/>
    <n v="4.88"/>
    <n v="3.1080000000000001"/>
    <n v="54.08"/>
  </r>
  <r>
    <n v="1889"/>
    <d v="2025-02-18T00:00:00"/>
    <x v="0"/>
    <s v="Martes"/>
    <x v="1"/>
    <x v="0"/>
    <x v="0"/>
    <x v="3"/>
    <x v="3"/>
    <x v="3"/>
    <n v="9800"/>
    <x v="57"/>
    <n v="87.6"/>
    <n v="0"/>
    <n v="301"/>
    <n v="1"/>
    <x v="1"/>
    <n v="97.35"/>
    <n v="0"/>
    <x v="0"/>
    <n v="9.1199999999999992"/>
    <n v="9.9339999999999993"/>
    <n v="97.35"/>
  </r>
  <r>
    <n v="49"/>
    <d v="2025-02-18T00:00:00"/>
    <x v="0"/>
    <s v="Martes"/>
    <x v="1"/>
    <x v="0"/>
    <x v="0"/>
    <x v="4"/>
    <x v="4"/>
    <x v="4"/>
    <n v="12500"/>
    <x v="104"/>
    <n v="65.8"/>
    <n v="0"/>
    <n v="1"/>
    <n v="0"/>
    <x v="0"/>
    <n v="22.89"/>
    <n v="0"/>
    <x v="0"/>
    <n v="2.0299999999999998"/>
    <n v="1.831"/>
    <n v="22.89"/>
  </r>
  <r>
    <n v="1521"/>
    <d v="2025-02-18T00:00:00"/>
    <x v="0"/>
    <s v="Martes"/>
    <x v="1"/>
    <x v="0"/>
    <x v="0"/>
    <x v="0"/>
    <x v="0"/>
    <x v="0"/>
    <n v="26000"/>
    <x v="104"/>
    <n v="80.8"/>
    <n v="0"/>
    <n v="60"/>
    <n v="1"/>
    <x v="1"/>
    <n v="132.47"/>
    <n v="0"/>
    <x v="0"/>
    <n v="11.9"/>
    <n v="5.0949999999999998"/>
    <n v="132.47"/>
  </r>
  <r>
    <n v="786"/>
    <d v="2025-02-18T08:00:00"/>
    <x v="1"/>
    <s v="Martes"/>
    <x v="1"/>
    <x v="0"/>
    <x v="0"/>
    <x v="1"/>
    <x v="1"/>
    <x v="1"/>
    <n v="21000"/>
    <x v="54"/>
    <n v="63.2"/>
    <n v="19.7"/>
    <n v="427"/>
    <n v="1"/>
    <x v="1"/>
    <n v="286.2"/>
    <n v="3.89"/>
    <x v="1"/>
    <n v="40.68"/>
    <n v="13.629"/>
    <n v="282.31"/>
  </r>
  <r>
    <n v="50"/>
    <d v="2025-02-18T08:00:00"/>
    <x v="1"/>
    <s v="Martes"/>
    <x v="1"/>
    <x v="0"/>
    <x v="0"/>
    <x v="4"/>
    <x v="4"/>
    <x v="4"/>
    <n v="12500"/>
    <x v="141"/>
    <n v="86.5"/>
    <n v="35.299999999999997"/>
    <n v="324"/>
    <n v="1"/>
    <x v="1"/>
    <n v="105.43"/>
    <n v="4.68"/>
    <x v="1"/>
    <n v="14.77"/>
    <n v="8.4339999999999993"/>
    <n v="100.75"/>
  </r>
  <r>
    <n v="1522"/>
    <d v="2025-02-18T08:00:00"/>
    <x v="1"/>
    <s v="Martes"/>
    <x v="1"/>
    <x v="0"/>
    <x v="0"/>
    <x v="0"/>
    <x v="0"/>
    <x v="0"/>
    <n v="26000"/>
    <x v="44"/>
    <n v="75"/>
    <n v="76.8"/>
    <n v="165"/>
    <n v="1"/>
    <x v="1"/>
    <n v="287.81"/>
    <n v="22.14"/>
    <x v="1"/>
    <n v="37.99"/>
    <n v="11.07"/>
    <n v="265.67"/>
  </r>
  <r>
    <n v="1154"/>
    <d v="2025-02-18T08:00:00"/>
    <x v="1"/>
    <s v="Martes"/>
    <x v="1"/>
    <x v="0"/>
    <x v="0"/>
    <x v="2"/>
    <x v="2"/>
    <x v="2"/>
    <n v="17400"/>
    <x v="142"/>
    <n v="83.5"/>
    <n v="45.3"/>
    <n v="48"/>
    <n v="0"/>
    <x v="0"/>
    <n v="51.1"/>
    <n v="5.28"/>
    <x v="1"/>
    <n v="6.93"/>
    <n v="2.9369999999999998"/>
    <n v="45.82"/>
  </r>
  <r>
    <n v="418"/>
    <d v="2025-02-18T08:00:00"/>
    <x v="1"/>
    <s v="Martes"/>
    <x v="1"/>
    <x v="0"/>
    <x v="0"/>
    <x v="5"/>
    <x v="5"/>
    <x v="5"/>
    <n v="8600"/>
    <x v="10"/>
    <n v="98.8"/>
    <n v="48.7"/>
    <n v="861"/>
    <n v="1"/>
    <x v="1"/>
    <n v="121.69"/>
    <n v="3.84"/>
    <x v="1"/>
    <n v="17.16"/>
    <n v="14.15"/>
    <n v="117.85"/>
  </r>
  <r>
    <n v="1890"/>
    <d v="2025-02-18T08:00:00"/>
    <x v="1"/>
    <s v="Martes"/>
    <x v="1"/>
    <x v="0"/>
    <x v="0"/>
    <x v="3"/>
    <x v="3"/>
    <x v="3"/>
    <n v="9800"/>
    <x v="46"/>
    <n v="93.1"/>
    <n v="58.4"/>
    <n v="67"/>
    <n v="1"/>
    <x v="1"/>
    <n v="35.380000000000003"/>
    <n v="0"/>
    <x v="1"/>
    <n v="5"/>
    <n v="3.61"/>
    <n v="35.380000000000003"/>
  </r>
  <r>
    <n v="51"/>
    <d v="2025-02-18T14:00:00"/>
    <x v="2"/>
    <s v="Martes"/>
    <x v="1"/>
    <x v="0"/>
    <x v="0"/>
    <x v="4"/>
    <x v="4"/>
    <x v="4"/>
    <n v="12500"/>
    <x v="143"/>
    <n v="62"/>
    <n v="507.4"/>
    <n v="580"/>
    <n v="1"/>
    <x v="1"/>
    <n v="111.59"/>
    <n v="79.05"/>
    <x v="1"/>
    <n v="4.9000000000000004"/>
    <n v="8.9269999999999996"/>
    <n v="32.54"/>
  </r>
  <r>
    <n v="787"/>
    <d v="2025-02-18T14:00:00"/>
    <x v="2"/>
    <s v="Martes"/>
    <x v="1"/>
    <x v="0"/>
    <x v="0"/>
    <x v="1"/>
    <x v="1"/>
    <x v="1"/>
    <n v="21000"/>
    <x v="144"/>
    <n v="77.900000000000006"/>
    <n v="386"/>
    <n v="414"/>
    <n v="0"/>
    <x v="0"/>
    <n v="194.88"/>
    <n v="77.19"/>
    <x v="1"/>
    <n v="17.45"/>
    <n v="9.2799999999999994"/>
    <n v="117.69"/>
  </r>
  <r>
    <n v="1523"/>
    <d v="2025-02-18T14:00:00"/>
    <x v="2"/>
    <s v="Martes"/>
    <x v="1"/>
    <x v="0"/>
    <x v="0"/>
    <x v="0"/>
    <x v="0"/>
    <x v="0"/>
    <n v="26000"/>
    <x v="34"/>
    <n v="64.3"/>
    <n v="378"/>
    <n v="179"/>
    <n v="1"/>
    <x v="1"/>
    <n v="158.9"/>
    <n v="110.86"/>
    <x v="1"/>
    <n v="7.21"/>
    <n v="6.1120000000000001"/>
    <n v="48.04"/>
  </r>
  <r>
    <n v="1155"/>
    <d v="2025-02-18T14:00:00"/>
    <x v="2"/>
    <s v="Martes"/>
    <x v="1"/>
    <x v="0"/>
    <x v="0"/>
    <x v="2"/>
    <x v="2"/>
    <x v="2"/>
    <n v="17400"/>
    <x v="145"/>
    <n v="76.2"/>
    <n v="418"/>
    <n v="1377"/>
    <n v="1"/>
    <x v="2"/>
    <n v="197.88"/>
    <n v="51.46"/>
    <x v="1"/>
    <n v="21.32"/>
    <n v="11.372"/>
    <n v="146.41999999999999"/>
  </r>
  <r>
    <n v="419"/>
    <d v="2025-02-18T14:00:00"/>
    <x v="2"/>
    <s v="Martes"/>
    <x v="1"/>
    <x v="0"/>
    <x v="0"/>
    <x v="5"/>
    <x v="5"/>
    <x v="5"/>
    <n v="8600"/>
    <x v="137"/>
    <n v="81.400000000000006"/>
    <n v="390.5"/>
    <n v="808"/>
    <n v="1"/>
    <x v="1"/>
    <n v="76.22"/>
    <n v="28.04"/>
    <x v="1"/>
    <n v="7.24"/>
    <n v="8.8629999999999995"/>
    <n v="48.18"/>
  </r>
  <r>
    <n v="1891"/>
    <d v="2025-02-18T14:00:00"/>
    <x v="2"/>
    <s v="Martes"/>
    <x v="1"/>
    <x v="0"/>
    <x v="0"/>
    <x v="3"/>
    <x v="3"/>
    <x v="3"/>
    <n v="9800"/>
    <x v="107"/>
    <n v="82"/>
    <n v="452.9"/>
    <n v="70"/>
    <n v="1"/>
    <x v="1"/>
    <n v="21.12"/>
    <n v="0"/>
    <x v="1"/>
    <n v="3.13"/>
    <n v="2.1549999999999998"/>
    <n v="21.12"/>
  </r>
  <r>
    <n v="1156"/>
    <d v="2025-02-18T20:00:00"/>
    <x v="3"/>
    <s v="Martes"/>
    <x v="1"/>
    <x v="0"/>
    <x v="0"/>
    <x v="2"/>
    <x v="2"/>
    <x v="2"/>
    <n v="17400"/>
    <x v="37"/>
    <n v="77.5"/>
    <n v="0"/>
    <n v="1355"/>
    <n v="1"/>
    <x v="1"/>
    <n v="280.14999999999998"/>
    <n v="0"/>
    <x v="2"/>
    <n v="63.48"/>
    <n v="16.100999999999999"/>
    <n v="280.14999999999998"/>
  </r>
  <r>
    <n v="788"/>
    <d v="2025-02-18T20:00:00"/>
    <x v="3"/>
    <s v="Martes"/>
    <x v="1"/>
    <x v="0"/>
    <x v="0"/>
    <x v="1"/>
    <x v="1"/>
    <x v="1"/>
    <n v="21000"/>
    <x v="146"/>
    <n v="71"/>
    <n v="0"/>
    <n v="390"/>
    <n v="1"/>
    <x v="1"/>
    <n v="282"/>
    <n v="0"/>
    <x v="2"/>
    <n v="63.73"/>
    <n v="13.429"/>
    <n v="282"/>
  </r>
  <r>
    <n v="52"/>
    <d v="2025-02-18T20:00:00"/>
    <x v="3"/>
    <s v="Martes"/>
    <x v="1"/>
    <x v="0"/>
    <x v="0"/>
    <x v="4"/>
    <x v="4"/>
    <x v="4"/>
    <n v="12500"/>
    <x v="7"/>
    <n v="71.5"/>
    <n v="0"/>
    <n v="68"/>
    <n v="1"/>
    <x v="1"/>
    <n v="41.94"/>
    <n v="0"/>
    <x v="2"/>
    <n v="9.3699999999999992"/>
    <n v="3.355"/>
    <n v="41.94"/>
  </r>
  <r>
    <n v="420"/>
    <d v="2025-02-18T20:00:00"/>
    <x v="3"/>
    <s v="Martes"/>
    <x v="1"/>
    <x v="0"/>
    <x v="0"/>
    <x v="5"/>
    <x v="5"/>
    <x v="5"/>
    <n v="8600"/>
    <x v="65"/>
    <n v="79.599999999999994"/>
    <n v="0"/>
    <n v="82"/>
    <n v="1"/>
    <x v="1"/>
    <n v="27.68"/>
    <n v="0"/>
    <x v="2"/>
    <n v="6.59"/>
    <n v="3.2189999999999999"/>
    <n v="27.68"/>
  </r>
  <r>
    <n v="1892"/>
    <d v="2025-02-18T20:00:00"/>
    <x v="3"/>
    <s v="Martes"/>
    <x v="1"/>
    <x v="0"/>
    <x v="0"/>
    <x v="3"/>
    <x v="3"/>
    <x v="3"/>
    <n v="9800"/>
    <x v="77"/>
    <n v="82.5"/>
    <n v="0"/>
    <m/>
    <n v="1"/>
    <x v="1"/>
    <n v="102.61"/>
    <n v="0"/>
    <x v="2"/>
    <n v="23.72"/>
    <n v="10.47"/>
    <n v="102.61"/>
  </r>
  <r>
    <n v="1524"/>
    <d v="2025-02-18T20:00:00"/>
    <x v="3"/>
    <s v="Martes"/>
    <x v="1"/>
    <x v="0"/>
    <x v="0"/>
    <x v="0"/>
    <x v="0"/>
    <x v="0"/>
    <n v="26000"/>
    <x v="54"/>
    <n v="70.3"/>
    <n v="0"/>
    <n v="173"/>
    <n v="1"/>
    <x v="1"/>
    <n v="250.66"/>
    <n v="0"/>
    <x v="2"/>
    <n v="58.43"/>
    <n v="9.641"/>
    <n v="250.66"/>
  </r>
  <r>
    <n v="1893"/>
    <d v="2025-02-22T00:00:00"/>
    <x v="0"/>
    <s v="Sabado"/>
    <x v="1"/>
    <x v="0"/>
    <x v="1"/>
    <x v="3"/>
    <x v="3"/>
    <x v="3"/>
    <n v="9800"/>
    <x v="133"/>
    <n v="92"/>
    <n v="0"/>
    <n v="284"/>
    <n v="1"/>
    <x v="1"/>
    <n v="98.57"/>
    <n v="0"/>
    <x v="0"/>
    <n v="9.02"/>
    <n v="10.058"/>
    <n v="98.57"/>
  </r>
  <r>
    <n v="1157"/>
    <d v="2025-02-22T00:00:00"/>
    <x v="0"/>
    <s v="Sabado"/>
    <x v="1"/>
    <x v="0"/>
    <x v="1"/>
    <x v="2"/>
    <x v="2"/>
    <x v="2"/>
    <n v="17400"/>
    <x v="58"/>
    <n v="88.7"/>
    <n v="0"/>
    <n v="305"/>
    <n v="1"/>
    <x v="1"/>
    <n v="74.63"/>
    <n v="0"/>
    <x v="0"/>
    <n v="6.72"/>
    <n v="4.2889999999999997"/>
    <n v="74.63"/>
  </r>
  <r>
    <n v="53"/>
    <d v="2025-02-22T00:00:00"/>
    <x v="0"/>
    <s v="Sabado"/>
    <x v="1"/>
    <x v="0"/>
    <x v="1"/>
    <x v="4"/>
    <x v="4"/>
    <x v="4"/>
    <n v="12500"/>
    <x v="92"/>
    <n v="73.3"/>
    <n v="0"/>
    <n v="72"/>
    <n v="0"/>
    <x v="0"/>
    <n v="27.23"/>
    <n v="0"/>
    <x v="0"/>
    <n v="2.38"/>
    <n v="2.1779999999999999"/>
    <n v="27.23"/>
  </r>
  <r>
    <n v="421"/>
    <d v="2025-02-22T00:00:00"/>
    <x v="0"/>
    <s v="Sabado"/>
    <x v="1"/>
    <x v="0"/>
    <x v="1"/>
    <x v="5"/>
    <x v="5"/>
    <x v="5"/>
    <n v="8600"/>
    <x v="133"/>
    <n v="90.5"/>
    <n v="0"/>
    <n v="0"/>
    <n v="0"/>
    <x v="0"/>
    <n v="12.45"/>
    <n v="0"/>
    <x v="0"/>
    <n v="1.1000000000000001"/>
    <n v="1.448"/>
    <n v="12.45"/>
  </r>
  <r>
    <n v="789"/>
    <d v="2025-02-22T00:00:00"/>
    <x v="0"/>
    <s v="Sabado"/>
    <x v="1"/>
    <x v="0"/>
    <x v="1"/>
    <x v="1"/>
    <x v="1"/>
    <x v="1"/>
    <n v="21000"/>
    <x v="67"/>
    <n v="70"/>
    <n v="0"/>
    <n v="251"/>
    <n v="1"/>
    <x v="1"/>
    <n v="172.91"/>
    <n v="0"/>
    <x v="0"/>
    <n v="15.8"/>
    <n v="8.234"/>
    <n v="172.91"/>
  </r>
  <r>
    <n v="1525"/>
    <d v="2025-02-22T00:00:00"/>
    <x v="0"/>
    <s v="Sabado"/>
    <x v="1"/>
    <x v="0"/>
    <x v="1"/>
    <x v="0"/>
    <x v="0"/>
    <x v="0"/>
    <n v="26000"/>
    <x v="109"/>
    <n v="79.599999999999994"/>
    <n v="0"/>
    <n v="12"/>
    <n v="1"/>
    <x v="1"/>
    <n v="97.14"/>
    <n v="0"/>
    <x v="0"/>
    <n v="8.7200000000000006"/>
    <n v="3.7360000000000002"/>
    <n v="97.14"/>
  </r>
  <r>
    <n v="1894"/>
    <d v="2025-02-22T08:00:00"/>
    <x v="1"/>
    <s v="Sabado"/>
    <x v="1"/>
    <x v="0"/>
    <x v="1"/>
    <x v="3"/>
    <x v="3"/>
    <x v="3"/>
    <n v="9800"/>
    <x v="33"/>
    <n v="84.6"/>
    <n v="9"/>
    <n v="103"/>
    <n v="1"/>
    <x v="1"/>
    <n v="47.9"/>
    <n v="0"/>
    <x v="0"/>
    <n v="4.41"/>
    <n v="4.8879999999999999"/>
    <n v="47.9"/>
  </r>
  <r>
    <n v="54"/>
    <d v="2025-02-22T08:00:00"/>
    <x v="1"/>
    <s v="Sabado"/>
    <x v="1"/>
    <x v="0"/>
    <x v="1"/>
    <x v="4"/>
    <x v="4"/>
    <x v="4"/>
    <n v="12500"/>
    <x v="109"/>
    <n v="64.2"/>
    <n v="69.099999999999994"/>
    <n v="0"/>
    <n v="0"/>
    <x v="0"/>
    <n v="23.95"/>
    <n v="10.77"/>
    <x v="0"/>
    <n v="1.18"/>
    <n v="1.9159999999999999"/>
    <n v="13.18"/>
  </r>
  <r>
    <n v="790"/>
    <d v="2025-02-22T08:00:00"/>
    <x v="1"/>
    <s v="Sabado"/>
    <x v="1"/>
    <x v="0"/>
    <x v="1"/>
    <x v="1"/>
    <x v="1"/>
    <x v="1"/>
    <n v="21000"/>
    <x v="65"/>
    <n v="68.5"/>
    <n v="70"/>
    <n v="423"/>
    <n v="1"/>
    <x v="1"/>
    <n v="285.94"/>
    <n v="15.18"/>
    <x v="0"/>
    <n v="24.77"/>
    <n v="13.616"/>
    <n v="270.76"/>
  </r>
  <r>
    <n v="1158"/>
    <d v="2025-02-22T08:00:00"/>
    <x v="1"/>
    <s v="Sabado"/>
    <x v="1"/>
    <x v="0"/>
    <x v="1"/>
    <x v="2"/>
    <x v="2"/>
    <x v="2"/>
    <n v="17400"/>
    <x v="40"/>
    <n v="87"/>
    <n v="25.7"/>
    <n v="72"/>
    <n v="1"/>
    <x v="1"/>
    <n v="59.39"/>
    <n v="3.28"/>
    <x v="0"/>
    <n v="5.07"/>
    <n v="3.4129999999999998"/>
    <n v="56.11"/>
  </r>
  <r>
    <n v="422"/>
    <d v="2025-02-22T08:00:00"/>
    <x v="1"/>
    <s v="Sabado"/>
    <x v="1"/>
    <x v="0"/>
    <x v="1"/>
    <x v="5"/>
    <x v="5"/>
    <x v="5"/>
    <n v="8600"/>
    <x v="14"/>
    <n v="99"/>
    <n v="2.2999999999999998"/>
    <n v="0"/>
    <n v="0"/>
    <x v="0"/>
    <n v="13.08"/>
    <n v="0.16"/>
    <x v="0"/>
    <n v="1.1599999999999999"/>
    <n v="1.5209999999999999"/>
    <n v="12.92"/>
  </r>
  <r>
    <n v="1526"/>
    <d v="2025-02-22T08:00:00"/>
    <x v="1"/>
    <s v="Sabado"/>
    <x v="1"/>
    <x v="0"/>
    <x v="1"/>
    <x v="0"/>
    <x v="0"/>
    <x v="0"/>
    <n v="26000"/>
    <x v="80"/>
    <n v="65.8"/>
    <n v="51.6"/>
    <n v="73"/>
    <n v="1"/>
    <x v="1"/>
    <n v="130.19"/>
    <n v="13.25"/>
    <x v="0"/>
    <n v="10.9"/>
    <n v="5.0069999999999997"/>
    <n v="116.94"/>
  </r>
  <r>
    <n v="1527"/>
    <d v="2025-02-22T14:00:00"/>
    <x v="2"/>
    <s v="Sabado"/>
    <x v="1"/>
    <x v="0"/>
    <x v="1"/>
    <x v="0"/>
    <x v="0"/>
    <x v="0"/>
    <n v="26000"/>
    <x v="6"/>
    <n v="74.3"/>
    <n v="492.4"/>
    <n v="64"/>
    <n v="1"/>
    <x v="1"/>
    <n v="85.48"/>
    <n v="136.27000000000001"/>
    <x v="0"/>
    <n v="-1.88"/>
    <n v="3.2879999999999998"/>
    <n v="0"/>
  </r>
  <r>
    <n v="55"/>
    <d v="2025-02-22T14:00:00"/>
    <x v="2"/>
    <s v="Sabado"/>
    <x v="1"/>
    <x v="0"/>
    <x v="1"/>
    <x v="4"/>
    <x v="4"/>
    <x v="4"/>
    <n v="12500"/>
    <x v="43"/>
    <n v="70.8"/>
    <n v="376.1"/>
    <n v="3"/>
    <n v="0"/>
    <x v="0"/>
    <n v="15.92"/>
    <n v="54.83"/>
    <x v="0"/>
    <n v="-1.41"/>
    <n v="1.274"/>
    <n v="0"/>
  </r>
  <r>
    <n v="1895"/>
    <d v="2025-02-22T14:00:00"/>
    <x v="2"/>
    <s v="Sabado"/>
    <x v="1"/>
    <x v="0"/>
    <x v="1"/>
    <x v="3"/>
    <x v="3"/>
    <x v="3"/>
    <n v="9800"/>
    <x v="43"/>
    <n v="90.3"/>
    <n v="320.10000000000002"/>
    <n v="138"/>
    <n v="1"/>
    <x v="2"/>
    <n v="27.65"/>
    <n v="0"/>
    <x v="0"/>
    <n v="2.56"/>
    <n v="2.8210000000000002"/>
    <n v="27.65"/>
  </r>
  <r>
    <n v="1159"/>
    <d v="2025-02-22T14:00:00"/>
    <x v="2"/>
    <s v="Sabado"/>
    <x v="1"/>
    <x v="0"/>
    <x v="1"/>
    <x v="2"/>
    <x v="2"/>
    <x v="2"/>
    <n v="17400"/>
    <x v="71"/>
    <n v="92.1"/>
    <n v="209.9"/>
    <n v="1556"/>
    <n v="0"/>
    <x v="0"/>
    <n v="231.36"/>
    <n v="26.95"/>
    <x v="0"/>
    <n v="18.93"/>
    <n v="13.297000000000001"/>
    <n v="204.41"/>
  </r>
  <r>
    <n v="423"/>
    <d v="2025-02-22T14:00:00"/>
    <x v="2"/>
    <s v="Sabado"/>
    <x v="1"/>
    <x v="0"/>
    <x v="1"/>
    <x v="5"/>
    <x v="5"/>
    <x v="5"/>
    <n v="8600"/>
    <x v="89"/>
    <n v="93"/>
    <n v="424.5"/>
    <n v="10"/>
    <n v="0"/>
    <x v="0"/>
    <n v="7.85"/>
    <n v="32.94"/>
    <x v="0"/>
    <n v="-0.92"/>
    <n v="0.91300000000000003"/>
    <n v="0"/>
  </r>
  <r>
    <n v="791"/>
    <d v="2025-02-22T14:00:00"/>
    <x v="2"/>
    <s v="Sabado"/>
    <x v="1"/>
    <x v="0"/>
    <x v="1"/>
    <x v="1"/>
    <x v="1"/>
    <x v="1"/>
    <n v="21000"/>
    <x v="147"/>
    <n v="65.7"/>
    <n v="417"/>
    <n v="401"/>
    <n v="0"/>
    <x v="0"/>
    <n v="192.1"/>
    <n v="80.75"/>
    <x v="0"/>
    <n v="10.53"/>
    <n v="9.1479999999999997"/>
    <n v="111.35"/>
  </r>
  <r>
    <n v="1528"/>
    <d v="2025-02-22T20:00:00"/>
    <x v="3"/>
    <s v="Sabado"/>
    <x v="1"/>
    <x v="0"/>
    <x v="1"/>
    <x v="0"/>
    <x v="0"/>
    <x v="0"/>
    <n v="26000"/>
    <x v="84"/>
    <n v="80.3"/>
    <n v="0"/>
    <n v="57"/>
    <n v="1"/>
    <x v="1"/>
    <n v="149.85"/>
    <n v="0"/>
    <x v="0"/>
    <n v="13.8"/>
    <n v="5.7629999999999999"/>
    <n v="149.85"/>
  </r>
  <r>
    <n v="1160"/>
    <d v="2025-02-22T20:00:00"/>
    <x v="3"/>
    <s v="Sabado"/>
    <x v="1"/>
    <x v="0"/>
    <x v="1"/>
    <x v="2"/>
    <x v="2"/>
    <x v="2"/>
    <n v="17400"/>
    <x v="142"/>
    <n v="75.2"/>
    <n v="0"/>
    <n v="1619"/>
    <n v="1"/>
    <x v="1"/>
    <n v="318.38"/>
    <n v="0"/>
    <x v="0"/>
    <n v="28.88"/>
    <n v="18.297999999999998"/>
    <n v="318.38"/>
  </r>
  <r>
    <n v="424"/>
    <d v="2025-02-22T20:00:00"/>
    <x v="3"/>
    <s v="Sabado"/>
    <x v="1"/>
    <x v="0"/>
    <x v="1"/>
    <x v="5"/>
    <x v="5"/>
    <x v="5"/>
    <n v="8600"/>
    <x v="95"/>
    <n v="99"/>
    <n v="0"/>
    <n v="0"/>
    <n v="0"/>
    <x v="0"/>
    <n v="12.89"/>
    <n v="0"/>
    <x v="0"/>
    <n v="1.1299999999999999"/>
    <n v="1.4990000000000001"/>
    <n v="12.89"/>
  </r>
  <r>
    <n v="1896"/>
    <d v="2025-02-22T20:00:00"/>
    <x v="3"/>
    <s v="Sabado"/>
    <x v="1"/>
    <x v="0"/>
    <x v="1"/>
    <x v="3"/>
    <x v="3"/>
    <x v="3"/>
    <n v="9800"/>
    <x v="88"/>
    <n v="84.3"/>
    <n v="0"/>
    <n v="327"/>
    <n v="1"/>
    <x v="1"/>
    <n v="105.39"/>
    <n v="0"/>
    <x v="0"/>
    <n v="9.66"/>
    <n v="10.754"/>
    <n v="105.39"/>
  </r>
  <r>
    <n v="792"/>
    <d v="2025-02-22T20:00:00"/>
    <x v="3"/>
    <s v="Sabado"/>
    <x v="1"/>
    <x v="0"/>
    <x v="1"/>
    <x v="1"/>
    <x v="1"/>
    <x v="1"/>
    <n v="21000"/>
    <x v="148"/>
    <n v="80.400000000000006"/>
    <n v="0"/>
    <n v="427"/>
    <n v="1"/>
    <x v="1"/>
    <n v="298.29000000000002"/>
    <n v="0"/>
    <x v="0"/>
    <n v="27.65"/>
    <n v="14.204000000000001"/>
    <n v="298.29000000000002"/>
  </r>
  <r>
    <n v="56"/>
    <d v="2025-02-22T20:00:00"/>
    <x v="3"/>
    <s v="Sabado"/>
    <x v="1"/>
    <x v="0"/>
    <x v="1"/>
    <x v="4"/>
    <x v="4"/>
    <x v="4"/>
    <n v="12500"/>
    <x v="133"/>
    <n v="64.099999999999994"/>
    <n v="0"/>
    <n v="0"/>
    <n v="0"/>
    <x v="0"/>
    <n v="23.3"/>
    <n v="0"/>
    <x v="0"/>
    <n v="2.12"/>
    <n v="1.8640000000000001"/>
    <n v="23.3"/>
  </r>
  <r>
    <n v="1897"/>
    <d v="2025-02-26T00:00:00"/>
    <x v="0"/>
    <s v="Miercoles"/>
    <x v="1"/>
    <x v="0"/>
    <x v="0"/>
    <x v="3"/>
    <x v="3"/>
    <x v="3"/>
    <n v="9800"/>
    <x v="17"/>
    <m/>
    <n v="0"/>
    <n v="329"/>
    <n v="1"/>
    <x v="1"/>
    <n v="92.98"/>
    <n v="0"/>
    <x v="0"/>
    <n v="8.1999999999999993"/>
    <n v="9.4879999999999995"/>
    <n v="92.98"/>
  </r>
  <r>
    <n v="793"/>
    <d v="2025-02-26T00:00:00"/>
    <x v="0"/>
    <s v="Miercoles"/>
    <x v="1"/>
    <x v="0"/>
    <x v="0"/>
    <x v="1"/>
    <x v="1"/>
    <x v="1"/>
    <n v="21000"/>
    <x v="114"/>
    <n v="61.1"/>
    <n v="0"/>
    <n v="218"/>
    <n v="1"/>
    <x v="1"/>
    <n v="189.65"/>
    <n v="0"/>
    <x v="0"/>
    <n v="17.18"/>
    <n v="9.0310000000000006"/>
    <n v="189.65"/>
  </r>
  <r>
    <n v="1161"/>
    <d v="2025-02-26T00:00:00"/>
    <x v="0"/>
    <s v="Miercoles"/>
    <x v="1"/>
    <x v="0"/>
    <x v="0"/>
    <x v="2"/>
    <x v="2"/>
    <x v="2"/>
    <n v="17400"/>
    <x v="112"/>
    <n v="85.7"/>
    <n v="0"/>
    <n v="112"/>
    <n v="0"/>
    <x v="0"/>
    <n v="47.9"/>
    <n v="0"/>
    <x v="0"/>
    <n v="4.3499999999999996"/>
    <n v="2.7530000000000001"/>
    <n v="47.9"/>
  </r>
  <r>
    <n v="425"/>
    <d v="2025-02-26T00:00:00"/>
    <x v="0"/>
    <s v="Miercoles"/>
    <x v="1"/>
    <x v="0"/>
    <x v="0"/>
    <x v="5"/>
    <x v="5"/>
    <x v="5"/>
    <n v="8600"/>
    <x v="133"/>
    <n v="92.3"/>
    <n v="0"/>
    <n v="27"/>
    <n v="1"/>
    <x v="1"/>
    <n v="25.11"/>
    <n v="0"/>
    <x v="0"/>
    <n v="2.2599999999999998"/>
    <n v="2.92"/>
    <n v="25.11"/>
  </r>
  <r>
    <n v="57"/>
    <d v="2025-02-26T00:00:00"/>
    <x v="0"/>
    <s v="Miercoles"/>
    <x v="1"/>
    <x v="0"/>
    <x v="0"/>
    <x v="4"/>
    <x v="4"/>
    <x v="4"/>
    <n v="12500"/>
    <x v="149"/>
    <n v="80"/>
    <n v="0"/>
    <n v="9"/>
    <n v="0"/>
    <x v="0"/>
    <n v="22.92"/>
    <n v="0"/>
    <x v="0"/>
    <n v="2"/>
    <n v="1.8340000000000001"/>
    <n v="22.92"/>
  </r>
  <r>
    <n v="1529"/>
    <d v="2025-02-26T00:00:00"/>
    <x v="0"/>
    <s v="Miercoles"/>
    <x v="1"/>
    <x v="0"/>
    <x v="0"/>
    <x v="0"/>
    <x v="0"/>
    <x v="0"/>
    <n v="26000"/>
    <x v="150"/>
    <n v="84.8"/>
    <n v="0"/>
    <n v="57"/>
    <n v="1"/>
    <x v="1"/>
    <n v="124.96"/>
    <n v="0"/>
    <x v="0"/>
    <n v="11.3"/>
    <n v="4.806"/>
    <n v="124.96"/>
  </r>
  <r>
    <n v="1530"/>
    <d v="2025-02-26T08:00:00"/>
    <x v="1"/>
    <s v="Miercoles"/>
    <x v="1"/>
    <x v="0"/>
    <x v="0"/>
    <x v="0"/>
    <x v="0"/>
    <x v="0"/>
    <n v="26000"/>
    <x v="151"/>
    <n v="76.2"/>
    <n v="93.4"/>
    <n v="150"/>
    <n v="1"/>
    <x v="1"/>
    <n v="267.52999999999997"/>
    <n v="25.07"/>
    <x v="1"/>
    <n v="34.840000000000003"/>
    <n v="10.29"/>
    <n v="242.46"/>
  </r>
  <r>
    <n v="1898"/>
    <d v="2025-02-26T08:00:00"/>
    <x v="1"/>
    <s v="Miercoles"/>
    <x v="1"/>
    <x v="0"/>
    <x v="0"/>
    <x v="3"/>
    <x v="3"/>
    <x v="3"/>
    <n v="9800"/>
    <x v="3"/>
    <n v="84.2"/>
    <n v="100.8"/>
    <n v="77"/>
    <n v="1"/>
    <x v="1"/>
    <n v="36.68"/>
    <n v="0"/>
    <x v="1"/>
    <n v="5.2"/>
    <n v="3.7429999999999999"/>
    <n v="36.68"/>
  </r>
  <r>
    <n v="58"/>
    <d v="2025-02-26T08:00:00"/>
    <x v="1"/>
    <s v="Miercoles"/>
    <x v="1"/>
    <x v="0"/>
    <x v="0"/>
    <x v="4"/>
    <x v="4"/>
    <x v="4"/>
    <n v="12500"/>
    <x v="19"/>
    <n v="79.099999999999994"/>
    <n v="59.3"/>
    <n v="377"/>
    <n v="1"/>
    <x v="1"/>
    <n v="103.32"/>
    <n v="8.17"/>
    <x v="1"/>
    <n v="13.76"/>
    <n v="8.266"/>
    <n v="95.15"/>
  </r>
  <r>
    <n v="794"/>
    <d v="2025-02-26T08:00:00"/>
    <x v="1"/>
    <s v="Miercoles"/>
    <x v="1"/>
    <x v="0"/>
    <x v="0"/>
    <x v="1"/>
    <x v="1"/>
    <x v="1"/>
    <n v="21000"/>
    <x v="120"/>
    <n v="91.3"/>
    <n v="55.1"/>
    <n v="433"/>
    <n v="1"/>
    <x v="1"/>
    <n v="318.94"/>
    <n v="10.88"/>
    <x v="1"/>
    <n v="43.84"/>
    <n v="15.188000000000001"/>
    <n v="308.06"/>
  </r>
  <r>
    <n v="426"/>
    <d v="2025-02-26T08:00:00"/>
    <x v="1"/>
    <s v="Miercoles"/>
    <x v="1"/>
    <x v="0"/>
    <x v="0"/>
    <x v="5"/>
    <x v="5"/>
    <x v="5"/>
    <n v="8600"/>
    <x v="112"/>
    <n v="96.7"/>
    <n v="36"/>
    <n v="847"/>
    <n v="1"/>
    <x v="1"/>
    <n v="118.49"/>
    <n v="2.61"/>
    <x v="1"/>
    <n v="16.71"/>
    <n v="13.778"/>
    <n v="115.88"/>
  </r>
  <r>
    <n v="1162"/>
    <d v="2025-02-26T08:00:00"/>
    <x v="1"/>
    <s v="Miercoles"/>
    <x v="1"/>
    <x v="0"/>
    <x v="0"/>
    <x v="2"/>
    <x v="2"/>
    <x v="2"/>
    <n v="17400"/>
    <x v="37"/>
    <n v="83.9"/>
    <n v="29.6"/>
    <m/>
    <n v="0"/>
    <x v="0"/>
    <n v="46.21"/>
    <n v="3.9"/>
    <x v="1"/>
    <n v="6.26"/>
    <n v="2.6560000000000001"/>
    <n v="42.31"/>
  </r>
  <r>
    <n v="795"/>
    <d v="2025-02-26T14:00:00"/>
    <x v="2"/>
    <s v="Miercoles"/>
    <x v="1"/>
    <x v="0"/>
    <x v="0"/>
    <x v="1"/>
    <x v="1"/>
    <x v="1"/>
    <n v="21000"/>
    <x v="116"/>
    <n v="68.3"/>
    <n v="581.79999999999995"/>
    <n v="350"/>
    <n v="0"/>
    <x v="0"/>
    <n v="186.31"/>
    <n v="123.78"/>
    <x v="1"/>
    <n v="9.17"/>
    <n v="8.8719999999999999"/>
    <n v="62.53"/>
  </r>
  <r>
    <n v="1899"/>
    <d v="2025-02-26T14:00:00"/>
    <x v="2"/>
    <s v="Miercoles"/>
    <x v="1"/>
    <x v="0"/>
    <x v="0"/>
    <x v="3"/>
    <x v="3"/>
    <x v="3"/>
    <n v="9800"/>
    <x v="146"/>
    <n v="93.5"/>
    <n v="330.9"/>
    <n v="63"/>
    <n v="1"/>
    <x v="1"/>
    <n v="18.82"/>
    <n v="0"/>
    <x v="1"/>
    <n v="2.7"/>
    <n v="1.92"/>
    <n v="18.82"/>
  </r>
  <r>
    <n v="1163"/>
    <d v="2025-02-26T14:00:00"/>
    <x v="2"/>
    <s v="Miercoles"/>
    <x v="1"/>
    <x v="0"/>
    <x v="0"/>
    <x v="2"/>
    <x v="2"/>
    <x v="2"/>
    <n v="17400"/>
    <x v="152"/>
    <n v="73"/>
    <n v="592.70000000000005"/>
    <n v="1394"/>
    <n v="0"/>
    <x v="0"/>
    <n v="203.26"/>
    <n v="71.5"/>
    <x v="1"/>
    <n v="19.43"/>
    <n v="11.682"/>
    <n v="131.76"/>
  </r>
  <r>
    <n v="427"/>
    <d v="2025-02-26T14:00:00"/>
    <x v="2"/>
    <s v="Miercoles"/>
    <x v="1"/>
    <x v="0"/>
    <x v="0"/>
    <x v="5"/>
    <x v="5"/>
    <x v="5"/>
    <n v="8600"/>
    <x v="152"/>
    <n v="99"/>
    <n v="285"/>
    <n v="864"/>
    <n v="0"/>
    <x v="0"/>
    <n v="80.38"/>
    <n v="20.25"/>
    <x v="1"/>
    <n v="8.68"/>
    <n v="9.3469999999999995"/>
    <n v="60.13"/>
  </r>
  <r>
    <n v="59"/>
    <d v="2025-02-26T14:00:00"/>
    <x v="2"/>
    <s v="Miercoles"/>
    <x v="1"/>
    <x v="0"/>
    <x v="0"/>
    <x v="4"/>
    <x v="4"/>
    <x v="4"/>
    <n v="12500"/>
    <x v="34"/>
    <n v="64.5"/>
    <n v="329"/>
    <n v="613"/>
    <n v="1"/>
    <x v="1"/>
    <n v="94.75"/>
    <n v="46.3"/>
    <x v="1"/>
    <n v="7.14"/>
    <n v="7.58"/>
    <n v="48.45"/>
  </r>
  <r>
    <n v="1531"/>
    <d v="2025-02-26T14:00:00"/>
    <x v="2"/>
    <s v="Miercoles"/>
    <x v="1"/>
    <x v="0"/>
    <x v="0"/>
    <x v="0"/>
    <x v="0"/>
    <x v="0"/>
    <n v="26000"/>
    <x v="148"/>
    <n v="67.3"/>
    <n v="549.70000000000005"/>
    <n v="163"/>
    <n v="1"/>
    <x v="1"/>
    <n v="165.99"/>
    <n v="147.99"/>
    <x v="1"/>
    <n v="2.65"/>
    <n v="6.3840000000000003"/>
    <n v="18"/>
  </r>
  <r>
    <n v="1900"/>
    <d v="2025-02-26T20:00:00"/>
    <x v="3"/>
    <s v="Miercoles"/>
    <x v="1"/>
    <x v="0"/>
    <x v="0"/>
    <x v="3"/>
    <x v="3"/>
    <x v="3"/>
    <n v="9800"/>
    <x v="37"/>
    <n v="78.3"/>
    <n v="0"/>
    <n v="289"/>
    <n v="1"/>
    <x v="1"/>
    <n v="96.32"/>
    <n v="0"/>
    <x v="2"/>
    <n v="21.43"/>
    <n v="9.8290000000000006"/>
    <n v="96.32"/>
  </r>
  <r>
    <n v="428"/>
    <d v="2025-02-26T20:00:00"/>
    <x v="3"/>
    <s v="Miercoles"/>
    <x v="1"/>
    <x v="0"/>
    <x v="0"/>
    <x v="5"/>
    <x v="5"/>
    <x v="5"/>
    <n v="8600"/>
    <x v="123"/>
    <n v="87.2"/>
    <n v="0"/>
    <n v="108"/>
    <n v="1"/>
    <x v="1"/>
    <n v="26.57"/>
    <n v="0"/>
    <x v="2"/>
    <n v="5.87"/>
    <n v="3.09"/>
    <n v="26.57"/>
  </r>
  <r>
    <n v="60"/>
    <d v="2025-02-26T20:00:00"/>
    <x v="3"/>
    <s v="Miercoles"/>
    <x v="1"/>
    <x v="0"/>
    <x v="0"/>
    <x v="4"/>
    <x v="4"/>
    <x v="4"/>
    <n v="12500"/>
    <x v="76"/>
    <n v="82.8"/>
    <n v="0"/>
    <n v="57"/>
    <n v="1"/>
    <x v="1"/>
    <n v="40.85"/>
    <n v="0"/>
    <x v="2"/>
    <n v="9.3000000000000007"/>
    <n v="3.2679999999999998"/>
    <n v="40.85"/>
  </r>
  <r>
    <n v="796"/>
    <d v="2025-02-26T20:00:00"/>
    <x v="3"/>
    <s v="Miercoles"/>
    <x v="1"/>
    <x v="0"/>
    <x v="0"/>
    <x v="1"/>
    <x v="1"/>
    <x v="1"/>
    <n v="21000"/>
    <x v="153"/>
    <n v="61.3"/>
    <n v="0"/>
    <n v="397"/>
    <n v="1"/>
    <x v="2"/>
    <n v="285.48"/>
    <n v="0"/>
    <x v="2"/>
    <m/>
    <n v="13.593999999999999"/>
    <n v="285.48"/>
  </r>
  <r>
    <n v="1532"/>
    <d v="2025-02-26T20:00:00"/>
    <x v="3"/>
    <s v="Miercoles"/>
    <x v="1"/>
    <x v="0"/>
    <x v="0"/>
    <x v="0"/>
    <x v="0"/>
    <x v="0"/>
    <n v="26000"/>
    <x v="122"/>
    <n v="68.400000000000006"/>
    <n v="0"/>
    <n v="185"/>
    <n v="1"/>
    <x v="1"/>
    <n v="252.33"/>
    <n v="0"/>
    <x v="2"/>
    <n v="56.52"/>
    <n v="9.7050000000000001"/>
    <n v="252.33"/>
  </r>
  <r>
    <n v="1164"/>
    <d v="2025-02-26T20:00:00"/>
    <x v="3"/>
    <s v="Miercoles"/>
    <x v="1"/>
    <x v="0"/>
    <x v="0"/>
    <x v="2"/>
    <x v="2"/>
    <x v="2"/>
    <n v="17400"/>
    <x v="123"/>
    <n v="85.3"/>
    <n v="0"/>
    <n v="1382"/>
    <n v="1"/>
    <x v="1"/>
    <n v="292.14"/>
    <n v="0"/>
    <x v="2"/>
    <n v="66.05"/>
    <n v="16.79"/>
    <n v="292.14"/>
  </r>
  <r>
    <n v="429"/>
    <d v="2025-03-02T00:00:00"/>
    <x v="0"/>
    <s v="Domingo"/>
    <x v="2"/>
    <x v="1"/>
    <x v="1"/>
    <x v="5"/>
    <x v="5"/>
    <x v="5"/>
    <n v="8600"/>
    <x v="39"/>
    <n v="99"/>
    <n v="0"/>
    <n v="13"/>
    <n v="0"/>
    <x v="0"/>
    <n v="12.56"/>
    <n v="0"/>
    <x v="0"/>
    <n v="1.07"/>
    <n v="1.46"/>
    <n v="12.56"/>
  </r>
  <r>
    <n v="61"/>
    <d v="2025-03-02T00:00:00"/>
    <x v="0"/>
    <s v="Domingo"/>
    <x v="2"/>
    <x v="1"/>
    <x v="1"/>
    <x v="4"/>
    <x v="4"/>
    <x v="4"/>
    <n v="12500"/>
    <x v="63"/>
    <n v="72.099999999999994"/>
    <n v="0"/>
    <n v="47"/>
    <n v="0"/>
    <x v="0"/>
    <n v="26.78"/>
    <n v="0"/>
    <x v="0"/>
    <n v="2.39"/>
    <n v="2.1419999999999999"/>
    <n v="26.78"/>
  </r>
  <r>
    <n v="1901"/>
    <d v="2025-03-02T00:00:00"/>
    <x v="0"/>
    <s v="Domingo"/>
    <x v="2"/>
    <x v="1"/>
    <x v="1"/>
    <x v="3"/>
    <x v="3"/>
    <x v="3"/>
    <n v="9800"/>
    <x v="112"/>
    <n v="89.1"/>
    <n v="0"/>
    <n v="289"/>
    <n v="1"/>
    <x v="1"/>
    <n v="95.95"/>
    <n v="0"/>
    <x v="0"/>
    <n v="8.7200000000000006"/>
    <n v="9.7910000000000004"/>
    <n v="95.95"/>
  </r>
  <r>
    <n v="797"/>
    <d v="2025-03-02T00:00:00"/>
    <x v="0"/>
    <s v="Domingo"/>
    <x v="2"/>
    <x v="1"/>
    <x v="1"/>
    <x v="1"/>
    <x v="1"/>
    <x v="1"/>
    <n v="21000"/>
    <x v="60"/>
    <n v="70.5"/>
    <n v="0"/>
    <n v="198"/>
    <n v="1"/>
    <x v="1"/>
    <n v="174.28"/>
    <n v="0"/>
    <x v="0"/>
    <n v="15.89"/>
    <n v="8.2989999999999995"/>
    <n v="174.28"/>
  </r>
  <r>
    <n v="1533"/>
    <d v="2025-03-02T00:00:00"/>
    <x v="0"/>
    <s v="Domingo"/>
    <x v="2"/>
    <x v="1"/>
    <x v="1"/>
    <x v="0"/>
    <x v="0"/>
    <x v="0"/>
    <n v="26000"/>
    <x v="39"/>
    <n v="80"/>
    <n v="0"/>
    <n v="14"/>
    <n v="1"/>
    <x v="1"/>
    <n v="91.58"/>
    <n v="0"/>
    <x v="0"/>
    <n v="8.2799999999999994"/>
    <n v="3.5219999999999998"/>
    <n v="91.58"/>
  </r>
  <r>
    <n v="1165"/>
    <d v="2025-03-02T00:00:00"/>
    <x v="0"/>
    <s v="Domingo"/>
    <x v="2"/>
    <x v="1"/>
    <x v="1"/>
    <x v="2"/>
    <x v="2"/>
    <x v="2"/>
    <n v="17400"/>
    <x v="154"/>
    <n v="65.099999999999994"/>
    <n v="0"/>
    <n v="143"/>
    <n v="1"/>
    <x v="1"/>
    <n v="60.95"/>
    <n v="0"/>
    <x v="0"/>
    <n v="5.44"/>
    <n v="3.5030000000000001"/>
    <n v="60.95"/>
  </r>
  <r>
    <n v="1902"/>
    <d v="2025-03-02T08:00:00"/>
    <x v="1"/>
    <s v="Domingo"/>
    <x v="2"/>
    <x v="1"/>
    <x v="1"/>
    <x v="3"/>
    <x v="3"/>
    <x v="3"/>
    <n v="9800"/>
    <x v="12"/>
    <n v="90.2"/>
    <n v="75.400000000000006"/>
    <n v="83"/>
    <n v="1"/>
    <x v="1"/>
    <n v="47.45"/>
    <n v="0"/>
    <x v="0"/>
    <n v="4.33"/>
    <n v="4.8419999999999996"/>
    <n v="47.45"/>
  </r>
  <r>
    <n v="430"/>
    <d v="2025-03-02T08:00:00"/>
    <x v="1"/>
    <s v="Domingo"/>
    <x v="2"/>
    <x v="1"/>
    <x v="1"/>
    <x v="5"/>
    <x v="5"/>
    <x v="5"/>
    <n v="8600"/>
    <x v="18"/>
    <n v="96.1"/>
    <n v="44.2"/>
    <n v="0"/>
    <n v="0"/>
    <x v="0"/>
    <n v="12.72"/>
    <n v="3.83"/>
    <x v="0"/>
    <n v="0.81"/>
    <n v="1.4790000000000001"/>
    <n v="8.89"/>
  </r>
  <r>
    <n v="798"/>
    <d v="2025-03-02T08:00:00"/>
    <x v="1"/>
    <s v="Domingo"/>
    <x v="2"/>
    <x v="1"/>
    <x v="1"/>
    <x v="1"/>
    <x v="1"/>
    <x v="1"/>
    <n v="21000"/>
    <x v="126"/>
    <n v="83.2"/>
    <n v="72.2"/>
    <n v="418"/>
    <n v="1"/>
    <x v="1"/>
    <n v="297.64"/>
    <n v="13.47"/>
    <x v="0"/>
    <n v="25.01"/>
    <n v="14.173"/>
    <n v="284.17"/>
  </r>
  <r>
    <n v="62"/>
    <d v="2025-03-02T08:00:00"/>
    <x v="1"/>
    <s v="Domingo"/>
    <x v="2"/>
    <x v="1"/>
    <x v="1"/>
    <x v="4"/>
    <x v="4"/>
    <x v="4"/>
    <n v="12500"/>
    <x v="110"/>
    <n v="75"/>
    <n v="60.7"/>
    <n v="0"/>
    <n v="0"/>
    <x v="0"/>
    <n v="23.4"/>
    <n v="9.4499999999999993"/>
    <x v="0"/>
    <n v="1.23"/>
    <n v="1.8720000000000001"/>
    <n v="13.95"/>
  </r>
  <r>
    <n v="1166"/>
    <d v="2025-03-02T08:00:00"/>
    <x v="1"/>
    <s v="Domingo"/>
    <x v="2"/>
    <x v="1"/>
    <x v="1"/>
    <x v="2"/>
    <x v="2"/>
    <x v="2"/>
    <n v="17400"/>
    <x v="17"/>
    <n v="82.3"/>
    <n v="91.9"/>
    <n v="54"/>
    <n v="1"/>
    <x v="1"/>
    <n v="64.03"/>
    <n v="10.5"/>
    <x v="0"/>
    <n v="4.82"/>
    <n v="3.68"/>
    <n v="53.53"/>
  </r>
  <r>
    <n v="1534"/>
    <d v="2025-03-02T08:00:00"/>
    <x v="1"/>
    <s v="Domingo"/>
    <x v="2"/>
    <x v="1"/>
    <x v="1"/>
    <x v="0"/>
    <x v="0"/>
    <x v="0"/>
    <n v="26000"/>
    <x v="68"/>
    <n v="88.5"/>
    <n v="73.900000000000006"/>
    <n v="72"/>
    <n v="1"/>
    <x v="1"/>
    <n v="146.13999999999999"/>
    <n v="20.76"/>
    <x v="0"/>
    <n v="11.36"/>
    <n v="5.6210000000000004"/>
    <n v="125.38"/>
  </r>
  <r>
    <n v="1903"/>
    <d v="2025-03-02T14:00:00"/>
    <x v="2"/>
    <s v="Domingo"/>
    <x v="2"/>
    <x v="1"/>
    <x v="1"/>
    <x v="3"/>
    <x v="3"/>
    <x v="3"/>
    <n v="9800"/>
    <x v="106"/>
    <n v="88.4"/>
    <n v="426.7"/>
    <n v="104"/>
    <n v="0"/>
    <x v="0"/>
    <n v="23.62"/>
    <n v="0"/>
    <x v="0"/>
    <n v="2.13"/>
    <n v="2.41"/>
    <n v="23.62"/>
  </r>
  <r>
    <n v="63"/>
    <d v="2025-03-02T14:00:00"/>
    <x v="2"/>
    <s v="Domingo"/>
    <x v="2"/>
    <x v="1"/>
    <x v="1"/>
    <x v="4"/>
    <x v="4"/>
    <x v="4"/>
    <n v="12500"/>
    <x v="155"/>
    <n v="62.1"/>
    <n v="467.1"/>
    <n v="0"/>
    <n v="0"/>
    <x v="0"/>
    <n v="16.05"/>
    <n v="77.86"/>
    <x v="0"/>
    <n v="-2.2000000000000002"/>
    <n v="1.284"/>
    <n v="0"/>
  </r>
  <r>
    <n v="431"/>
    <d v="2025-03-02T14:00:00"/>
    <x v="2"/>
    <s v="Domingo"/>
    <x v="2"/>
    <x v="1"/>
    <x v="1"/>
    <x v="5"/>
    <x v="5"/>
    <x v="5"/>
    <n v="8600"/>
    <x v="34"/>
    <n v="85"/>
    <n v="345"/>
    <n v="0"/>
    <n v="0"/>
    <x v="0"/>
    <n v="8.1999999999999993"/>
    <n v="27.35"/>
    <x v="0"/>
    <n v="-0.67"/>
    <n v="0.95299999999999996"/>
    <n v="0"/>
  </r>
  <r>
    <n v="799"/>
    <d v="2025-03-02T14:00:00"/>
    <x v="2"/>
    <s v="Domingo"/>
    <x v="2"/>
    <x v="1"/>
    <x v="1"/>
    <x v="1"/>
    <x v="1"/>
    <x v="1"/>
    <n v="21000"/>
    <x v="156"/>
    <n v="74.400000000000006"/>
    <n v="409"/>
    <n v="418"/>
    <n v="0"/>
    <x v="0"/>
    <n v="199.22"/>
    <n v="79.989999999999995"/>
    <x v="0"/>
    <n v="10.61"/>
    <n v="9.4870000000000001"/>
    <n v="119.23"/>
  </r>
  <r>
    <n v="1535"/>
    <d v="2025-03-02T14:00:00"/>
    <x v="2"/>
    <s v="Domingo"/>
    <x v="2"/>
    <x v="1"/>
    <x v="1"/>
    <x v="0"/>
    <x v="0"/>
    <x v="0"/>
    <n v="26000"/>
    <x v="101"/>
    <n v="78.599999999999994"/>
    <n v="422.2"/>
    <n v="75"/>
    <n v="1"/>
    <x v="2"/>
    <n v="83.4"/>
    <n v="114.21"/>
    <x v="0"/>
    <n v="-1.08"/>
    <n v="3.2080000000000002"/>
    <n v="0"/>
  </r>
  <r>
    <n v="1167"/>
    <d v="2025-03-02T14:00:00"/>
    <x v="2"/>
    <s v="Domingo"/>
    <x v="2"/>
    <x v="1"/>
    <x v="1"/>
    <x v="2"/>
    <x v="2"/>
    <x v="2"/>
    <n v="17400"/>
    <x v="43"/>
    <n v="86.7"/>
    <n v="352.3"/>
    <n v="1549"/>
    <n v="0"/>
    <x v="0"/>
    <n v="228.23"/>
    <n v="42.88"/>
    <x v="0"/>
    <n v="16.68"/>
    <n v="13.117000000000001"/>
    <n v="185.35"/>
  </r>
  <r>
    <n v="64"/>
    <d v="2025-03-02T20:00:00"/>
    <x v="3"/>
    <s v="Domingo"/>
    <x v="2"/>
    <x v="1"/>
    <x v="1"/>
    <x v="4"/>
    <x v="4"/>
    <x v="4"/>
    <n v="12500"/>
    <x v="129"/>
    <n v="72.8"/>
    <n v="0"/>
    <n v="52"/>
    <n v="0"/>
    <x v="0"/>
    <n v="27.55"/>
    <n v="0"/>
    <x v="0"/>
    <n v="2.5"/>
    <n v="2.2040000000000002"/>
    <n v="27.55"/>
  </r>
  <r>
    <n v="1536"/>
    <d v="2025-03-02T20:00:00"/>
    <x v="3"/>
    <s v="Domingo"/>
    <x v="2"/>
    <x v="1"/>
    <x v="1"/>
    <x v="0"/>
    <x v="0"/>
    <x v="0"/>
    <n v="26000"/>
    <x v="79"/>
    <n v="79.5"/>
    <n v="0"/>
    <n v="72"/>
    <n v="1"/>
    <x v="1"/>
    <n v="144.07"/>
    <n v="0"/>
    <x v="0"/>
    <n v="13.33"/>
    <n v="5.5410000000000004"/>
    <n v="144.07"/>
  </r>
  <r>
    <n v="432"/>
    <d v="2025-03-02T20:00:00"/>
    <x v="3"/>
    <s v="Domingo"/>
    <x v="2"/>
    <x v="1"/>
    <x v="1"/>
    <x v="5"/>
    <x v="5"/>
    <x v="5"/>
    <n v="8600"/>
    <x v="46"/>
    <n v="99"/>
    <n v="0"/>
    <n v="0"/>
    <n v="0"/>
    <x v="0"/>
    <n v="12.05"/>
    <n v="0"/>
    <x v="0"/>
    <n v="1.1000000000000001"/>
    <n v="1.401"/>
    <n v="12.05"/>
  </r>
  <r>
    <n v="1168"/>
    <d v="2025-03-02T20:00:00"/>
    <x v="3"/>
    <s v="Domingo"/>
    <x v="2"/>
    <x v="1"/>
    <x v="1"/>
    <x v="2"/>
    <x v="2"/>
    <x v="2"/>
    <n v="17400"/>
    <x v="115"/>
    <n v="82.6"/>
    <n v="0"/>
    <n v="1687"/>
    <n v="0"/>
    <x v="0"/>
    <n v="308.32"/>
    <n v="0"/>
    <x v="0"/>
    <n v="27.78"/>
    <n v="17.72"/>
    <n v="308.32"/>
  </r>
  <r>
    <n v="800"/>
    <d v="2025-03-02T20:00:00"/>
    <x v="3"/>
    <s v="Domingo"/>
    <x v="2"/>
    <x v="1"/>
    <x v="1"/>
    <x v="1"/>
    <x v="1"/>
    <x v="1"/>
    <n v="21000"/>
    <x v="35"/>
    <n v="64.900000000000006"/>
    <n v="0"/>
    <n v="382"/>
    <n v="1"/>
    <x v="1"/>
    <n v="273.38"/>
    <n v="0"/>
    <x v="0"/>
    <n v="23.84"/>
    <n v="13.018000000000001"/>
    <n v="273.38"/>
  </r>
  <r>
    <n v="1904"/>
    <d v="2025-03-02T20:00:00"/>
    <x v="3"/>
    <s v="Domingo"/>
    <x v="2"/>
    <x v="1"/>
    <x v="1"/>
    <x v="3"/>
    <x v="3"/>
    <x v="3"/>
    <n v="9800"/>
    <x v="52"/>
    <n v="90.3"/>
    <n v="0"/>
    <n v="315"/>
    <n v="1"/>
    <x v="1"/>
    <n v="97.28"/>
    <n v="0"/>
    <x v="0"/>
    <n v="8.57"/>
    <n v="9.9269999999999996"/>
    <n v="97.28"/>
  </r>
  <r>
    <n v="1537"/>
    <d v="2025-03-06T00:00:00"/>
    <x v="0"/>
    <s v="Jueves"/>
    <x v="2"/>
    <x v="1"/>
    <x v="0"/>
    <x v="0"/>
    <x v="0"/>
    <x v="0"/>
    <n v="26000"/>
    <x v="42"/>
    <n v="87.4"/>
    <n v="0"/>
    <n v="55"/>
    <n v="1"/>
    <x v="1"/>
    <n v="120.77"/>
    <n v="0"/>
    <x v="0"/>
    <n v="10.56"/>
    <n v="4.6449999999999996"/>
    <n v="120.77"/>
  </r>
  <r>
    <n v="1905"/>
    <d v="2025-03-06T00:00:00"/>
    <x v="0"/>
    <s v="Jueves"/>
    <x v="2"/>
    <x v="1"/>
    <x v="0"/>
    <x v="3"/>
    <x v="3"/>
    <x v="3"/>
    <n v="9800"/>
    <x v="95"/>
    <n v="74.3"/>
    <n v="0"/>
    <n v="322"/>
    <n v="1"/>
    <x v="1"/>
    <n v="99.61"/>
    <n v="0"/>
    <x v="0"/>
    <n v="8.99"/>
    <n v="10.164"/>
    <n v="99.61"/>
  </r>
  <r>
    <n v="65"/>
    <d v="2025-03-06T00:00:00"/>
    <x v="0"/>
    <s v="Jueves"/>
    <x v="2"/>
    <x v="1"/>
    <x v="0"/>
    <x v="4"/>
    <x v="4"/>
    <x v="4"/>
    <n v="12500"/>
    <x v="29"/>
    <n v="59.3"/>
    <n v="0"/>
    <n v="0"/>
    <n v="0"/>
    <x v="0"/>
    <n v="22.9"/>
    <n v="0"/>
    <x v="0"/>
    <m/>
    <n v="1.8320000000000001"/>
    <n v="22.9"/>
  </r>
  <r>
    <n v="801"/>
    <d v="2025-03-06T00:00:00"/>
    <x v="0"/>
    <s v="Jueves"/>
    <x v="2"/>
    <x v="1"/>
    <x v="0"/>
    <x v="1"/>
    <x v="1"/>
    <x v="1"/>
    <n v="21000"/>
    <x v="60"/>
    <n v="78.2"/>
    <n v="0"/>
    <n v="193"/>
    <n v="1"/>
    <x v="1"/>
    <n v="176.1"/>
    <n v="0"/>
    <x v="0"/>
    <n v="15.48"/>
    <n v="8.3859999999999992"/>
    <n v="176.1"/>
  </r>
  <r>
    <n v="1169"/>
    <d v="2025-03-06T00:00:00"/>
    <x v="0"/>
    <s v="Jueves"/>
    <x v="2"/>
    <x v="1"/>
    <x v="0"/>
    <x v="2"/>
    <x v="2"/>
    <x v="2"/>
    <n v="17400"/>
    <x v="24"/>
    <n v="92.6"/>
    <n v="0"/>
    <n v="65"/>
    <n v="0"/>
    <x v="0"/>
    <n v="46.16"/>
    <n v="0"/>
    <x v="0"/>
    <n v="4.17"/>
    <n v="2.653"/>
    <n v="46.16"/>
  </r>
  <r>
    <n v="433"/>
    <d v="2025-03-06T00:00:00"/>
    <x v="0"/>
    <s v="Jueves"/>
    <x v="2"/>
    <x v="1"/>
    <x v="0"/>
    <x v="5"/>
    <x v="5"/>
    <x v="5"/>
    <n v="8600"/>
    <x v="2"/>
    <n v="85.8"/>
    <n v="0"/>
    <n v="76"/>
    <n v="1"/>
    <x v="1"/>
    <n v="26.92"/>
    <n v="0"/>
    <x v="0"/>
    <n v="2.4"/>
    <n v="3.13"/>
    <n v="26.92"/>
  </r>
  <r>
    <n v="1538"/>
    <d v="2025-03-06T08:00:00"/>
    <x v="1"/>
    <s v="Jueves"/>
    <x v="2"/>
    <x v="1"/>
    <x v="0"/>
    <x v="0"/>
    <x v="0"/>
    <x v="0"/>
    <n v="26000"/>
    <x v="46"/>
    <n v="79.400000000000006"/>
    <n v="69.400000000000006"/>
    <n v="157"/>
    <n v="1"/>
    <x v="1"/>
    <n v="248.91"/>
    <n v="17.89"/>
    <x v="1"/>
    <n v="32.6"/>
    <n v="9.5730000000000004"/>
    <n v="231.02"/>
  </r>
  <r>
    <n v="1170"/>
    <d v="2025-03-06T08:00:00"/>
    <x v="1"/>
    <s v="Jueves"/>
    <x v="2"/>
    <x v="1"/>
    <x v="0"/>
    <x v="2"/>
    <x v="2"/>
    <x v="2"/>
    <n v="17400"/>
    <x v="107"/>
    <n v="94.6"/>
    <n v="50.9"/>
    <n v="19"/>
    <n v="0"/>
    <x v="0"/>
    <n v="48.96"/>
    <n v="6.81"/>
    <x v="1"/>
    <n v="6.06"/>
    <n v="2.8140000000000001"/>
    <n v="42.15"/>
  </r>
  <r>
    <n v="1906"/>
    <d v="2025-03-06T08:00:00"/>
    <x v="1"/>
    <s v="Jueves"/>
    <x v="2"/>
    <x v="1"/>
    <x v="0"/>
    <x v="3"/>
    <x v="3"/>
    <x v="3"/>
    <n v="9800"/>
    <x v="157"/>
    <n v="75.3"/>
    <n v="139.1"/>
    <n v="74"/>
    <n v="1"/>
    <x v="1"/>
    <n v="23.32"/>
    <n v="0"/>
    <x v="1"/>
    <n v="3.46"/>
    <n v="2.38"/>
    <n v="23.32"/>
  </r>
  <r>
    <n v="802"/>
    <d v="2025-03-06T08:00:00"/>
    <x v="1"/>
    <s v="Jueves"/>
    <x v="2"/>
    <x v="1"/>
    <x v="0"/>
    <x v="1"/>
    <x v="1"/>
    <x v="1"/>
    <n v="21000"/>
    <x v="100"/>
    <n v="77.5"/>
    <n v="85.7"/>
    <n v="433"/>
    <n v="1"/>
    <x v="1"/>
    <n v="279.44"/>
    <n v="15.46"/>
    <x v="1"/>
    <n v="38.299999999999997"/>
    <n v="13.307"/>
    <n v="263.98"/>
  </r>
  <r>
    <n v="66"/>
    <d v="2025-03-06T08:00:00"/>
    <x v="1"/>
    <s v="Jueves"/>
    <x v="2"/>
    <x v="1"/>
    <x v="0"/>
    <x v="4"/>
    <x v="4"/>
    <x v="4"/>
    <n v="12500"/>
    <x v="43"/>
    <n v="79"/>
    <n v="71.3"/>
    <n v="345"/>
    <n v="1"/>
    <x v="1"/>
    <n v="106.92"/>
    <n v="10.73"/>
    <x v="1"/>
    <n v="13.81"/>
    <n v="8.5540000000000003"/>
    <n v="96.19"/>
  </r>
  <r>
    <n v="434"/>
    <d v="2025-03-06T08:00:00"/>
    <x v="1"/>
    <s v="Jueves"/>
    <x v="2"/>
    <x v="1"/>
    <x v="0"/>
    <x v="5"/>
    <x v="5"/>
    <x v="5"/>
    <n v="8600"/>
    <x v="40"/>
    <n v="85.1"/>
    <n v="65.099999999999994"/>
    <n v="757"/>
    <n v="1"/>
    <x v="1"/>
    <n v="111.96"/>
    <n v="5.28"/>
    <x v="1"/>
    <n v="15.29"/>
    <n v="13.019"/>
    <n v="106.68"/>
  </r>
  <r>
    <n v="435"/>
    <d v="2025-03-06T14:00:00"/>
    <x v="2"/>
    <s v="Jueves"/>
    <x v="2"/>
    <x v="1"/>
    <x v="0"/>
    <x v="5"/>
    <x v="5"/>
    <x v="5"/>
    <n v="8600"/>
    <x v="34"/>
    <n v="96.4"/>
    <n v="299.8"/>
    <m/>
    <n v="1"/>
    <x v="1"/>
    <n v="86.83"/>
    <n v="21.98"/>
    <x v="1"/>
    <n v="9.4"/>
    <n v="10.097"/>
    <n v="64.849999999999994"/>
  </r>
  <r>
    <n v="1171"/>
    <d v="2025-03-06T14:00:00"/>
    <x v="2"/>
    <s v="Jueves"/>
    <x v="2"/>
    <x v="1"/>
    <x v="0"/>
    <x v="2"/>
    <x v="2"/>
    <x v="2"/>
    <n v="17400"/>
    <x v="152"/>
    <n v="75.5"/>
    <n v="510.7"/>
    <n v="1398"/>
    <n v="0"/>
    <x v="0"/>
    <n v="190.64"/>
    <n v="66.459999999999994"/>
    <x v="1"/>
    <n v="17.47"/>
    <n v="10.956"/>
    <n v="124.18"/>
  </r>
  <r>
    <n v="803"/>
    <d v="2025-03-06T14:00:00"/>
    <x v="2"/>
    <s v="Jueves"/>
    <x v="2"/>
    <x v="1"/>
    <x v="0"/>
    <x v="1"/>
    <x v="1"/>
    <x v="1"/>
    <n v="21000"/>
    <x v="158"/>
    <n v="70.099999999999994"/>
    <n v="424.4"/>
    <n v="389"/>
    <n v="0"/>
    <x v="0"/>
    <n v="187.7"/>
    <n v="90.14"/>
    <x v="1"/>
    <n v="13.64"/>
    <n v="8.9380000000000006"/>
    <n v="97.56"/>
  </r>
  <r>
    <n v="67"/>
    <d v="2025-03-06T14:00:00"/>
    <x v="2"/>
    <s v="Jueves"/>
    <x v="2"/>
    <x v="1"/>
    <x v="0"/>
    <x v="4"/>
    <x v="4"/>
    <x v="4"/>
    <n v="12500"/>
    <x v="55"/>
    <n v="67.5"/>
    <n v="431.7"/>
    <n v="616"/>
    <n v="1"/>
    <x v="2"/>
    <n v="110.02"/>
    <n v="63.09"/>
    <x v="1"/>
    <n v="6.87"/>
    <n v="8.8019999999999996"/>
    <n v="46.93"/>
  </r>
  <r>
    <n v="1907"/>
    <d v="2025-03-06T14:00:00"/>
    <x v="2"/>
    <s v="Jueves"/>
    <x v="2"/>
    <x v="1"/>
    <x v="0"/>
    <x v="3"/>
    <x v="3"/>
    <x v="3"/>
    <n v="9800"/>
    <x v="72"/>
    <n v="88.1"/>
    <n v="507.4"/>
    <n v="94"/>
    <n v="1"/>
    <x v="2"/>
    <n v="19.170000000000002"/>
    <n v="0"/>
    <x v="1"/>
    <n v="2.73"/>
    <n v="1.956"/>
    <n v="19.170000000000002"/>
  </r>
  <r>
    <n v="1539"/>
    <d v="2025-03-06T14:00:00"/>
    <x v="2"/>
    <s v="Jueves"/>
    <x v="2"/>
    <x v="1"/>
    <x v="0"/>
    <x v="0"/>
    <x v="0"/>
    <x v="0"/>
    <n v="26000"/>
    <x v="55"/>
    <n v="76.7"/>
    <n v="330.1"/>
    <n v="188"/>
    <n v="1"/>
    <x v="2"/>
    <n v="151.19999999999999"/>
    <n v="92.39"/>
    <x v="1"/>
    <n v="8.52"/>
    <n v="5.8150000000000004"/>
    <n v="58.81"/>
  </r>
  <r>
    <n v="436"/>
    <d v="2025-03-06T20:00:00"/>
    <x v="3"/>
    <s v="Jueves"/>
    <x v="2"/>
    <x v="1"/>
    <x v="0"/>
    <x v="5"/>
    <x v="5"/>
    <x v="5"/>
    <n v="8600"/>
    <x v="132"/>
    <n v="99"/>
    <n v="0"/>
    <n v="66"/>
    <n v="1"/>
    <x v="1"/>
    <m/>
    <n v="0"/>
    <x v="2"/>
    <n v="5.82"/>
    <m/>
    <m/>
  </r>
  <r>
    <n v="1908"/>
    <d v="2025-03-06T20:00:00"/>
    <x v="3"/>
    <s v="Jueves"/>
    <x v="2"/>
    <x v="1"/>
    <x v="0"/>
    <x v="3"/>
    <x v="3"/>
    <x v="3"/>
    <n v="9800"/>
    <x v="43"/>
    <n v="90.7"/>
    <n v="0"/>
    <n v="298"/>
    <n v="1"/>
    <x v="1"/>
    <n v="97.01"/>
    <n v="0"/>
    <x v="2"/>
    <n v="21.15"/>
    <n v="9.8989999999999991"/>
    <n v="97.01"/>
  </r>
  <r>
    <n v="1540"/>
    <d v="2025-03-06T20:00:00"/>
    <x v="3"/>
    <s v="Jueves"/>
    <x v="2"/>
    <x v="1"/>
    <x v="0"/>
    <x v="0"/>
    <x v="0"/>
    <x v="0"/>
    <n v="26000"/>
    <x v="31"/>
    <n v="75.599999999999994"/>
    <n v="0"/>
    <n v="158"/>
    <n v="1"/>
    <x v="1"/>
    <n v="265.27999999999997"/>
    <n v="0"/>
    <x v="2"/>
    <n v="58.41"/>
    <n v="10.202999999999999"/>
    <n v="265.27999999999997"/>
  </r>
  <r>
    <n v="68"/>
    <d v="2025-03-06T20:00:00"/>
    <x v="3"/>
    <s v="Jueves"/>
    <x v="2"/>
    <x v="1"/>
    <x v="0"/>
    <x v="4"/>
    <x v="4"/>
    <x v="4"/>
    <n v="12500"/>
    <x v="77"/>
    <n v="86.6"/>
    <n v="0"/>
    <n v="90"/>
    <n v="1"/>
    <x v="1"/>
    <n v="46.77"/>
    <n v="0"/>
    <x v="2"/>
    <n v="10.02"/>
    <n v="3.742"/>
    <n v="46.77"/>
  </r>
  <r>
    <n v="1172"/>
    <d v="2025-03-06T20:00:00"/>
    <x v="3"/>
    <s v="Jueves"/>
    <x v="2"/>
    <x v="1"/>
    <x v="0"/>
    <x v="2"/>
    <x v="2"/>
    <x v="2"/>
    <n v="17400"/>
    <x v="6"/>
    <n v="89.7"/>
    <n v="0"/>
    <n v="1339"/>
    <n v="1"/>
    <x v="1"/>
    <n v="287.66000000000003"/>
    <n v="0"/>
    <x v="2"/>
    <n v="62.28"/>
    <n v="16.532"/>
    <n v="287.66000000000003"/>
  </r>
  <r>
    <n v="804"/>
    <d v="2025-03-06T20:00:00"/>
    <x v="3"/>
    <s v="Jueves"/>
    <x v="2"/>
    <x v="1"/>
    <x v="0"/>
    <x v="1"/>
    <x v="1"/>
    <x v="1"/>
    <n v="21000"/>
    <x v="143"/>
    <n v="59.1"/>
    <n v="0"/>
    <n v="432"/>
    <n v="1"/>
    <x v="1"/>
    <n v="282.99"/>
    <n v="0"/>
    <x v="2"/>
    <n v="61.95"/>
    <n v="13.476000000000001"/>
    <n v="282.99"/>
  </r>
  <r>
    <n v="805"/>
    <d v="2025-03-10T00:00:00"/>
    <x v="0"/>
    <s v="Lunes"/>
    <x v="2"/>
    <x v="1"/>
    <x v="0"/>
    <x v="1"/>
    <x v="1"/>
    <x v="1"/>
    <n v="21000"/>
    <x v="96"/>
    <n v="74.2"/>
    <n v="0"/>
    <n v="218"/>
    <n v="1"/>
    <x v="1"/>
    <n v="192.95"/>
    <n v="0"/>
    <x v="0"/>
    <n v="17.13"/>
    <n v="9.1880000000000006"/>
    <n v="192.95"/>
  </r>
  <r>
    <n v="1541"/>
    <d v="2025-03-10T00:00:00"/>
    <x v="0"/>
    <s v="Lunes"/>
    <x v="2"/>
    <x v="1"/>
    <x v="0"/>
    <x v="0"/>
    <x v="0"/>
    <x v="0"/>
    <n v="26000"/>
    <x v="7"/>
    <n v="69"/>
    <n v="0"/>
    <n v="41"/>
    <n v="1"/>
    <x v="1"/>
    <n v="117.43"/>
    <n v="0"/>
    <x v="0"/>
    <n v="10.37"/>
    <n v="4.5170000000000003"/>
    <n v="117.43"/>
  </r>
  <r>
    <n v="437"/>
    <d v="2025-03-10T00:00:00"/>
    <x v="0"/>
    <s v="Lunes"/>
    <x v="2"/>
    <x v="1"/>
    <x v="0"/>
    <x v="5"/>
    <x v="5"/>
    <x v="5"/>
    <n v="8600"/>
    <x v="151"/>
    <n v="89.2"/>
    <m/>
    <n v="11"/>
    <n v="1"/>
    <x v="1"/>
    <n v="23.78"/>
    <n v="0"/>
    <x v="0"/>
    <n v="2.0299999999999998"/>
    <n v="2.7650000000000001"/>
    <n v="23.78"/>
  </r>
  <r>
    <n v="1909"/>
    <d v="2025-03-10T00:00:00"/>
    <x v="0"/>
    <s v="Lunes"/>
    <x v="2"/>
    <x v="1"/>
    <x v="0"/>
    <x v="3"/>
    <x v="3"/>
    <x v="3"/>
    <n v="9800"/>
    <x v="3"/>
    <n v="88"/>
    <n v="0"/>
    <n v="325"/>
    <n v="1"/>
    <x v="1"/>
    <n v="105.76"/>
    <n v="0"/>
    <x v="0"/>
    <n v="9.3800000000000008"/>
    <n v="10.792"/>
    <n v="105.76"/>
  </r>
  <r>
    <n v="69"/>
    <d v="2025-03-10T00:00:00"/>
    <x v="0"/>
    <s v="Lunes"/>
    <x v="2"/>
    <x v="1"/>
    <x v="0"/>
    <x v="4"/>
    <x v="4"/>
    <x v="4"/>
    <n v="12500"/>
    <x v="120"/>
    <n v="57.7"/>
    <n v="0"/>
    <n v="38"/>
    <n v="0"/>
    <x v="0"/>
    <n v="25.89"/>
    <n v="0"/>
    <x v="0"/>
    <n v="2.27"/>
    <n v="2.0710000000000002"/>
    <n v="25.89"/>
  </r>
  <r>
    <n v="1173"/>
    <d v="2025-03-10T00:00:00"/>
    <x v="0"/>
    <s v="Lunes"/>
    <x v="2"/>
    <x v="1"/>
    <x v="0"/>
    <x v="2"/>
    <x v="2"/>
    <x v="2"/>
    <n v="17400"/>
    <x v="43"/>
    <n v="87.6"/>
    <n v="0"/>
    <n v="0"/>
    <n v="0"/>
    <x v="0"/>
    <n v="51.41"/>
    <n v="0"/>
    <x v="0"/>
    <n v="4.6900000000000004"/>
    <n v="2.9550000000000001"/>
    <n v="51.41"/>
  </r>
  <r>
    <n v="438"/>
    <d v="2025-03-10T08:00:00"/>
    <x v="1"/>
    <s v="Lunes"/>
    <x v="2"/>
    <x v="1"/>
    <x v="0"/>
    <x v="5"/>
    <x v="5"/>
    <x v="5"/>
    <n v="8600"/>
    <x v="98"/>
    <n v="98.2"/>
    <n v="70.400000000000006"/>
    <n v="838"/>
    <n v="1"/>
    <x v="1"/>
    <n v="117.39"/>
    <n v="5.5"/>
    <x v="1"/>
    <n v="15.91"/>
    <n v="13.65"/>
    <n v="111.89"/>
  </r>
  <r>
    <n v="70"/>
    <d v="2025-03-10T08:00:00"/>
    <x v="1"/>
    <s v="Lunes"/>
    <x v="2"/>
    <x v="1"/>
    <x v="0"/>
    <x v="4"/>
    <x v="4"/>
    <x v="4"/>
    <n v="12500"/>
    <x v="69"/>
    <n v="77.099999999999994"/>
    <n v="82.9"/>
    <n v="349"/>
    <n v="1"/>
    <x v="1"/>
    <n v="101.96"/>
    <n v="12.62"/>
    <x v="1"/>
    <n v="12.61"/>
    <n v="8.157"/>
    <n v="89.34"/>
  </r>
  <r>
    <n v="1910"/>
    <d v="2025-03-10T08:00:00"/>
    <x v="1"/>
    <s v="Lunes"/>
    <x v="2"/>
    <x v="1"/>
    <x v="0"/>
    <x v="3"/>
    <x v="3"/>
    <x v="3"/>
    <n v="9800"/>
    <x v="20"/>
    <n v="84.5"/>
    <n v="103.9"/>
    <n v="82"/>
    <n v="1"/>
    <x v="1"/>
    <n v="35.119999999999997"/>
    <n v="0"/>
    <x v="1"/>
    <n v="5.32"/>
    <n v="3.5840000000000001"/>
    <n v="35.119999999999997"/>
  </r>
  <r>
    <n v="806"/>
    <d v="2025-03-10T08:00:00"/>
    <x v="1"/>
    <s v="Lunes"/>
    <x v="2"/>
    <x v="1"/>
    <x v="0"/>
    <x v="1"/>
    <x v="1"/>
    <x v="1"/>
    <n v="21000"/>
    <x v="98"/>
    <n v="66"/>
    <n v="77.400000000000006"/>
    <n v="396"/>
    <n v="1"/>
    <x v="1"/>
    <n v="281.05"/>
    <n v="15.91"/>
    <x v="1"/>
    <n v="37.17"/>
    <n v="13.382999999999999"/>
    <n v="265.14"/>
  </r>
  <r>
    <n v="1174"/>
    <d v="2025-03-10T08:00:00"/>
    <x v="1"/>
    <s v="Lunes"/>
    <x v="2"/>
    <x v="1"/>
    <x v="0"/>
    <x v="2"/>
    <x v="2"/>
    <x v="2"/>
    <n v="17400"/>
    <x v="37"/>
    <n v="84.3"/>
    <n v="126.1"/>
    <n v="107"/>
    <n v="0"/>
    <x v="0"/>
    <n v="39.369999999999997"/>
    <n v="15.59"/>
    <x v="1"/>
    <n v="3.54"/>
    <n v="2.2629999999999999"/>
    <n v="23.78"/>
  </r>
  <r>
    <n v="1542"/>
    <d v="2025-03-10T08:00:00"/>
    <x v="1"/>
    <s v="Lunes"/>
    <x v="2"/>
    <x v="1"/>
    <x v="0"/>
    <x v="0"/>
    <x v="0"/>
    <x v="0"/>
    <n v="26000"/>
    <x v="60"/>
    <n v="73.400000000000006"/>
    <n v="122.6"/>
    <n v="156"/>
    <n v="1"/>
    <x v="1"/>
    <n v="175.48"/>
    <n v="34.68"/>
    <x v="1"/>
    <n v="20.079999999999998"/>
    <n v="6.7489999999999997"/>
    <n v="140.80000000000001"/>
  </r>
  <r>
    <n v="1911"/>
    <d v="2025-03-10T14:00:00"/>
    <x v="2"/>
    <s v="Lunes"/>
    <x v="2"/>
    <x v="1"/>
    <x v="0"/>
    <x v="3"/>
    <x v="3"/>
    <x v="3"/>
    <n v="9800"/>
    <x v="34"/>
    <n v="85.2"/>
    <n v="364.2"/>
    <n v="65"/>
    <n v="1"/>
    <x v="1"/>
    <n v="20.83"/>
    <n v="0"/>
    <x v="1"/>
    <n v="2.86"/>
    <n v="2.1259999999999999"/>
    <n v="20.83"/>
  </r>
  <r>
    <n v="1175"/>
    <d v="2025-03-10T14:00:00"/>
    <x v="2"/>
    <s v="Lunes"/>
    <x v="2"/>
    <x v="1"/>
    <x v="0"/>
    <x v="2"/>
    <x v="2"/>
    <x v="2"/>
    <n v="17400"/>
    <x v="159"/>
    <n v="79.8"/>
    <n v="395.4"/>
    <n v="1329"/>
    <n v="0"/>
    <x v="0"/>
    <n v="192.2"/>
    <n v="46.8"/>
    <x v="1"/>
    <n v="20.78"/>
    <n v="11.045999999999999"/>
    <n v="145.4"/>
  </r>
  <r>
    <n v="439"/>
    <d v="2025-03-10T14:00:00"/>
    <x v="2"/>
    <s v="Lunes"/>
    <x v="2"/>
    <x v="1"/>
    <x v="0"/>
    <x v="5"/>
    <x v="5"/>
    <x v="5"/>
    <n v="8600"/>
    <x v="160"/>
    <n v="77.7"/>
    <n v="421.4"/>
    <n v="835"/>
    <n v="1"/>
    <x v="2"/>
    <n v="82.23"/>
    <n v="33.33"/>
    <x v="1"/>
    <n v="6.86"/>
    <n v="9.5619999999999994"/>
    <n v="48.9"/>
  </r>
  <r>
    <n v="1543"/>
    <d v="2025-03-10T14:00:00"/>
    <x v="2"/>
    <s v="Lunes"/>
    <x v="2"/>
    <x v="1"/>
    <x v="0"/>
    <x v="0"/>
    <x v="0"/>
    <x v="0"/>
    <n v="26000"/>
    <x v="161"/>
    <n v="63.1"/>
    <n v="519.5"/>
    <n v="162"/>
    <n v="1"/>
    <x v="2"/>
    <n v="153"/>
    <n v="134.65"/>
    <x v="1"/>
    <n v="2.64"/>
    <n v="5.8849999999999998"/>
    <n v="18.350000000000001"/>
  </r>
  <r>
    <n v="807"/>
    <d v="2025-03-10T14:00:00"/>
    <x v="2"/>
    <s v="Lunes"/>
    <x v="2"/>
    <x v="1"/>
    <x v="0"/>
    <x v="1"/>
    <x v="1"/>
    <x v="1"/>
    <n v="21000"/>
    <x v="162"/>
    <n v="73.400000000000006"/>
    <n v="417"/>
    <n v="415"/>
    <n v="0"/>
    <x v="0"/>
    <n v="210.67"/>
    <n v="94.97"/>
    <x v="1"/>
    <n v="16.04"/>
    <n v="10.032"/>
    <n v="115.7"/>
  </r>
  <r>
    <n v="71"/>
    <d v="2025-03-10T14:00:00"/>
    <x v="2"/>
    <s v="Lunes"/>
    <x v="2"/>
    <x v="1"/>
    <x v="0"/>
    <x v="4"/>
    <x v="4"/>
    <x v="4"/>
    <n v="12500"/>
    <x v="136"/>
    <n v="65.900000000000006"/>
    <n v="558.20000000000005"/>
    <n v="593"/>
    <n v="1"/>
    <x v="2"/>
    <n v="112.56"/>
    <n v="82.73"/>
    <x v="1"/>
    <n v="4.22"/>
    <n v="9.0050000000000008"/>
    <n v="29.83"/>
  </r>
  <r>
    <n v="72"/>
    <d v="2025-03-10T20:00:00"/>
    <x v="3"/>
    <s v="Lunes"/>
    <x v="2"/>
    <x v="1"/>
    <x v="0"/>
    <x v="4"/>
    <x v="4"/>
    <x v="4"/>
    <n v="12500"/>
    <x v="33"/>
    <n v="58.6"/>
    <n v="0"/>
    <n v="83"/>
    <n v="1"/>
    <x v="1"/>
    <n v="42.81"/>
    <n v="0"/>
    <x v="2"/>
    <n v="9.56"/>
    <n v="3.4249999999999998"/>
    <n v="42.81"/>
  </r>
  <r>
    <n v="1176"/>
    <d v="2025-03-10T20:00:00"/>
    <x v="3"/>
    <s v="Lunes"/>
    <x v="2"/>
    <x v="1"/>
    <x v="0"/>
    <x v="2"/>
    <x v="2"/>
    <x v="2"/>
    <n v="17400"/>
    <x v="163"/>
    <m/>
    <n v="0"/>
    <n v="1348"/>
    <n v="0"/>
    <x v="0"/>
    <n v="268.48"/>
    <n v="0"/>
    <x v="2"/>
    <n v="58.07"/>
    <n v="15.43"/>
    <n v="268.48"/>
  </r>
  <r>
    <n v="1912"/>
    <d v="2025-03-10T20:00:00"/>
    <x v="3"/>
    <s v="Lunes"/>
    <x v="2"/>
    <x v="1"/>
    <x v="0"/>
    <x v="3"/>
    <x v="3"/>
    <x v="3"/>
    <n v="9800"/>
    <x v="32"/>
    <n v="85.5"/>
    <n v="0"/>
    <n v="317"/>
    <n v="1"/>
    <x v="1"/>
    <n v="100.11"/>
    <n v="0"/>
    <x v="2"/>
    <n v="22.01"/>
    <n v="10.215"/>
    <n v="100.11"/>
  </r>
  <r>
    <n v="808"/>
    <d v="2025-03-10T20:00:00"/>
    <x v="3"/>
    <s v="Lunes"/>
    <x v="2"/>
    <x v="1"/>
    <x v="0"/>
    <x v="1"/>
    <x v="1"/>
    <x v="1"/>
    <n v="21000"/>
    <x v="139"/>
    <n v="67.3"/>
    <n v="0"/>
    <n v="402"/>
    <n v="0"/>
    <x v="0"/>
    <n v="286.24"/>
    <n v="0"/>
    <x v="2"/>
    <n v="61.94"/>
    <n v="13.63"/>
    <n v="286.24"/>
  </r>
  <r>
    <n v="440"/>
    <d v="2025-03-10T20:00:00"/>
    <x v="3"/>
    <s v="Lunes"/>
    <x v="2"/>
    <x v="1"/>
    <x v="0"/>
    <x v="5"/>
    <x v="5"/>
    <x v="5"/>
    <n v="8600"/>
    <x v="74"/>
    <n v="85.7"/>
    <n v="0"/>
    <n v="48"/>
    <n v="1"/>
    <x v="1"/>
    <n v="23.17"/>
    <n v="0"/>
    <x v="2"/>
    <n v="5.0999999999999996"/>
    <n v="2.694"/>
    <n v="23.17"/>
  </r>
  <r>
    <n v="1544"/>
    <d v="2025-03-10T20:00:00"/>
    <x v="3"/>
    <s v="Lunes"/>
    <x v="2"/>
    <x v="1"/>
    <x v="0"/>
    <x v="0"/>
    <x v="0"/>
    <x v="0"/>
    <n v="26000"/>
    <x v="137"/>
    <n v="71.900000000000006"/>
    <m/>
    <n v="170"/>
    <n v="1"/>
    <x v="1"/>
    <n v="269.19"/>
    <n v="0"/>
    <x v="2"/>
    <n v="57.98"/>
    <n v="10.353"/>
    <n v="269.19"/>
  </r>
  <r>
    <n v="1177"/>
    <d v="2025-03-14T00:00:00"/>
    <x v="0"/>
    <s v="Viernes"/>
    <x v="2"/>
    <x v="1"/>
    <x v="0"/>
    <x v="2"/>
    <x v="2"/>
    <x v="2"/>
    <n v="17400"/>
    <x v="73"/>
    <n v="75.7"/>
    <n v="0"/>
    <n v="78"/>
    <n v="0"/>
    <x v="0"/>
    <n v="46.95"/>
    <n v="0"/>
    <x v="0"/>
    <n v="4.2699999999999996"/>
    <n v="2.698"/>
    <n v="46.95"/>
  </r>
  <r>
    <n v="73"/>
    <d v="2025-03-14T00:00:00"/>
    <x v="0"/>
    <s v="Viernes"/>
    <x v="2"/>
    <x v="1"/>
    <x v="0"/>
    <x v="4"/>
    <x v="4"/>
    <x v="4"/>
    <n v="12500"/>
    <x v="75"/>
    <n v="75.099999999999994"/>
    <n v="0"/>
    <n v="60"/>
    <n v="0"/>
    <x v="0"/>
    <n v="27.32"/>
    <n v="0"/>
    <x v="0"/>
    <n v="2.4500000000000002"/>
    <n v="2.1859999999999999"/>
    <n v="27.32"/>
  </r>
  <r>
    <n v="1913"/>
    <d v="2025-03-14T00:00:00"/>
    <x v="0"/>
    <s v="Viernes"/>
    <x v="2"/>
    <x v="1"/>
    <x v="0"/>
    <x v="3"/>
    <x v="3"/>
    <x v="3"/>
    <n v="9800"/>
    <x v="132"/>
    <n v="92.1"/>
    <m/>
    <n v="295"/>
    <n v="1"/>
    <x v="1"/>
    <n v="105.62"/>
    <n v="0"/>
    <x v="0"/>
    <n v="9.32"/>
    <n v="10.778"/>
    <n v="105.62"/>
  </r>
  <r>
    <n v="809"/>
    <d v="2025-03-14T00:00:00"/>
    <x v="0"/>
    <s v="Viernes"/>
    <x v="2"/>
    <x v="1"/>
    <x v="0"/>
    <x v="1"/>
    <x v="1"/>
    <x v="1"/>
    <n v="21000"/>
    <x v="43"/>
    <n v="70.599999999999994"/>
    <n v="0"/>
    <n v="199"/>
    <n v="1"/>
    <x v="1"/>
    <n v="187.99"/>
    <n v="0"/>
    <x v="0"/>
    <n v="16.489999999999998"/>
    <n v="8.952"/>
    <n v="187.99"/>
  </r>
  <r>
    <n v="1545"/>
    <d v="2025-03-14T00:00:00"/>
    <x v="0"/>
    <s v="Viernes"/>
    <x v="2"/>
    <x v="1"/>
    <x v="0"/>
    <x v="0"/>
    <x v="0"/>
    <x v="0"/>
    <n v="26000"/>
    <x v="38"/>
    <n v="69.900000000000006"/>
    <n v="0"/>
    <n v="38"/>
    <n v="1"/>
    <x v="1"/>
    <n v="132.12"/>
    <n v="0"/>
    <x v="0"/>
    <n v="12.08"/>
    <n v="5.0819999999999999"/>
    <n v="132.12"/>
  </r>
  <r>
    <n v="441"/>
    <d v="2025-03-14T00:00:00"/>
    <x v="0"/>
    <s v="Viernes"/>
    <x v="2"/>
    <x v="1"/>
    <x v="0"/>
    <x v="5"/>
    <x v="5"/>
    <x v="5"/>
    <n v="8600"/>
    <x v="78"/>
    <n v="83.9"/>
    <n v="0"/>
    <n v="115"/>
    <n v="1"/>
    <x v="1"/>
    <n v="27.56"/>
    <n v="0"/>
    <x v="0"/>
    <n v="2.4700000000000002"/>
    <n v="3.2050000000000001"/>
    <n v="27.56"/>
  </r>
  <r>
    <n v="74"/>
    <d v="2025-03-14T08:00:00"/>
    <x v="1"/>
    <s v="Viernes"/>
    <x v="2"/>
    <x v="1"/>
    <x v="0"/>
    <x v="4"/>
    <x v="4"/>
    <x v="4"/>
    <n v="12500"/>
    <x v="84"/>
    <n v="75.8"/>
    <n v="82"/>
    <n v="397"/>
    <n v="1"/>
    <x v="1"/>
    <n v="109.1"/>
    <n v="12.36"/>
    <x v="1"/>
    <n v="13.63"/>
    <n v="8.7279999999999998"/>
    <n v="96.74"/>
  </r>
  <r>
    <n v="1914"/>
    <d v="2025-03-14T08:00:00"/>
    <x v="1"/>
    <s v="Viernes"/>
    <x v="2"/>
    <x v="1"/>
    <x v="0"/>
    <x v="3"/>
    <x v="3"/>
    <x v="3"/>
    <n v="9800"/>
    <x v="107"/>
    <n v="90.3"/>
    <n v="120.8"/>
    <n v="93"/>
    <n v="1"/>
    <x v="1"/>
    <n v="21.54"/>
    <n v="0"/>
    <x v="1"/>
    <n v="3.27"/>
    <n v="2.198"/>
    <n v="21.54"/>
  </r>
  <r>
    <n v="442"/>
    <d v="2025-03-14T08:00:00"/>
    <x v="1"/>
    <s v="Viernes"/>
    <x v="2"/>
    <x v="1"/>
    <x v="0"/>
    <x v="5"/>
    <x v="5"/>
    <x v="5"/>
    <n v="8600"/>
    <x v="151"/>
    <n v="99"/>
    <n v="20.7"/>
    <n v="826"/>
    <n v="1"/>
    <x v="1"/>
    <n v="125.43"/>
    <n v="1.58"/>
    <x v="1"/>
    <n v="17.43"/>
    <n v="14.585000000000001"/>
    <n v="123.85"/>
  </r>
  <r>
    <n v="810"/>
    <d v="2025-03-14T08:00:00"/>
    <x v="1"/>
    <s v="Viernes"/>
    <x v="2"/>
    <x v="1"/>
    <x v="0"/>
    <x v="1"/>
    <x v="1"/>
    <x v="1"/>
    <n v="21000"/>
    <x v="89"/>
    <m/>
    <n v="140.30000000000001"/>
    <n v="421"/>
    <n v="1"/>
    <x v="1"/>
    <n v="205.62"/>
    <n v="30.4"/>
    <x v="1"/>
    <n v="24.88"/>
    <n v="9.7910000000000004"/>
    <n v="175.22"/>
  </r>
  <r>
    <n v="1546"/>
    <d v="2025-03-14T08:00:00"/>
    <x v="1"/>
    <s v="Viernes"/>
    <x v="2"/>
    <x v="1"/>
    <x v="0"/>
    <x v="0"/>
    <x v="0"/>
    <x v="0"/>
    <n v="26000"/>
    <x v="5"/>
    <m/>
    <n v="110.9"/>
    <n v="172"/>
    <n v="1"/>
    <x v="1"/>
    <n v="248.81"/>
    <n v="31.84"/>
    <x v="1"/>
    <n v="30.51"/>
    <n v="9.57"/>
    <n v="216.97"/>
  </r>
  <r>
    <n v="1178"/>
    <d v="2025-03-14T08:00:00"/>
    <x v="1"/>
    <s v="Viernes"/>
    <x v="2"/>
    <x v="1"/>
    <x v="0"/>
    <x v="2"/>
    <x v="2"/>
    <x v="2"/>
    <n v="17400"/>
    <x v="32"/>
    <n v="71.5"/>
    <n v="111.3"/>
    <n v="190"/>
    <n v="0"/>
    <x v="0"/>
    <n v="54.32"/>
    <n v="14.56"/>
    <x v="1"/>
    <n v="5.77"/>
    <n v="3.1219999999999999"/>
    <n v="39.76"/>
  </r>
  <r>
    <n v="1179"/>
    <d v="2025-03-14T14:00:00"/>
    <x v="2"/>
    <s v="Viernes"/>
    <x v="2"/>
    <x v="1"/>
    <x v="0"/>
    <x v="2"/>
    <x v="2"/>
    <x v="2"/>
    <n v="17400"/>
    <x v="164"/>
    <n v="61.1"/>
    <n v="541.6"/>
    <n v="1208"/>
    <n v="0"/>
    <x v="0"/>
    <n v="186.89"/>
    <n v="63.7"/>
    <x v="1"/>
    <n v="17.79"/>
    <n v="10.741"/>
    <n v="123.19"/>
  </r>
  <r>
    <n v="1915"/>
    <d v="2025-03-14T14:00:00"/>
    <x v="2"/>
    <s v="Viernes"/>
    <x v="2"/>
    <x v="1"/>
    <x v="0"/>
    <x v="3"/>
    <x v="3"/>
    <x v="3"/>
    <n v="9800"/>
    <x v="165"/>
    <n v="82"/>
    <n v="514"/>
    <n v="53"/>
    <n v="0"/>
    <x v="0"/>
    <n v="17.59"/>
    <n v="0"/>
    <x v="1"/>
    <n v="2.52"/>
    <n v="1.7949999999999999"/>
    <n v="17.59"/>
  </r>
  <r>
    <n v="811"/>
    <d v="2025-03-14T14:00:00"/>
    <x v="2"/>
    <s v="Viernes"/>
    <x v="2"/>
    <x v="1"/>
    <x v="0"/>
    <x v="1"/>
    <x v="1"/>
    <x v="1"/>
    <n v="21000"/>
    <x v="166"/>
    <n v="66.5"/>
    <n v="452.6"/>
    <n v="359"/>
    <n v="0"/>
    <x v="0"/>
    <n v="182.31"/>
    <n v="92.82"/>
    <x v="1"/>
    <n v="12.68"/>
    <n v="8.6809999999999992"/>
    <n v="89.49"/>
  </r>
  <r>
    <n v="443"/>
    <d v="2025-03-14T14:00:00"/>
    <x v="2"/>
    <s v="Viernes"/>
    <x v="2"/>
    <x v="1"/>
    <x v="0"/>
    <x v="5"/>
    <x v="5"/>
    <x v="5"/>
    <n v="8600"/>
    <x v="148"/>
    <n v="85.6"/>
    <n v="433.8"/>
    <n v="720"/>
    <n v="1"/>
    <x v="1"/>
    <n v="86.13"/>
    <n v="31.26"/>
    <x v="1"/>
    <n v="7.74"/>
    <n v="10.015000000000001"/>
    <n v="54.87"/>
  </r>
  <r>
    <n v="75"/>
    <d v="2025-03-14T14:00:00"/>
    <x v="2"/>
    <s v="Viernes"/>
    <x v="2"/>
    <x v="1"/>
    <x v="0"/>
    <x v="4"/>
    <x v="4"/>
    <x v="4"/>
    <n v="12500"/>
    <x v="135"/>
    <n v="60"/>
    <n v="430.9"/>
    <n v="576"/>
    <n v="0"/>
    <x v="0"/>
    <n v="103.64"/>
    <n v="63.58"/>
    <x v="1"/>
    <n v="5.77"/>
    <n v="8.2910000000000004"/>
    <n v="40.06"/>
  </r>
  <r>
    <n v="1547"/>
    <d v="2025-03-14T14:00:00"/>
    <x v="2"/>
    <s v="Viernes"/>
    <x v="2"/>
    <x v="1"/>
    <x v="0"/>
    <x v="0"/>
    <x v="0"/>
    <x v="0"/>
    <n v="26000"/>
    <x v="155"/>
    <n v="73.8"/>
    <n v="415.2"/>
    <n v="193"/>
    <n v="0"/>
    <x v="0"/>
    <n v="157.96"/>
    <n v="107.27"/>
    <x v="1"/>
    <n v="7.39"/>
    <n v="6.0750000000000002"/>
    <n v="50.69"/>
  </r>
  <r>
    <n v="1916"/>
    <d v="2025-03-14T20:00:00"/>
    <x v="3"/>
    <s v="Viernes"/>
    <x v="2"/>
    <x v="1"/>
    <x v="0"/>
    <x v="3"/>
    <x v="3"/>
    <x v="3"/>
    <n v="9800"/>
    <x v="143"/>
    <n v="78.099999999999994"/>
    <n v="0"/>
    <n v="292"/>
    <n v="1"/>
    <x v="1"/>
    <n v="96.49"/>
    <n v="0"/>
    <x v="2"/>
    <n v="20.75"/>
    <n v="9.8460000000000001"/>
    <n v="96.49"/>
  </r>
  <r>
    <n v="1548"/>
    <d v="2025-03-14T20:00:00"/>
    <x v="3"/>
    <s v="Viernes"/>
    <x v="2"/>
    <x v="1"/>
    <x v="0"/>
    <x v="0"/>
    <x v="0"/>
    <x v="0"/>
    <n v="26000"/>
    <x v="154"/>
    <n v="61.6"/>
    <n v="0"/>
    <n v="176"/>
    <n v="1"/>
    <x v="1"/>
    <n v="241.01"/>
    <n v="0"/>
    <x v="2"/>
    <n v="52.44"/>
    <n v="9.27"/>
    <n v="241.01"/>
  </r>
  <r>
    <n v="76"/>
    <d v="2025-03-14T20:00:00"/>
    <x v="3"/>
    <s v="Viernes"/>
    <x v="2"/>
    <x v="1"/>
    <x v="0"/>
    <x v="4"/>
    <x v="4"/>
    <x v="4"/>
    <n v="12500"/>
    <x v="20"/>
    <n v="66.5"/>
    <n v="0"/>
    <n v="91"/>
    <n v="1"/>
    <x v="1"/>
    <n v="44.01"/>
    <n v="0"/>
    <x v="2"/>
    <n v="9.49"/>
    <n v="3.5209999999999999"/>
    <n v="44.01"/>
  </r>
  <r>
    <n v="1180"/>
    <d v="2025-03-14T20:00:00"/>
    <x v="3"/>
    <s v="Viernes"/>
    <x v="2"/>
    <x v="1"/>
    <x v="0"/>
    <x v="2"/>
    <x v="2"/>
    <x v="2"/>
    <n v="17400"/>
    <x v="148"/>
    <n v="88.7"/>
    <n v="0"/>
    <n v="1341"/>
    <n v="1"/>
    <x v="1"/>
    <n v="290.5"/>
    <n v="0"/>
    <x v="2"/>
    <n v="62.95"/>
    <n v="16.695"/>
    <n v="290.5"/>
  </r>
  <r>
    <n v="812"/>
    <d v="2025-03-14T20:00:00"/>
    <x v="3"/>
    <s v="Viernes"/>
    <x v="2"/>
    <x v="1"/>
    <x v="0"/>
    <x v="1"/>
    <x v="1"/>
    <x v="1"/>
    <n v="21000"/>
    <x v="156"/>
    <n v="60.1"/>
    <n v="0"/>
    <n v="346"/>
    <n v="0"/>
    <x v="0"/>
    <n v="275.44"/>
    <n v="0"/>
    <x v="2"/>
    <n v="58.61"/>
    <n v="13.116"/>
    <n v="275.44"/>
  </r>
  <r>
    <n v="444"/>
    <d v="2025-03-14T20:00:00"/>
    <x v="3"/>
    <s v="Viernes"/>
    <x v="2"/>
    <x v="1"/>
    <x v="0"/>
    <x v="5"/>
    <x v="5"/>
    <x v="5"/>
    <n v="8600"/>
    <x v="143"/>
    <n v="93.2"/>
    <n v="0"/>
    <n v="76"/>
    <n v="1"/>
    <x v="1"/>
    <n v="21.78"/>
    <n v="0"/>
    <x v="2"/>
    <n v="4.8600000000000003"/>
    <n v="2.5329999999999999"/>
    <n v="21.78"/>
  </r>
  <r>
    <n v="1917"/>
    <d v="2025-03-18T00:00:00"/>
    <x v="0"/>
    <s v="Martes"/>
    <x v="2"/>
    <x v="1"/>
    <x v="0"/>
    <x v="3"/>
    <x v="3"/>
    <x v="3"/>
    <n v="9800"/>
    <x v="78"/>
    <n v="81.7"/>
    <n v="0"/>
    <n v="304"/>
    <n v="1"/>
    <x v="1"/>
    <n v="87.69"/>
    <n v="0"/>
    <x v="0"/>
    <n v="7.65"/>
    <n v="8.9480000000000004"/>
    <n v="87.69"/>
  </r>
  <r>
    <n v="1181"/>
    <d v="2025-03-18T00:00:00"/>
    <x v="0"/>
    <s v="Martes"/>
    <x v="2"/>
    <x v="1"/>
    <x v="0"/>
    <x v="2"/>
    <x v="2"/>
    <x v="2"/>
    <n v="17400"/>
    <x v="167"/>
    <n v="69.2"/>
    <n v="0"/>
    <n v="93"/>
    <n v="0"/>
    <x v="0"/>
    <n v="49.75"/>
    <n v="0"/>
    <x v="0"/>
    <n v="4.47"/>
    <n v="2.859"/>
    <n v="49.75"/>
  </r>
  <r>
    <n v="813"/>
    <d v="2025-03-18T00:00:00"/>
    <x v="0"/>
    <s v="Martes"/>
    <x v="2"/>
    <x v="1"/>
    <x v="0"/>
    <x v="1"/>
    <x v="1"/>
    <x v="1"/>
    <n v="21000"/>
    <x v="41"/>
    <n v="74.5"/>
    <n v="0"/>
    <n v="217"/>
    <n v="1"/>
    <x v="1"/>
    <n v="179.26"/>
    <n v="0"/>
    <x v="0"/>
    <n v="15.86"/>
    <n v="8.5359999999999996"/>
    <n v="179.26"/>
  </r>
  <r>
    <n v="1549"/>
    <d v="2025-03-18T00:00:00"/>
    <x v="0"/>
    <s v="Martes"/>
    <x v="2"/>
    <x v="1"/>
    <x v="0"/>
    <x v="0"/>
    <x v="0"/>
    <x v="0"/>
    <n v="26000"/>
    <x v="29"/>
    <n v="74"/>
    <n v="0"/>
    <n v="43"/>
    <n v="1"/>
    <x v="1"/>
    <n v="126.47"/>
    <n v="0"/>
    <x v="0"/>
    <n v="11.1"/>
    <n v="4.8639999999999999"/>
    <n v="126.47"/>
  </r>
  <r>
    <n v="77"/>
    <d v="2025-03-18T00:00:00"/>
    <x v="0"/>
    <s v="Martes"/>
    <x v="2"/>
    <x v="1"/>
    <x v="0"/>
    <x v="4"/>
    <x v="4"/>
    <x v="4"/>
    <n v="12500"/>
    <x v="110"/>
    <n v="67.3"/>
    <n v="0"/>
    <n v="20"/>
    <n v="0"/>
    <x v="0"/>
    <n v="23.71"/>
    <n v="0"/>
    <x v="0"/>
    <n v="2.16"/>
    <n v="1.897"/>
    <n v="23.71"/>
  </r>
  <r>
    <n v="445"/>
    <d v="2025-03-18T00:00:00"/>
    <x v="0"/>
    <s v="Martes"/>
    <x v="2"/>
    <x v="1"/>
    <x v="0"/>
    <x v="5"/>
    <x v="5"/>
    <x v="5"/>
    <n v="8600"/>
    <x v="100"/>
    <m/>
    <n v="0"/>
    <n v="61"/>
    <n v="1"/>
    <x v="1"/>
    <n v="25.2"/>
    <n v="0"/>
    <x v="0"/>
    <n v="2.19"/>
    <n v="2.93"/>
    <n v="25.2"/>
  </r>
  <r>
    <n v="446"/>
    <d v="2025-03-18T08:00:00"/>
    <x v="1"/>
    <s v="Martes"/>
    <x v="2"/>
    <x v="1"/>
    <x v="0"/>
    <x v="5"/>
    <x v="5"/>
    <x v="5"/>
    <n v="8600"/>
    <x v="132"/>
    <n v="87.5"/>
    <n v="99.1"/>
    <n v="845"/>
    <n v="1"/>
    <x v="1"/>
    <n v="111.8"/>
    <n v="6.48"/>
    <x v="1"/>
    <n v="15.26"/>
    <n v="13"/>
    <n v="105.32"/>
  </r>
  <r>
    <n v="78"/>
    <d v="2025-03-18T08:00:00"/>
    <x v="1"/>
    <s v="Martes"/>
    <x v="2"/>
    <x v="1"/>
    <x v="0"/>
    <x v="4"/>
    <x v="4"/>
    <x v="4"/>
    <n v="12500"/>
    <x v="95"/>
    <n v="77"/>
    <n v="126.5"/>
    <n v="381"/>
    <n v="1"/>
    <x v="1"/>
    <n v="71.650000000000006"/>
    <n v="17.510000000000002"/>
    <x v="1"/>
    <n v="7.62"/>
    <n v="5.7320000000000002"/>
    <n v="54.14"/>
  </r>
  <r>
    <n v="1918"/>
    <d v="2025-03-18T08:00:00"/>
    <x v="1"/>
    <s v="Martes"/>
    <x v="2"/>
    <x v="1"/>
    <x v="0"/>
    <x v="3"/>
    <x v="3"/>
    <x v="3"/>
    <n v="9800"/>
    <x v="168"/>
    <n v="81"/>
    <n v="188.4"/>
    <n v="82"/>
    <n v="1"/>
    <x v="1"/>
    <n v="21.95"/>
    <n v="0"/>
    <x v="1"/>
    <n v="3.01"/>
    <n v="2.2400000000000002"/>
    <n v="21.95"/>
  </r>
  <r>
    <n v="814"/>
    <d v="2025-03-18T08:00:00"/>
    <x v="1"/>
    <s v="Martes"/>
    <x v="2"/>
    <x v="1"/>
    <x v="0"/>
    <x v="1"/>
    <x v="1"/>
    <x v="1"/>
    <n v="21000"/>
    <x v="78"/>
    <n v="63.2"/>
    <n v="180.1"/>
    <n v="423"/>
    <n v="1"/>
    <x v="1"/>
    <n v="208.22"/>
    <n v="36.35"/>
    <x v="1"/>
    <n v="24.11"/>
    <n v="9.9149999999999991"/>
    <n v="171.87"/>
  </r>
  <r>
    <n v="1550"/>
    <d v="2025-03-18T08:00:00"/>
    <x v="1"/>
    <s v="Martes"/>
    <x v="2"/>
    <x v="1"/>
    <x v="0"/>
    <x v="0"/>
    <x v="0"/>
    <x v="0"/>
    <n v="26000"/>
    <x v="151"/>
    <n v="69.599999999999994"/>
    <n v="128.9"/>
    <n v="160"/>
    <n v="1"/>
    <x v="1"/>
    <n v="166.84"/>
    <n v="37"/>
    <x v="1"/>
    <n v="18.89"/>
    <n v="6.4169999999999998"/>
    <n v="129.84"/>
  </r>
  <r>
    <n v="1182"/>
    <d v="2025-03-18T08:00:00"/>
    <x v="1"/>
    <s v="Martes"/>
    <x v="2"/>
    <x v="1"/>
    <x v="0"/>
    <x v="2"/>
    <x v="2"/>
    <x v="2"/>
    <n v="17400"/>
    <x v="52"/>
    <n v="76.8"/>
    <n v="143"/>
    <n v="43"/>
    <n v="0"/>
    <x v="0"/>
    <n v="32.520000000000003"/>
    <n v="17.71"/>
    <x v="1"/>
    <n v="2.11"/>
    <n v="1.869"/>
    <n v="14.81"/>
  </r>
  <r>
    <n v="815"/>
    <d v="2025-03-18T14:00:00"/>
    <x v="2"/>
    <s v="Martes"/>
    <x v="2"/>
    <x v="1"/>
    <x v="0"/>
    <x v="1"/>
    <x v="1"/>
    <x v="1"/>
    <n v="21000"/>
    <x v="169"/>
    <n v="71.400000000000006"/>
    <n v="489.3"/>
    <n v="402"/>
    <n v="0"/>
    <x v="0"/>
    <n v="187.67"/>
    <n v="102.93"/>
    <x v="1"/>
    <n v="11.65"/>
    <n v="8.9369999999999994"/>
    <n v="84.74"/>
  </r>
  <r>
    <n v="447"/>
    <d v="2025-03-18T14:00:00"/>
    <x v="2"/>
    <s v="Martes"/>
    <x v="2"/>
    <x v="1"/>
    <x v="0"/>
    <x v="5"/>
    <x v="5"/>
    <x v="5"/>
    <n v="8600"/>
    <x v="170"/>
    <n v="88.7"/>
    <n v="460.1"/>
    <n v="817"/>
    <n v="0"/>
    <x v="0"/>
    <n v="79.16"/>
    <n v="36.83"/>
    <x v="1"/>
    <n v="5.9"/>
    <n v="9.2050000000000001"/>
    <n v="42.33"/>
  </r>
  <r>
    <n v="1551"/>
    <d v="2025-03-18T14:00:00"/>
    <x v="2"/>
    <s v="Martes"/>
    <x v="2"/>
    <x v="1"/>
    <x v="0"/>
    <x v="0"/>
    <x v="0"/>
    <x v="0"/>
    <n v="26000"/>
    <x v="171"/>
    <n v="57.2"/>
    <n v="515.79999999999995"/>
    <n v="161"/>
    <n v="0"/>
    <x v="0"/>
    <n v="159.34"/>
    <n v="149.53"/>
    <x v="1"/>
    <n v="1.42"/>
    <n v="6.1280000000000001"/>
    <n v="9.81"/>
  </r>
  <r>
    <n v="79"/>
    <d v="2025-03-18T14:00:00"/>
    <x v="2"/>
    <s v="Martes"/>
    <x v="2"/>
    <x v="1"/>
    <x v="0"/>
    <x v="4"/>
    <x v="4"/>
    <x v="4"/>
    <n v="12500"/>
    <x v="135"/>
    <n v="52.8"/>
    <n v="454.1"/>
    <n v="622"/>
    <n v="0"/>
    <x v="0"/>
    <n v="101.84"/>
    <n v="74.89"/>
    <x v="1"/>
    <n v="3.81"/>
    <n v="8.1470000000000002"/>
    <n v="26.95"/>
  </r>
  <r>
    <n v="1183"/>
    <d v="2025-03-18T14:00:00"/>
    <x v="2"/>
    <s v="Martes"/>
    <x v="2"/>
    <x v="1"/>
    <x v="0"/>
    <x v="2"/>
    <x v="2"/>
    <x v="2"/>
    <n v="17400"/>
    <x v="106"/>
    <n v="76"/>
    <n v="464.3"/>
    <n v="1389"/>
    <n v="0"/>
    <x v="0"/>
    <n v="219.33"/>
    <n v="58.63"/>
    <x v="1"/>
    <n v="22.47"/>
    <n v="12.605"/>
    <n v="160.69999999999999"/>
  </r>
  <r>
    <n v="1919"/>
    <d v="2025-03-18T14:00:00"/>
    <x v="2"/>
    <s v="Martes"/>
    <x v="2"/>
    <x v="1"/>
    <x v="0"/>
    <x v="3"/>
    <x v="3"/>
    <x v="3"/>
    <n v="9800"/>
    <x v="124"/>
    <n v="79.7"/>
    <n v="535"/>
    <n v="57"/>
    <n v="1"/>
    <x v="2"/>
    <n v="18"/>
    <n v="0"/>
    <x v="1"/>
    <n v="2.52"/>
    <n v="1.837"/>
    <n v="18"/>
  </r>
  <r>
    <n v="816"/>
    <d v="2025-03-18T20:00:00"/>
    <x v="3"/>
    <s v="Martes"/>
    <x v="2"/>
    <x v="1"/>
    <x v="0"/>
    <x v="1"/>
    <x v="1"/>
    <x v="1"/>
    <n v="21000"/>
    <x v="53"/>
    <n v="73.900000000000006"/>
    <n v="0"/>
    <n v="423"/>
    <n v="0"/>
    <x v="0"/>
    <n v="284.95999999999998"/>
    <n v="0"/>
    <x v="2"/>
    <n v="63.09"/>
    <n v="13.57"/>
    <n v="284.95999999999998"/>
  </r>
  <r>
    <n v="1552"/>
    <d v="2025-03-18T20:00:00"/>
    <x v="3"/>
    <s v="Martes"/>
    <x v="2"/>
    <x v="1"/>
    <x v="0"/>
    <x v="0"/>
    <x v="0"/>
    <x v="0"/>
    <n v="26000"/>
    <x v="12"/>
    <n v="72.8"/>
    <n v="0"/>
    <n v="155"/>
    <n v="1"/>
    <x v="1"/>
    <n v="253.42"/>
    <n v="0"/>
    <x v="2"/>
    <n v="54.97"/>
    <n v="9.7469999999999999"/>
    <n v="253.42"/>
  </r>
  <r>
    <n v="1184"/>
    <d v="2025-03-18T20:00:00"/>
    <x v="3"/>
    <s v="Martes"/>
    <x v="2"/>
    <x v="1"/>
    <x v="0"/>
    <x v="2"/>
    <x v="2"/>
    <x v="2"/>
    <n v="17400"/>
    <x v="130"/>
    <n v="60.7"/>
    <n v="0"/>
    <n v="1363"/>
    <n v="0"/>
    <x v="0"/>
    <n v="278"/>
    <n v="0"/>
    <x v="2"/>
    <n v="59.94"/>
    <n v="15.977"/>
    <n v="278"/>
  </r>
  <r>
    <n v="80"/>
    <d v="2025-03-18T20:00:00"/>
    <x v="3"/>
    <s v="Martes"/>
    <x v="2"/>
    <x v="1"/>
    <x v="0"/>
    <x v="4"/>
    <x v="4"/>
    <x v="4"/>
    <n v="12500"/>
    <x v="129"/>
    <n v="66.900000000000006"/>
    <n v="0"/>
    <n v="79"/>
    <n v="1"/>
    <x v="1"/>
    <n v="46.26"/>
    <n v="0"/>
    <x v="2"/>
    <n v="10.08"/>
    <n v="3.7010000000000001"/>
    <n v="46.26"/>
  </r>
  <r>
    <n v="448"/>
    <d v="2025-03-18T20:00:00"/>
    <x v="3"/>
    <s v="Martes"/>
    <x v="2"/>
    <x v="1"/>
    <x v="0"/>
    <x v="5"/>
    <x v="5"/>
    <x v="5"/>
    <n v="8600"/>
    <x v="41"/>
    <n v="99"/>
    <n v="0"/>
    <n v="62"/>
    <n v="1"/>
    <x v="1"/>
    <n v="24.77"/>
    <n v="0"/>
    <x v="2"/>
    <n v="5.42"/>
    <n v="2.88"/>
    <n v="24.77"/>
  </r>
  <r>
    <n v="1920"/>
    <d v="2025-03-18T20:00:00"/>
    <x v="3"/>
    <s v="Martes"/>
    <x v="2"/>
    <x v="1"/>
    <x v="0"/>
    <x v="3"/>
    <x v="3"/>
    <x v="3"/>
    <n v="9800"/>
    <x v="123"/>
    <n v="92.7"/>
    <n v="0"/>
    <n v="335"/>
    <n v="1"/>
    <x v="1"/>
    <n v="99.62"/>
    <n v="0"/>
    <x v="2"/>
    <n v="21.08"/>
    <n v="10.164999999999999"/>
    <n v="99.62"/>
  </r>
  <r>
    <n v="449"/>
    <d v="2025-03-22T00:00:00"/>
    <x v="0"/>
    <s v="Sabado"/>
    <x v="2"/>
    <x v="1"/>
    <x v="1"/>
    <x v="5"/>
    <x v="5"/>
    <x v="5"/>
    <n v="8600"/>
    <x v="31"/>
    <n v="97.1"/>
    <n v="0"/>
    <n v="0"/>
    <n v="0"/>
    <x v="0"/>
    <n v="12.95"/>
    <n v="0"/>
    <x v="0"/>
    <n v="1.17"/>
    <n v="1.506"/>
    <n v="12.95"/>
  </r>
  <r>
    <n v="81"/>
    <d v="2025-03-22T00:00:00"/>
    <x v="0"/>
    <s v="Sabado"/>
    <x v="2"/>
    <x v="1"/>
    <x v="1"/>
    <x v="4"/>
    <x v="4"/>
    <x v="4"/>
    <n v="12500"/>
    <x v="94"/>
    <n v="61.5"/>
    <n v="0"/>
    <n v="0"/>
    <n v="0"/>
    <x v="0"/>
    <n v="22.41"/>
    <n v="0"/>
    <x v="0"/>
    <n v="1.89"/>
    <n v="1.7929999999999999"/>
    <n v="22.41"/>
  </r>
  <r>
    <n v="817"/>
    <d v="2025-03-22T00:00:00"/>
    <x v="0"/>
    <s v="Sabado"/>
    <x v="2"/>
    <x v="1"/>
    <x v="1"/>
    <x v="1"/>
    <x v="1"/>
    <x v="1"/>
    <n v="21000"/>
    <x v="89"/>
    <n v="59.2"/>
    <n v="0"/>
    <n v="178"/>
    <n v="1"/>
    <x v="1"/>
    <n v="180.64"/>
    <n v="0"/>
    <x v="0"/>
    <n v="15.72"/>
    <n v="8.6020000000000003"/>
    <n v="180.64"/>
  </r>
  <r>
    <n v="1553"/>
    <d v="2025-03-22T00:00:00"/>
    <x v="0"/>
    <s v="Sabado"/>
    <x v="2"/>
    <x v="1"/>
    <x v="1"/>
    <x v="0"/>
    <x v="0"/>
    <x v="0"/>
    <n v="26000"/>
    <x v="1"/>
    <n v="82.7"/>
    <n v="0"/>
    <n v="19"/>
    <n v="1"/>
    <x v="1"/>
    <n v="82.02"/>
    <n v="0"/>
    <x v="0"/>
    <n v="7.16"/>
    <n v="3.1549999999999998"/>
    <n v="82.02"/>
  </r>
  <r>
    <n v="1185"/>
    <d v="2025-03-22T00:00:00"/>
    <x v="0"/>
    <s v="Sabado"/>
    <x v="2"/>
    <x v="1"/>
    <x v="1"/>
    <x v="2"/>
    <x v="2"/>
    <x v="2"/>
    <n v="17400"/>
    <x v="143"/>
    <n v="77.400000000000006"/>
    <n v="0"/>
    <n v="71"/>
    <n v="1"/>
    <x v="1"/>
    <n v="60.18"/>
    <n v="0"/>
    <x v="0"/>
    <n v="5.19"/>
    <n v="3.4590000000000001"/>
    <n v="60.18"/>
  </r>
  <r>
    <n v="1921"/>
    <d v="2025-03-22T00:00:00"/>
    <x v="0"/>
    <s v="Sabado"/>
    <x v="2"/>
    <x v="1"/>
    <x v="1"/>
    <x v="3"/>
    <x v="3"/>
    <x v="3"/>
    <n v="9800"/>
    <x v="137"/>
    <n v="86.4"/>
    <n v="0"/>
    <n v="296"/>
    <n v="1"/>
    <x v="1"/>
    <n v="96.13"/>
    <n v="0"/>
    <x v="0"/>
    <n v="8.5299999999999994"/>
    <n v="9.8089999999999993"/>
    <n v="96.13"/>
  </r>
  <r>
    <n v="818"/>
    <d v="2025-03-22T08:00:00"/>
    <x v="1"/>
    <s v="Sabado"/>
    <x v="2"/>
    <x v="1"/>
    <x v="1"/>
    <x v="1"/>
    <x v="1"/>
    <x v="1"/>
    <n v="21000"/>
    <x v="172"/>
    <n v="73.599999999999994"/>
    <n v="111.9"/>
    <m/>
    <n v="1"/>
    <x v="1"/>
    <n v="279.60000000000002"/>
    <n v="23.15"/>
    <x v="0"/>
    <n v="22"/>
    <n v="13.314"/>
    <n v="256.45"/>
  </r>
  <r>
    <n v="1186"/>
    <d v="2025-03-22T08:00:00"/>
    <x v="1"/>
    <s v="Sabado"/>
    <x v="2"/>
    <x v="1"/>
    <x v="1"/>
    <x v="2"/>
    <x v="2"/>
    <x v="2"/>
    <n v="17400"/>
    <x v="43"/>
    <n v="71.900000000000006"/>
    <n v="91.7"/>
    <n v="81"/>
    <n v="1"/>
    <x v="1"/>
    <n v="54.08"/>
    <n v="12.11"/>
    <x v="0"/>
    <n v="3.74"/>
    <n v="3.1080000000000001"/>
    <n v="41.97"/>
  </r>
  <r>
    <n v="82"/>
    <d v="2025-03-22T08:00:00"/>
    <x v="1"/>
    <s v="Sabado"/>
    <x v="2"/>
    <x v="1"/>
    <x v="1"/>
    <x v="4"/>
    <x v="4"/>
    <x v="4"/>
    <n v="12500"/>
    <x v="132"/>
    <n v="81.099999999999994"/>
    <n v="113.1"/>
    <n v="0"/>
    <n v="0"/>
    <x v="0"/>
    <n v="24.17"/>
    <n v="16.54"/>
    <x v="0"/>
    <n v="0.65"/>
    <n v="1.9339999999999999"/>
    <n v="7.63"/>
  </r>
  <r>
    <n v="450"/>
    <d v="2025-03-22T08:00:00"/>
    <x v="1"/>
    <s v="Sabado"/>
    <x v="2"/>
    <x v="1"/>
    <x v="1"/>
    <x v="5"/>
    <x v="5"/>
    <x v="5"/>
    <n v="8600"/>
    <x v="12"/>
    <n v="79.900000000000006"/>
    <n v="90.9"/>
    <n v="40"/>
    <n v="0"/>
    <x v="0"/>
    <n v="15.24"/>
    <n v="7.09"/>
    <x v="0"/>
    <n v="0.69"/>
    <n v="1.772"/>
    <n v="8.15"/>
  </r>
  <r>
    <n v="1922"/>
    <d v="2025-03-22T08:00:00"/>
    <x v="1"/>
    <s v="Sabado"/>
    <x v="2"/>
    <x v="1"/>
    <x v="1"/>
    <x v="3"/>
    <x v="3"/>
    <x v="3"/>
    <n v="9800"/>
    <x v="173"/>
    <n v="76"/>
    <n v="173.6"/>
    <n v="87"/>
    <n v="1"/>
    <x v="1"/>
    <n v="25.13"/>
    <n v="0"/>
    <x v="0"/>
    <n v="2.17"/>
    <n v="2.5640000000000001"/>
    <n v="25.13"/>
  </r>
  <r>
    <n v="1554"/>
    <d v="2025-03-22T08:00:00"/>
    <x v="1"/>
    <s v="Sabado"/>
    <x v="2"/>
    <x v="1"/>
    <x v="1"/>
    <x v="0"/>
    <x v="0"/>
    <x v="0"/>
    <n v="26000"/>
    <x v="3"/>
    <n v="63.4"/>
    <n v="192.3"/>
    <n v="68"/>
    <n v="1"/>
    <x v="1"/>
    <n v="95.22"/>
    <n v="50.73"/>
    <x v="0"/>
    <n v="3.9"/>
    <n v="3.6619999999999999"/>
    <n v="44.49"/>
  </r>
  <r>
    <n v="83"/>
    <d v="2025-03-22T14:00:00"/>
    <x v="2"/>
    <s v="Sabado"/>
    <x v="2"/>
    <x v="1"/>
    <x v="1"/>
    <x v="4"/>
    <x v="4"/>
    <x v="4"/>
    <n v="12500"/>
    <x v="174"/>
    <n v="74.099999999999994"/>
    <n v="454.1"/>
    <n v="18"/>
    <n v="0"/>
    <x v="0"/>
    <n v="16.72"/>
    <n v="68.55"/>
    <x v="0"/>
    <n v="-1.79"/>
    <n v="1.3380000000000001"/>
    <n v="0"/>
  </r>
  <r>
    <n v="451"/>
    <d v="2025-03-22T14:00:00"/>
    <x v="2"/>
    <s v="Sabado"/>
    <x v="2"/>
    <x v="1"/>
    <x v="1"/>
    <x v="5"/>
    <x v="5"/>
    <x v="5"/>
    <n v="8600"/>
    <x v="175"/>
    <n v="94.1"/>
    <n v="409.3"/>
    <n v="87"/>
    <n v="0"/>
    <x v="0"/>
    <n v="11.2"/>
    <n v="32.1"/>
    <x v="0"/>
    <n v="-0.75"/>
    <n v="1.302"/>
    <n v="0"/>
  </r>
  <r>
    <n v="1187"/>
    <d v="2025-03-22T14:00:00"/>
    <x v="2"/>
    <s v="Sabado"/>
    <x v="2"/>
    <x v="1"/>
    <x v="1"/>
    <x v="2"/>
    <x v="2"/>
    <x v="2"/>
    <n v="17400"/>
    <x v="160"/>
    <n v="81"/>
    <n v="498.8"/>
    <n v="1557"/>
    <n v="1"/>
    <x v="2"/>
    <n v="225.58"/>
    <n v="65.150000000000006"/>
    <x v="0"/>
    <n v="14.12"/>
    <n v="12.964"/>
    <n v="160.43"/>
  </r>
  <r>
    <n v="1923"/>
    <d v="2025-03-22T14:00:00"/>
    <x v="2"/>
    <s v="Sabado"/>
    <x v="2"/>
    <x v="1"/>
    <x v="1"/>
    <x v="3"/>
    <x v="3"/>
    <x v="3"/>
    <n v="9800"/>
    <x v="170"/>
    <n v="78.900000000000006"/>
    <n v="447.2"/>
    <n v="112"/>
    <n v="0"/>
    <x v="0"/>
    <n v="25.84"/>
    <n v="0"/>
    <x v="0"/>
    <n v="2.17"/>
    <n v="2.637"/>
    <n v="25.84"/>
  </r>
  <r>
    <n v="819"/>
    <d v="2025-03-22T14:00:00"/>
    <x v="2"/>
    <s v="Sabado"/>
    <x v="2"/>
    <x v="1"/>
    <x v="1"/>
    <x v="1"/>
    <x v="1"/>
    <x v="1"/>
    <n v="21000"/>
    <x v="176"/>
    <n v="52.8"/>
    <n v="641.70000000000005"/>
    <n v="385"/>
    <n v="0"/>
    <x v="0"/>
    <n v="208.1"/>
    <n v="134.68"/>
    <x v="0"/>
    <n v="6.07"/>
    <n v="9.91"/>
    <n v="73.42"/>
  </r>
  <r>
    <n v="1555"/>
    <d v="2025-03-22T14:00:00"/>
    <x v="2"/>
    <s v="Sabado"/>
    <x v="2"/>
    <x v="1"/>
    <x v="1"/>
    <x v="0"/>
    <x v="0"/>
    <x v="0"/>
    <n v="26000"/>
    <x v="155"/>
    <n v="69.3"/>
    <n v="410.5"/>
    <n v="79"/>
    <n v="0"/>
    <x v="0"/>
    <n v="78.510000000000005"/>
    <n v="103.77"/>
    <x v="0"/>
    <n v="-0.88"/>
    <n v="3.02"/>
    <n v="0"/>
  </r>
  <r>
    <n v="84"/>
    <d v="2025-03-22T20:00:00"/>
    <x v="3"/>
    <s v="Sabado"/>
    <x v="2"/>
    <x v="1"/>
    <x v="1"/>
    <x v="4"/>
    <x v="4"/>
    <x v="4"/>
    <n v="12500"/>
    <x v="52"/>
    <n v="73.2"/>
    <n v="0"/>
    <n v="0"/>
    <n v="0"/>
    <x v="0"/>
    <n v="26.18"/>
    <n v="0"/>
    <x v="0"/>
    <n v="2.2999999999999998"/>
    <n v="2.0939999999999999"/>
    <n v="26.18"/>
  </r>
  <r>
    <n v="1556"/>
    <d v="2025-03-22T20:00:00"/>
    <x v="3"/>
    <s v="Sabado"/>
    <x v="2"/>
    <x v="1"/>
    <x v="1"/>
    <x v="0"/>
    <x v="0"/>
    <x v="0"/>
    <n v="26000"/>
    <x v="53"/>
    <n v="68.400000000000006"/>
    <n v="0"/>
    <n v="65"/>
    <n v="0"/>
    <x v="0"/>
    <n v="126.87"/>
    <n v="0"/>
    <x v="0"/>
    <n v="10.89"/>
    <n v="4.88"/>
    <n v="126.87"/>
  </r>
  <r>
    <n v="1924"/>
    <d v="2025-03-22T20:00:00"/>
    <x v="3"/>
    <s v="Sabado"/>
    <x v="2"/>
    <x v="1"/>
    <x v="1"/>
    <x v="3"/>
    <x v="3"/>
    <x v="3"/>
    <n v="9800"/>
    <x v="13"/>
    <n v="76.7"/>
    <n v="0"/>
    <n v="299"/>
    <n v="1"/>
    <x v="2"/>
    <n v="544.82000000000005"/>
    <n v="0"/>
    <x v="0"/>
    <n v="9.44"/>
    <n v="55.594000000000001"/>
    <n v="544.82000000000005"/>
  </r>
  <r>
    <n v="1188"/>
    <d v="2025-03-22T20:00:00"/>
    <x v="3"/>
    <s v="Sabado"/>
    <x v="2"/>
    <x v="1"/>
    <x v="1"/>
    <x v="2"/>
    <x v="2"/>
    <x v="2"/>
    <n v="17400"/>
    <x v="124"/>
    <n v="83.3"/>
    <n v="0"/>
    <n v="1611"/>
    <n v="1"/>
    <x v="2"/>
    <n v="308.82"/>
    <n v="0"/>
    <x v="0"/>
    <n v="26.74"/>
    <n v="17.748000000000001"/>
    <n v="308.82"/>
  </r>
  <r>
    <n v="452"/>
    <d v="2025-03-22T20:00:00"/>
    <x v="3"/>
    <s v="Sabado"/>
    <x v="2"/>
    <x v="1"/>
    <x v="1"/>
    <x v="5"/>
    <x v="5"/>
    <x v="5"/>
    <n v="8600"/>
    <x v="154"/>
    <n v="99"/>
    <n v="0"/>
    <n v="53"/>
    <n v="0"/>
    <x v="0"/>
    <n v="14.91"/>
    <n v="0"/>
    <x v="0"/>
    <n v="1.31"/>
    <n v="1.734"/>
    <n v="14.91"/>
  </r>
  <r>
    <n v="820"/>
    <d v="2025-03-22T20:00:00"/>
    <x v="3"/>
    <s v="Sabado"/>
    <x v="2"/>
    <x v="1"/>
    <x v="1"/>
    <x v="1"/>
    <x v="1"/>
    <x v="1"/>
    <n v="21000"/>
    <x v="147"/>
    <n v="76.599999999999994"/>
    <n v="0"/>
    <n v="418"/>
    <n v="0"/>
    <x v="0"/>
    <n v="294.36"/>
    <n v="0"/>
    <x v="0"/>
    <n v="25.7"/>
    <n v="14.016999999999999"/>
    <n v="294.36"/>
  </r>
  <r>
    <n v="85"/>
    <d v="2025-03-26T00:00:00"/>
    <x v="0"/>
    <s v="Miercoles"/>
    <x v="2"/>
    <x v="1"/>
    <x v="0"/>
    <x v="4"/>
    <x v="4"/>
    <x v="4"/>
    <n v="12500"/>
    <x v="94"/>
    <n v="79.099999999999994"/>
    <n v="0"/>
    <n v="0"/>
    <n v="0"/>
    <x v="0"/>
    <n v="23.24"/>
    <n v="0"/>
    <x v="0"/>
    <n v="2.02"/>
    <n v="1.859"/>
    <n v="23.24"/>
  </r>
  <r>
    <n v="1557"/>
    <d v="2025-03-26T00:00:00"/>
    <x v="0"/>
    <s v="Miercoles"/>
    <x v="2"/>
    <x v="1"/>
    <x v="0"/>
    <x v="0"/>
    <x v="0"/>
    <x v="0"/>
    <n v="26000"/>
    <x v="87"/>
    <n v="78.900000000000006"/>
    <n v="0"/>
    <n v="54"/>
    <n v="1"/>
    <x v="1"/>
    <n v="132.22"/>
    <n v="0"/>
    <x v="0"/>
    <n v="12.06"/>
    <n v="5.085"/>
    <n v="132.22"/>
  </r>
  <r>
    <n v="821"/>
    <d v="2025-03-26T00:00:00"/>
    <x v="0"/>
    <s v="Miercoles"/>
    <x v="2"/>
    <x v="1"/>
    <x v="0"/>
    <x v="1"/>
    <x v="1"/>
    <x v="1"/>
    <n v="21000"/>
    <x v="175"/>
    <n v="71.5"/>
    <n v="0"/>
    <n v="196"/>
    <n v="1"/>
    <x v="1"/>
    <n v="173.49"/>
    <n v="0"/>
    <x v="0"/>
    <n v="15.37"/>
    <n v="8.2609999999999992"/>
    <n v="173.49"/>
  </r>
  <r>
    <n v="1189"/>
    <d v="2025-03-26T00:00:00"/>
    <x v="0"/>
    <s v="Miercoles"/>
    <x v="2"/>
    <x v="1"/>
    <x v="0"/>
    <x v="2"/>
    <x v="2"/>
    <x v="2"/>
    <n v="17400"/>
    <x v="20"/>
    <n v="71.400000000000006"/>
    <n v="0"/>
    <n v="61"/>
    <n v="0"/>
    <x v="0"/>
    <n v="49.96"/>
    <n v="0"/>
    <x v="0"/>
    <n v="4.28"/>
    <n v="2.871"/>
    <n v="49.96"/>
  </r>
  <r>
    <n v="1925"/>
    <d v="2025-03-26T00:00:00"/>
    <x v="0"/>
    <s v="Miercoles"/>
    <x v="2"/>
    <x v="1"/>
    <x v="0"/>
    <x v="3"/>
    <x v="3"/>
    <x v="3"/>
    <n v="9800"/>
    <x v="78"/>
    <n v="92.5"/>
    <n v="0"/>
    <n v="300"/>
    <n v="1"/>
    <x v="1"/>
    <n v="104.24"/>
    <n v="0"/>
    <x v="0"/>
    <n v="9.1999999999999993"/>
    <n v="10.637"/>
    <n v="104.24"/>
  </r>
  <r>
    <n v="453"/>
    <d v="2025-03-26T00:00:00"/>
    <x v="0"/>
    <s v="Miercoles"/>
    <x v="2"/>
    <x v="1"/>
    <x v="0"/>
    <x v="5"/>
    <x v="5"/>
    <x v="5"/>
    <n v="8600"/>
    <x v="24"/>
    <n v="99"/>
    <n v="0"/>
    <n v="78"/>
    <n v="1"/>
    <x v="1"/>
    <n v="25.16"/>
    <n v="0"/>
    <x v="0"/>
    <n v="2.19"/>
    <n v="2.9260000000000002"/>
    <n v="25.16"/>
  </r>
  <r>
    <n v="1926"/>
    <d v="2025-03-26T08:00:00"/>
    <x v="1"/>
    <s v="Miercoles"/>
    <x v="2"/>
    <x v="1"/>
    <x v="0"/>
    <x v="3"/>
    <x v="3"/>
    <x v="3"/>
    <n v="9800"/>
    <x v="143"/>
    <n v="86.9"/>
    <n v="113.1"/>
    <n v="47"/>
    <n v="1"/>
    <x v="1"/>
    <n v="34.33"/>
    <n v="0"/>
    <x v="1"/>
    <n v="4.79"/>
    <n v="3.5030000000000001"/>
    <n v="34.33"/>
  </r>
  <r>
    <n v="86"/>
    <d v="2025-03-26T08:00:00"/>
    <x v="1"/>
    <s v="Miercoles"/>
    <x v="2"/>
    <x v="1"/>
    <x v="0"/>
    <x v="4"/>
    <x v="4"/>
    <x v="4"/>
    <n v="12500"/>
    <x v="94"/>
    <n v="69.7"/>
    <n v="200.4"/>
    <n v="407"/>
    <n v="1"/>
    <x v="1"/>
    <n v="75.180000000000007"/>
    <n v="29.57"/>
    <x v="1"/>
    <n v="6.22"/>
    <n v="6.0140000000000002"/>
    <n v="45.61"/>
  </r>
  <r>
    <n v="1558"/>
    <d v="2025-03-26T08:00:00"/>
    <x v="1"/>
    <s v="Miercoles"/>
    <x v="2"/>
    <x v="1"/>
    <x v="0"/>
    <x v="0"/>
    <x v="0"/>
    <x v="0"/>
    <n v="26000"/>
    <x v="65"/>
    <n v="79.900000000000006"/>
    <n v="164.3"/>
    <n v="167"/>
    <n v="1"/>
    <x v="1"/>
    <n v="181.36"/>
    <n v="45.38"/>
    <x v="1"/>
    <n v="19.36"/>
    <n v="6.9749999999999996"/>
    <n v="135.97999999999999"/>
  </r>
  <r>
    <n v="454"/>
    <d v="2025-03-26T08:00:00"/>
    <x v="1"/>
    <s v="Miercoles"/>
    <x v="2"/>
    <x v="1"/>
    <x v="0"/>
    <x v="5"/>
    <x v="5"/>
    <x v="5"/>
    <n v="8600"/>
    <x v="129"/>
    <n v="94.8"/>
    <m/>
    <n v="785"/>
    <n v="1"/>
    <x v="1"/>
    <n v="112.95"/>
    <n v="8.6300000000000008"/>
    <x v="1"/>
    <n v="14.84"/>
    <n v="13.134"/>
    <n v="104.32"/>
  </r>
  <r>
    <n v="1190"/>
    <d v="2025-03-26T08:00:00"/>
    <x v="1"/>
    <s v="Miercoles"/>
    <x v="2"/>
    <x v="1"/>
    <x v="0"/>
    <x v="2"/>
    <x v="2"/>
    <x v="2"/>
    <n v="17400"/>
    <x v="11"/>
    <n v="93.6"/>
    <n v="100"/>
    <n v="174"/>
    <n v="0"/>
    <x v="0"/>
    <n v="57.8"/>
    <n v="12.86"/>
    <x v="1"/>
    <n v="6.09"/>
    <n v="3.3220000000000001"/>
    <n v="44.94"/>
  </r>
  <r>
    <n v="822"/>
    <d v="2025-03-26T08:00:00"/>
    <x v="1"/>
    <s v="Miercoles"/>
    <x v="2"/>
    <x v="1"/>
    <x v="0"/>
    <x v="1"/>
    <x v="1"/>
    <x v="1"/>
    <n v="21000"/>
    <x v="20"/>
    <n v="78.900000000000006"/>
    <n v="137.30000000000001"/>
    <n v="410"/>
    <n v="1"/>
    <x v="1"/>
    <n v="194.92"/>
    <n v="27.28"/>
    <x v="1"/>
    <n v="23.17"/>
    <n v="9.282"/>
    <n v="167.64"/>
  </r>
  <r>
    <n v="1191"/>
    <d v="2025-03-26T14:00:00"/>
    <x v="2"/>
    <s v="Miercoles"/>
    <x v="2"/>
    <x v="1"/>
    <x v="0"/>
    <x v="2"/>
    <x v="2"/>
    <x v="2"/>
    <n v="17400"/>
    <x v="177"/>
    <n v="73.900000000000006"/>
    <n v="472.9"/>
    <n v="1457"/>
    <n v="1"/>
    <x v="3"/>
    <n v="214.09"/>
    <n v="58.82"/>
    <x v="1"/>
    <n v="21.27"/>
    <n v="12.304"/>
    <n v="155.27000000000001"/>
  </r>
  <r>
    <n v="455"/>
    <d v="2025-03-26T14:00:00"/>
    <x v="2"/>
    <s v="Miercoles"/>
    <x v="2"/>
    <x v="1"/>
    <x v="0"/>
    <x v="5"/>
    <x v="5"/>
    <x v="5"/>
    <n v="8600"/>
    <x v="71"/>
    <n v="81.7"/>
    <n v="495"/>
    <n v="844"/>
    <n v="0"/>
    <x v="0"/>
    <n v="87.01"/>
    <n v="37.26"/>
    <x v="1"/>
    <n v="6.93"/>
    <n v="10.117000000000001"/>
    <n v="49.75"/>
  </r>
  <r>
    <n v="823"/>
    <d v="2025-03-26T14:00:00"/>
    <x v="2"/>
    <s v="Miercoles"/>
    <x v="2"/>
    <x v="1"/>
    <x v="0"/>
    <x v="1"/>
    <x v="1"/>
    <x v="1"/>
    <n v="21000"/>
    <x v="177"/>
    <n v="53.7"/>
    <n v="617.5"/>
    <n v="435"/>
    <n v="1"/>
    <x v="3"/>
    <n v="193.62"/>
    <n v="127.49"/>
    <x v="1"/>
    <n v="9.42"/>
    <n v="9.2200000000000006"/>
    <n v="66.13"/>
  </r>
  <r>
    <n v="1559"/>
    <d v="2025-03-26T14:00:00"/>
    <x v="2"/>
    <s v="Miercoles"/>
    <x v="2"/>
    <x v="1"/>
    <x v="0"/>
    <x v="0"/>
    <x v="0"/>
    <x v="0"/>
    <n v="26000"/>
    <x v="165"/>
    <n v="66.599999999999994"/>
    <n v="514"/>
    <n v="164"/>
    <n v="0"/>
    <x v="0"/>
    <n v="155.61000000000001"/>
    <n v="145.69"/>
    <x v="1"/>
    <n v="1.36"/>
    <n v="5.9850000000000003"/>
    <n v="9.92"/>
  </r>
  <r>
    <n v="1927"/>
    <d v="2025-03-26T14:00:00"/>
    <x v="2"/>
    <s v="Miercoles"/>
    <x v="2"/>
    <x v="1"/>
    <x v="0"/>
    <x v="3"/>
    <x v="3"/>
    <x v="3"/>
    <n v="9800"/>
    <x v="178"/>
    <n v="71.599999999999994"/>
    <n v="501.5"/>
    <n v="46"/>
    <n v="0"/>
    <x v="0"/>
    <m/>
    <n v="0"/>
    <x v="1"/>
    <n v="2.2400000000000002"/>
    <m/>
    <m/>
  </r>
  <r>
    <n v="87"/>
    <d v="2025-03-26T14:00:00"/>
    <x v="2"/>
    <s v="Miercoles"/>
    <x v="2"/>
    <x v="1"/>
    <x v="0"/>
    <x v="4"/>
    <x v="4"/>
    <x v="4"/>
    <n v="12500"/>
    <x v="116"/>
    <n v="55.6"/>
    <n v="604.4"/>
    <m/>
    <n v="0"/>
    <x v="0"/>
    <n v="99.93"/>
    <n v="87.89"/>
    <x v="1"/>
    <n v="1.69"/>
    <n v="7.9939999999999998"/>
    <n v="12.04"/>
  </r>
  <r>
    <n v="88"/>
    <d v="2025-03-26T20:00:00"/>
    <x v="3"/>
    <s v="Miercoles"/>
    <x v="2"/>
    <x v="1"/>
    <x v="0"/>
    <x v="4"/>
    <x v="4"/>
    <x v="4"/>
    <n v="12500"/>
    <x v="16"/>
    <n v="70.7"/>
    <n v="0"/>
    <n v="49"/>
    <n v="1"/>
    <x v="1"/>
    <n v="41.03"/>
    <n v="0"/>
    <x v="2"/>
    <n v="8.91"/>
    <n v="3.282"/>
    <n v="41.03"/>
  </r>
  <r>
    <n v="1560"/>
    <d v="2025-03-26T20:00:00"/>
    <x v="3"/>
    <s v="Miercoles"/>
    <x v="2"/>
    <x v="1"/>
    <x v="0"/>
    <x v="0"/>
    <x v="0"/>
    <x v="0"/>
    <n v="26000"/>
    <x v="179"/>
    <n v="69.599999999999994"/>
    <n v="0"/>
    <n v="163"/>
    <n v="0"/>
    <x v="0"/>
    <n v="246.3"/>
    <n v="0"/>
    <x v="2"/>
    <n v="50.84"/>
    <n v="9.4730000000000008"/>
    <n v="246.3"/>
  </r>
  <r>
    <n v="824"/>
    <d v="2025-03-26T20:00:00"/>
    <x v="3"/>
    <s v="Miercoles"/>
    <x v="2"/>
    <x v="1"/>
    <x v="0"/>
    <x v="1"/>
    <x v="1"/>
    <x v="1"/>
    <n v="21000"/>
    <x v="180"/>
    <n v="62.9"/>
    <n v="0"/>
    <n v="385"/>
    <n v="0"/>
    <x v="0"/>
    <n v="282.5"/>
    <n v="0"/>
    <x v="2"/>
    <n v="60.4"/>
    <n v="13.452"/>
    <n v="282.5"/>
  </r>
  <r>
    <n v="456"/>
    <d v="2025-03-26T20:00:00"/>
    <x v="3"/>
    <s v="Miercoles"/>
    <x v="2"/>
    <x v="1"/>
    <x v="0"/>
    <x v="5"/>
    <x v="5"/>
    <x v="5"/>
    <n v="8600"/>
    <x v="36"/>
    <n v="75.099999999999994"/>
    <n v="0"/>
    <n v="113"/>
    <n v="1"/>
    <x v="1"/>
    <n v="26.35"/>
    <n v="0"/>
    <x v="2"/>
    <n v="5.73"/>
    <n v="3.0640000000000001"/>
    <n v="26.35"/>
  </r>
  <r>
    <n v="1192"/>
    <d v="2025-03-26T20:00:00"/>
    <x v="3"/>
    <s v="Miercoles"/>
    <x v="2"/>
    <x v="1"/>
    <x v="0"/>
    <x v="2"/>
    <x v="2"/>
    <x v="2"/>
    <n v="17400"/>
    <x v="116"/>
    <n v="87.2"/>
    <n v="0"/>
    <n v="1261"/>
    <n v="0"/>
    <x v="0"/>
    <n v="279.39999999999998"/>
    <n v="0"/>
    <x v="2"/>
    <n v="58.76"/>
    <n v="16.056999999999999"/>
    <n v="279.39999999999998"/>
  </r>
  <r>
    <n v="1928"/>
    <d v="2025-03-26T20:00:00"/>
    <x v="3"/>
    <s v="Miercoles"/>
    <x v="2"/>
    <x v="1"/>
    <x v="0"/>
    <x v="3"/>
    <x v="3"/>
    <x v="3"/>
    <n v="9800"/>
    <x v="101"/>
    <n v="83.8"/>
    <n v="0"/>
    <n v="289"/>
    <n v="1"/>
    <x v="2"/>
    <n v="94.49"/>
    <n v="0"/>
    <x v="2"/>
    <n v="20.190000000000001"/>
    <n v="9.6419999999999995"/>
    <n v="94.49"/>
  </r>
  <r>
    <n v="1929"/>
    <d v="2025-03-30T00:00:00"/>
    <x v="0"/>
    <s v="Domingo"/>
    <x v="2"/>
    <x v="1"/>
    <x v="1"/>
    <x v="3"/>
    <x v="3"/>
    <x v="3"/>
    <n v="9800"/>
    <x v="52"/>
    <n v="78"/>
    <n v="0"/>
    <n v="345"/>
    <n v="1"/>
    <x v="1"/>
    <n v="100.97"/>
    <n v="0"/>
    <x v="0"/>
    <n v="8.56"/>
    <n v="10.303000000000001"/>
    <n v="100.97"/>
  </r>
  <r>
    <n v="457"/>
    <d v="2025-03-30T00:00:00"/>
    <x v="0"/>
    <s v="Domingo"/>
    <x v="2"/>
    <x v="1"/>
    <x v="1"/>
    <x v="5"/>
    <x v="5"/>
    <x v="5"/>
    <n v="8600"/>
    <x v="32"/>
    <n v="99"/>
    <n v="0"/>
    <n v="0"/>
    <n v="0"/>
    <x v="0"/>
    <n v="11.89"/>
    <n v="0"/>
    <x v="0"/>
    <n v="1.04"/>
    <n v="1.383"/>
    <n v="11.89"/>
  </r>
  <r>
    <n v="1561"/>
    <d v="2025-03-30T00:00:00"/>
    <x v="0"/>
    <s v="Domingo"/>
    <x v="2"/>
    <x v="1"/>
    <x v="1"/>
    <x v="0"/>
    <x v="0"/>
    <x v="0"/>
    <n v="26000"/>
    <x v="43"/>
    <n v="71.3"/>
    <n v="0"/>
    <n v="30"/>
    <n v="1"/>
    <x v="1"/>
    <n v="91.64"/>
    <n v="0"/>
    <x v="0"/>
    <n v="7.94"/>
    <n v="3.5249999999999999"/>
    <n v="91.64"/>
  </r>
  <r>
    <n v="1193"/>
    <d v="2025-03-30T00:00:00"/>
    <x v="0"/>
    <s v="Domingo"/>
    <x v="2"/>
    <x v="1"/>
    <x v="1"/>
    <x v="2"/>
    <x v="2"/>
    <x v="2"/>
    <n v="17400"/>
    <x v="41"/>
    <n v="80.2"/>
    <n v="0"/>
    <n v="25"/>
    <n v="1"/>
    <x v="1"/>
    <n v="56.23"/>
    <n v="0"/>
    <x v="0"/>
    <n v="4.9000000000000004"/>
    <n v="3.2320000000000002"/>
    <n v="56.23"/>
  </r>
  <r>
    <n v="89"/>
    <d v="2025-03-30T00:00:00"/>
    <x v="0"/>
    <s v="Domingo"/>
    <x v="2"/>
    <x v="1"/>
    <x v="1"/>
    <x v="4"/>
    <x v="4"/>
    <x v="4"/>
    <n v="12500"/>
    <x v="69"/>
    <n v="71.3"/>
    <n v="0"/>
    <n v="14"/>
    <n v="0"/>
    <x v="0"/>
    <n v="24.58"/>
    <n v="0"/>
    <x v="0"/>
    <n v="2.17"/>
    <n v="1.966"/>
    <n v="24.58"/>
  </r>
  <r>
    <n v="825"/>
    <d v="2025-03-30T00:00:00"/>
    <x v="0"/>
    <s v="Domingo"/>
    <x v="2"/>
    <x v="1"/>
    <x v="1"/>
    <x v="1"/>
    <x v="1"/>
    <x v="1"/>
    <n v="21000"/>
    <x v="168"/>
    <n v="65.400000000000006"/>
    <n v="0"/>
    <n v="223"/>
    <n v="1"/>
    <x v="1"/>
    <n v="188.3"/>
    <n v="0"/>
    <x v="0"/>
    <m/>
    <n v="8.9670000000000005"/>
    <n v="188.3"/>
  </r>
  <r>
    <n v="90"/>
    <d v="2025-03-30T08:00:00"/>
    <x v="1"/>
    <s v="Domingo"/>
    <x v="2"/>
    <x v="1"/>
    <x v="1"/>
    <x v="4"/>
    <x v="4"/>
    <x v="4"/>
    <n v="12500"/>
    <x v="60"/>
    <n v="66.5"/>
    <n v="156.19999999999999"/>
    <n v="78"/>
    <n v="0"/>
    <x v="0"/>
    <n v="21.54"/>
    <n v="25.08"/>
    <x v="0"/>
    <n v="-0.12"/>
    <n v="1.7230000000000001"/>
    <n v="0"/>
  </r>
  <r>
    <n v="458"/>
    <d v="2025-03-30T08:00:00"/>
    <x v="1"/>
    <s v="Domingo"/>
    <x v="2"/>
    <x v="1"/>
    <x v="1"/>
    <x v="5"/>
    <x v="5"/>
    <x v="5"/>
    <n v="8600"/>
    <x v="157"/>
    <n v="94.7"/>
    <n v="109.4"/>
    <n v="72"/>
    <n v="0"/>
    <x v="0"/>
    <n v="17.239999999999998"/>
    <n v="8.67"/>
    <x v="0"/>
    <n v="0.75"/>
    <n v="2.0049999999999999"/>
    <n v="8.57"/>
  </r>
  <r>
    <n v="1194"/>
    <d v="2025-03-30T08:00:00"/>
    <x v="1"/>
    <s v="Domingo"/>
    <x v="2"/>
    <x v="1"/>
    <x v="1"/>
    <x v="2"/>
    <x v="2"/>
    <x v="2"/>
    <n v="17400"/>
    <x v="124"/>
    <n v="84.8"/>
    <n v="145.69999999999999"/>
    <n v="68"/>
    <n v="1"/>
    <x v="2"/>
    <n v="36.94"/>
    <n v="18.399999999999999"/>
    <x v="0"/>
    <n v="1.61"/>
    <n v="2.1230000000000002"/>
    <n v="18.54"/>
  </r>
  <r>
    <n v="1562"/>
    <d v="2025-03-30T08:00:00"/>
    <x v="1"/>
    <s v="Domingo"/>
    <x v="2"/>
    <x v="1"/>
    <x v="1"/>
    <x v="0"/>
    <x v="0"/>
    <x v="0"/>
    <n v="26000"/>
    <x v="118"/>
    <n v="77.7"/>
    <n v="215.6"/>
    <n v="49"/>
    <n v="1"/>
    <x v="1"/>
    <n v="92.54"/>
    <n v="57.2"/>
    <x v="0"/>
    <n v="3.09"/>
    <n v="3.5590000000000002"/>
    <n v="35.340000000000003"/>
  </r>
  <r>
    <n v="1930"/>
    <d v="2025-03-30T08:00:00"/>
    <x v="1"/>
    <s v="Domingo"/>
    <x v="2"/>
    <x v="1"/>
    <x v="1"/>
    <x v="3"/>
    <x v="3"/>
    <x v="3"/>
    <n v="9800"/>
    <x v="11"/>
    <m/>
    <n v="199.8"/>
    <n v="116"/>
    <n v="1"/>
    <x v="2"/>
    <n v="25.57"/>
    <n v="0"/>
    <x v="0"/>
    <n v="2.1800000000000002"/>
    <n v="2.609"/>
    <n v="25.57"/>
  </r>
  <r>
    <n v="826"/>
    <d v="2025-03-30T08:00:00"/>
    <x v="1"/>
    <s v="Domingo"/>
    <x v="2"/>
    <x v="1"/>
    <x v="1"/>
    <x v="1"/>
    <x v="1"/>
    <x v="1"/>
    <n v="21000"/>
    <x v="160"/>
    <n v="59"/>
    <n v="211.7"/>
    <n v="391"/>
    <n v="1"/>
    <x v="2"/>
    <n v="203.69"/>
    <n v="44.68"/>
    <x v="0"/>
    <n v="13.64"/>
    <n v="9.6999999999999993"/>
    <n v="159.01"/>
  </r>
  <r>
    <n v="459"/>
    <d v="2025-03-30T14:00:00"/>
    <x v="2"/>
    <s v="Domingo"/>
    <x v="2"/>
    <x v="1"/>
    <x v="1"/>
    <x v="5"/>
    <x v="5"/>
    <x v="5"/>
    <n v="8600"/>
    <x v="21"/>
    <n v="89.9"/>
    <n v="367.5"/>
    <n v="19"/>
    <n v="0"/>
    <x v="0"/>
    <n v="8.9600000000000009"/>
    <n v="27.14"/>
    <x v="0"/>
    <n v="-0.63"/>
    <n v="1.042"/>
    <n v="0"/>
  </r>
  <r>
    <n v="1563"/>
    <d v="2025-03-30T14:00:00"/>
    <x v="2"/>
    <s v="Domingo"/>
    <x v="2"/>
    <x v="1"/>
    <x v="1"/>
    <x v="0"/>
    <x v="0"/>
    <x v="0"/>
    <n v="26000"/>
    <x v="165"/>
    <n v="59"/>
    <n v="603"/>
    <n v="55"/>
    <n v="0"/>
    <x v="0"/>
    <n v="76.069999999999993"/>
    <n v="151.29"/>
    <x v="0"/>
    <n v="-2.65"/>
    <n v="2.9260000000000002"/>
    <n v="0"/>
  </r>
  <r>
    <n v="1195"/>
    <d v="2025-03-30T14:00:00"/>
    <x v="2"/>
    <s v="Domingo"/>
    <x v="2"/>
    <x v="1"/>
    <x v="1"/>
    <x v="2"/>
    <x v="2"/>
    <x v="2"/>
    <n v="17400"/>
    <x v="181"/>
    <n v="64.099999999999994"/>
    <n v="603.5"/>
    <n v="1558"/>
    <n v="0"/>
    <x v="0"/>
    <n v="248.13"/>
    <n v="67.12"/>
    <x v="0"/>
    <n v="15.84"/>
    <n v="14.26"/>
    <n v="181.01"/>
  </r>
  <r>
    <n v="91"/>
    <d v="2025-03-30T14:00:00"/>
    <x v="2"/>
    <s v="Domingo"/>
    <x v="2"/>
    <x v="1"/>
    <x v="1"/>
    <x v="4"/>
    <x v="4"/>
    <x v="4"/>
    <n v="12500"/>
    <x v="182"/>
    <n v="54"/>
    <n v="512.9"/>
    <n v="5"/>
    <n v="0"/>
    <x v="0"/>
    <n v="16.79"/>
    <n v="82.2"/>
    <x v="0"/>
    <n v="-2.25"/>
    <n v="1.343"/>
    <n v="0"/>
  </r>
  <r>
    <n v="1931"/>
    <d v="2025-03-30T14:00:00"/>
    <x v="2"/>
    <s v="Domingo"/>
    <x v="2"/>
    <x v="1"/>
    <x v="1"/>
    <x v="3"/>
    <x v="3"/>
    <x v="3"/>
    <n v="9800"/>
    <x v="181"/>
    <n v="80.099999999999994"/>
    <n v="504.3"/>
    <n v="122"/>
    <n v="0"/>
    <x v="0"/>
    <n v="28.06"/>
    <n v="0"/>
    <x v="0"/>
    <n v="2.4700000000000002"/>
    <n v="2.863"/>
    <n v="28.06"/>
  </r>
  <r>
    <n v="827"/>
    <d v="2025-03-30T14:00:00"/>
    <x v="2"/>
    <s v="Domingo"/>
    <x v="2"/>
    <x v="1"/>
    <x v="1"/>
    <x v="1"/>
    <x v="1"/>
    <x v="1"/>
    <n v="21000"/>
    <x v="183"/>
    <n v="48"/>
    <n v="705.9"/>
    <n v="415"/>
    <n v="1"/>
    <x v="2"/>
    <n v="199.09"/>
    <n v="120.45"/>
    <x v="0"/>
    <n v="6.76"/>
    <n v="9.48"/>
    <n v="78.64"/>
  </r>
  <r>
    <n v="1564"/>
    <d v="2025-03-30T20:00:00"/>
    <x v="3"/>
    <s v="Domingo"/>
    <x v="2"/>
    <x v="1"/>
    <x v="1"/>
    <x v="0"/>
    <x v="0"/>
    <x v="0"/>
    <n v="26000"/>
    <x v="43"/>
    <m/>
    <n v="0"/>
    <n v="73"/>
    <n v="1"/>
    <x v="1"/>
    <n v="136.4"/>
    <n v="0"/>
    <x v="0"/>
    <n v="11.77"/>
    <n v="5.2460000000000004"/>
    <n v="136.4"/>
  </r>
  <r>
    <n v="460"/>
    <d v="2025-03-30T20:00:00"/>
    <x v="3"/>
    <s v="Domingo"/>
    <x v="2"/>
    <x v="1"/>
    <x v="1"/>
    <x v="5"/>
    <x v="5"/>
    <x v="5"/>
    <n v="8600"/>
    <x v="142"/>
    <n v="92.6"/>
    <n v="0"/>
    <n v="21"/>
    <n v="0"/>
    <x v="0"/>
    <n v="13.1"/>
    <n v="0"/>
    <x v="0"/>
    <n v="1.1100000000000001"/>
    <n v="1.5229999999999999"/>
    <n v="13.1"/>
  </r>
  <r>
    <n v="1932"/>
    <d v="2025-03-30T20:00:00"/>
    <x v="3"/>
    <s v="Domingo"/>
    <x v="2"/>
    <x v="1"/>
    <x v="1"/>
    <x v="3"/>
    <x v="3"/>
    <x v="3"/>
    <n v="9800"/>
    <x v="184"/>
    <n v="79.2"/>
    <n v="0"/>
    <n v="332"/>
    <n v="0"/>
    <x v="0"/>
    <n v="100.77"/>
    <n v="0"/>
    <x v="0"/>
    <n v="8.52"/>
    <n v="10.282999999999999"/>
    <n v="100.77"/>
  </r>
  <r>
    <n v="828"/>
    <d v="2025-03-30T20:00:00"/>
    <x v="3"/>
    <s v="Domingo"/>
    <x v="2"/>
    <x v="1"/>
    <x v="1"/>
    <x v="1"/>
    <x v="1"/>
    <x v="1"/>
    <n v="21000"/>
    <x v="162"/>
    <n v="70.2"/>
    <n v="0"/>
    <n v="401"/>
    <n v="0"/>
    <x v="0"/>
    <n v="283.25"/>
    <n v="0"/>
    <x v="0"/>
    <n v="24.22"/>
    <n v="13.488"/>
    <n v="283.25"/>
  </r>
  <r>
    <n v="1196"/>
    <d v="2025-03-30T20:00:00"/>
    <x v="3"/>
    <s v="Domingo"/>
    <x v="2"/>
    <x v="1"/>
    <x v="1"/>
    <x v="2"/>
    <x v="2"/>
    <x v="2"/>
    <n v="17400"/>
    <x v="185"/>
    <n v="69.599999999999994"/>
    <n v="0"/>
    <n v="1574"/>
    <n v="0"/>
    <x v="0"/>
    <n v="331"/>
    <n v="0"/>
    <x v="0"/>
    <n v="28.57"/>
    <n v="19.023"/>
    <n v="331"/>
  </r>
  <r>
    <n v="92"/>
    <d v="2025-03-30T20:00:00"/>
    <x v="3"/>
    <s v="Domingo"/>
    <x v="2"/>
    <x v="1"/>
    <x v="1"/>
    <x v="4"/>
    <x v="4"/>
    <x v="4"/>
    <n v="12500"/>
    <x v="21"/>
    <n v="59.2"/>
    <n v="0"/>
    <n v="0"/>
    <n v="0"/>
    <x v="0"/>
    <n v="24.46"/>
    <n v="0"/>
    <x v="0"/>
    <n v="2.16"/>
    <n v="1.9570000000000001"/>
    <n v="24.46"/>
  </r>
  <r>
    <n v="461"/>
    <d v="2025-04-03T00:00:00"/>
    <x v="0"/>
    <s v="Jueves"/>
    <x v="3"/>
    <x v="1"/>
    <x v="0"/>
    <x v="5"/>
    <x v="5"/>
    <x v="5"/>
    <n v="8600"/>
    <x v="122"/>
    <n v="91.1"/>
    <n v="0"/>
    <n v="0"/>
    <n v="1"/>
    <x v="1"/>
    <n v="20.84"/>
    <n v="0"/>
    <x v="0"/>
    <n v="1.79"/>
    <n v="2.423"/>
    <n v="20.84"/>
  </r>
  <r>
    <n v="93"/>
    <d v="2025-04-03T00:00:00"/>
    <x v="0"/>
    <s v="Jueves"/>
    <x v="3"/>
    <x v="1"/>
    <x v="0"/>
    <x v="4"/>
    <x v="4"/>
    <x v="4"/>
    <n v="12500"/>
    <x v="43"/>
    <n v="65.3"/>
    <n v="0"/>
    <n v="36"/>
    <n v="0"/>
    <x v="0"/>
    <n v="26.13"/>
    <n v="0"/>
    <x v="0"/>
    <n v="2.1800000000000002"/>
    <n v="2.09"/>
    <n v="26.13"/>
  </r>
  <r>
    <n v="829"/>
    <d v="2025-04-03T00:00:00"/>
    <x v="0"/>
    <s v="Jueves"/>
    <x v="3"/>
    <x v="1"/>
    <x v="0"/>
    <x v="1"/>
    <x v="1"/>
    <x v="1"/>
    <n v="21000"/>
    <x v="37"/>
    <n v="65.8"/>
    <n v="0"/>
    <n v="188"/>
    <n v="1"/>
    <x v="1"/>
    <n v="168.6"/>
    <n v="0"/>
    <x v="0"/>
    <n v="15.07"/>
    <n v="8.0289999999999999"/>
    <n v="168.6"/>
  </r>
  <r>
    <n v="1933"/>
    <d v="2025-04-03T00:00:00"/>
    <x v="0"/>
    <s v="Jueves"/>
    <x v="3"/>
    <x v="1"/>
    <x v="0"/>
    <x v="3"/>
    <x v="3"/>
    <x v="3"/>
    <n v="9800"/>
    <x v="37"/>
    <n v="81"/>
    <n v="0"/>
    <n v="312"/>
    <n v="1"/>
    <x v="1"/>
    <n v="101.05"/>
    <n v="0"/>
    <x v="0"/>
    <n v="8.83"/>
    <n v="10.311"/>
    <n v="101.05"/>
  </r>
  <r>
    <n v="1197"/>
    <d v="2025-04-03T00:00:00"/>
    <x v="0"/>
    <s v="Jueves"/>
    <x v="3"/>
    <x v="1"/>
    <x v="0"/>
    <x v="2"/>
    <x v="2"/>
    <x v="2"/>
    <n v="17400"/>
    <x v="21"/>
    <n v="80.7"/>
    <n v="0"/>
    <n v="23"/>
    <n v="0"/>
    <x v="0"/>
    <n v="49.29"/>
    <n v="0"/>
    <x v="0"/>
    <n v="4.2"/>
    <n v="2.8330000000000002"/>
    <n v="49.29"/>
  </r>
  <r>
    <n v="1565"/>
    <d v="2025-04-03T00:00:00"/>
    <x v="0"/>
    <s v="Jueves"/>
    <x v="3"/>
    <x v="1"/>
    <x v="0"/>
    <x v="0"/>
    <x v="0"/>
    <x v="0"/>
    <n v="26000"/>
    <x v="31"/>
    <n v="70.599999999999994"/>
    <n v="0"/>
    <n v="64"/>
    <n v="1"/>
    <x v="1"/>
    <n v="118.17"/>
    <n v="0"/>
    <x v="0"/>
    <n v="10.39"/>
    <n v="4.5449999999999999"/>
    <n v="118.17"/>
  </r>
  <r>
    <n v="1566"/>
    <d v="2025-04-03T08:00:00"/>
    <x v="1"/>
    <s v="Jueves"/>
    <x v="3"/>
    <x v="1"/>
    <x v="0"/>
    <x v="0"/>
    <x v="0"/>
    <x v="0"/>
    <n v="26000"/>
    <x v="88"/>
    <n v="93"/>
    <n v="172"/>
    <n v="153"/>
    <n v="1"/>
    <x v="1"/>
    <n v="166.25"/>
    <n v="48.28"/>
    <x v="1"/>
    <n v="15.95"/>
    <n v="6.3940000000000001"/>
    <n v="117.97"/>
  </r>
  <r>
    <n v="1198"/>
    <d v="2025-04-03T08:00:00"/>
    <x v="1"/>
    <s v="Jueves"/>
    <x v="3"/>
    <x v="1"/>
    <x v="0"/>
    <x v="2"/>
    <x v="2"/>
    <x v="2"/>
    <n v="17400"/>
    <x v="13"/>
    <n v="84"/>
    <n v="113.9"/>
    <n v="149"/>
    <n v="0"/>
    <x v="0"/>
    <n v="54.13"/>
    <n v="14.07"/>
    <x v="1"/>
    <n v="5.64"/>
    <n v="3.1110000000000002"/>
    <n v="40.06"/>
  </r>
  <r>
    <n v="94"/>
    <d v="2025-04-03T08:00:00"/>
    <x v="1"/>
    <s v="Jueves"/>
    <x v="3"/>
    <x v="1"/>
    <x v="0"/>
    <x v="4"/>
    <x v="4"/>
    <x v="4"/>
    <n v="12500"/>
    <x v="31"/>
    <n v="69.3"/>
    <n v="213.1"/>
    <n v="303"/>
    <n v="1"/>
    <x v="1"/>
    <n v="69.739999999999995"/>
    <n v="31.09"/>
    <x v="1"/>
    <n v="5.29"/>
    <n v="5.5789999999999997"/>
    <n v="38.65"/>
  </r>
  <r>
    <n v="830"/>
    <d v="2025-04-03T08:00:00"/>
    <x v="1"/>
    <s v="Jueves"/>
    <x v="3"/>
    <x v="1"/>
    <x v="0"/>
    <x v="1"/>
    <x v="1"/>
    <x v="1"/>
    <n v="21000"/>
    <x v="140"/>
    <n v="51.4"/>
    <n v="184"/>
    <n v="406"/>
    <n v="1"/>
    <x v="1"/>
    <n v="198.37"/>
    <n v="39.19"/>
    <x v="1"/>
    <n v="22.08"/>
    <n v="9.4459999999999997"/>
    <n v="159.18"/>
  </r>
  <r>
    <n v="1934"/>
    <d v="2025-04-03T08:00:00"/>
    <x v="1"/>
    <s v="Jueves"/>
    <x v="3"/>
    <x v="1"/>
    <x v="0"/>
    <x v="3"/>
    <x v="3"/>
    <x v="3"/>
    <n v="9800"/>
    <x v="186"/>
    <m/>
    <n v="129.30000000000001"/>
    <n v="59"/>
    <n v="1"/>
    <x v="2"/>
    <n v="18.88"/>
    <n v="0"/>
    <x v="1"/>
    <n v="2.67"/>
    <n v="1.927"/>
    <n v="18.88"/>
  </r>
  <r>
    <n v="462"/>
    <d v="2025-04-03T08:00:00"/>
    <x v="1"/>
    <s v="Jueves"/>
    <x v="3"/>
    <x v="1"/>
    <x v="0"/>
    <x v="5"/>
    <x v="5"/>
    <x v="5"/>
    <n v="8600"/>
    <x v="59"/>
    <n v="98.1"/>
    <n v="121.7"/>
    <n v="791"/>
    <n v="1"/>
    <x v="1"/>
    <n v="82.48"/>
    <n v="8.84"/>
    <x v="1"/>
    <n v="10.6"/>
    <n v="9.5909999999999993"/>
    <n v="73.64"/>
  </r>
  <r>
    <n v="831"/>
    <d v="2025-04-03T14:00:00"/>
    <x v="2"/>
    <s v="Jueves"/>
    <x v="3"/>
    <x v="1"/>
    <x v="0"/>
    <x v="1"/>
    <x v="1"/>
    <x v="1"/>
    <n v="21000"/>
    <x v="187"/>
    <n v="61.2"/>
    <n v="704.3"/>
    <n v="417"/>
    <n v="1"/>
    <x v="2"/>
    <n v="195.78"/>
    <n v="134.31"/>
    <x v="1"/>
    <n v="8.5500000000000007"/>
    <n v="9.3230000000000004"/>
    <n v="61.47"/>
  </r>
  <r>
    <n v="1199"/>
    <d v="2025-04-03T14:00:00"/>
    <x v="2"/>
    <s v="Jueves"/>
    <x v="3"/>
    <x v="1"/>
    <x v="0"/>
    <x v="2"/>
    <x v="2"/>
    <x v="2"/>
    <n v="17400"/>
    <x v="188"/>
    <n v="89.5"/>
    <n v="394.4"/>
    <n v="1272"/>
    <n v="0"/>
    <x v="0"/>
    <n v="191.43"/>
    <n v="53.16"/>
    <x v="1"/>
    <n v="18.87"/>
    <n v="11.002000000000001"/>
    <n v="138.27000000000001"/>
  </r>
  <r>
    <n v="1935"/>
    <d v="2025-04-03T14:00:00"/>
    <x v="2"/>
    <s v="Jueves"/>
    <x v="3"/>
    <x v="1"/>
    <x v="0"/>
    <x v="3"/>
    <x v="3"/>
    <x v="3"/>
    <n v="9800"/>
    <x v="189"/>
    <n v="87"/>
    <n v="665.7"/>
    <n v="77"/>
    <n v="0"/>
    <x v="0"/>
    <n v="18.48"/>
    <n v="0"/>
    <x v="1"/>
    <n v="2.54"/>
    <n v="1.8859999999999999"/>
    <n v="18.48"/>
  </r>
  <r>
    <n v="95"/>
    <d v="2025-04-03T14:00:00"/>
    <x v="2"/>
    <s v="Jueves"/>
    <x v="3"/>
    <x v="1"/>
    <x v="0"/>
    <x v="4"/>
    <x v="4"/>
    <x v="4"/>
    <n v="12500"/>
    <x v="190"/>
    <n v="46"/>
    <n v="577.6"/>
    <n v="607"/>
    <n v="0"/>
    <x v="0"/>
    <n v="109.25"/>
    <n v="87.83"/>
    <x v="1"/>
    <n v="2.97"/>
    <n v="8.74"/>
    <n v="21.42"/>
  </r>
  <r>
    <n v="463"/>
    <d v="2025-04-03T14:00:00"/>
    <x v="2"/>
    <s v="Jueves"/>
    <x v="3"/>
    <x v="1"/>
    <x v="0"/>
    <x v="5"/>
    <x v="5"/>
    <x v="5"/>
    <n v="8600"/>
    <x v="131"/>
    <n v="91"/>
    <n v="398.2"/>
    <n v="848"/>
    <n v="1"/>
    <x v="2"/>
    <n v="76.58"/>
    <n v="29.96"/>
    <x v="1"/>
    <n v="6.48"/>
    <n v="8.9049999999999994"/>
    <n v="46.62"/>
  </r>
  <r>
    <n v="1567"/>
    <d v="2025-04-03T14:00:00"/>
    <x v="2"/>
    <s v="Jueves"/>
    <x v="3"/>
    <x v="1"/>
    <x v="0"/>
    <x v="0"/>
    <x v="0"/>
    <x v="0"/>
    <n v="26000"/>
    <x v="191"/>
    <n v="72.400000000000006"/>
    <n v="534"/>
    <n v="168"/>
    <n v="1"/>
    <x v="2"/>
    <n v="147.65"/>
    <n v="159.68"/>
    <x v="1"/>
    <n v="-0.67"/>
    <n v="5.6790000000000003"/>
    <n v="0"/>
  </r>
  <r>
    <n v="832"/>
    <d v="2025-04-03T20:00:00"/>
    <x v="3"/>
    <s v="Jueves"/>
    <x v="3"/>
    <x v="1"/>
    <x v="0"/>
    <x v="1"/>
    <x v="1"/>
    <x v="1"/>
    <n v="21000"/>
    <x v="192"/>
    <n v="67.599999999999994"/>
    <n v="0"/>
    <n v="404"/>
    <n v="0"/>
    <x v="0"/>
    <n v="258.13"/>
    <n v="0"/>
    <x v="2"/>
    <n v="54.08"/>
    <n v="12.292"/>
    <n v="258.13"/>
  </r>
  <r>
    <n v="1568"/>
    <d v="2025-04-03T20:00:00"/>
    <x v="3"/>
    <s v="Jueves"/>
    <x v="3"/>
    <x v="1"/>
    <x v="0"/>
    <x v="0"/>
    <x v="0"/>
    <x v="0"/>
    <n v="26000"/>
    <x v="135"/>
    <n v="68.3"/>
    <n v="0"/>
    <n v="158"/>
    <n v="0"/>
    <x v="0"/>
    <n v="250.88"/>
    <n v="0"/>
    <x v="2"/>
    <m/>
    <n v="9.6489999999999991"/>
    <n v="250.88"/>
  </r>
  <r>
    <n v="1936"/>
    <d v="2025-04-03T20:00:00"/>
    <x v="3"/>
    <s v="Jueves"/>
    <x v="3"/>
    <x v="1"/>
    <x v="0"/>
    <x v="3"/>
    <x v="3"/>
    <x v="3"/>
    <n v="9800"/>
    <x v="43"/>
    <n v="90.7"/>
    <n v="0"/>
    <n v="316"/>
    <n v="1"/>
    <x v="2"/>
    <n v="96.57"/>
    <n v="0"/>
    <x v="2"/>
    <n v="20.59"/>
    <n v="9.8539999999999992"/>
    <n v="96.57"/>
  </r>
  <r>
    <n v="96"/>
    <d v="2025-04-03T20:00:00"/>
    <x v="3"/>
    <s v="Jueves"/>
    <x v="3"/>
    <x v="1"/>
    <x v="0"/>
    <x v="4"/>
    <x v="4"/>
    <x v="4"/>
    <n v="12500"/>
    <x v="173"/>
    <n v="69.7"/>
    <n v="0"/>
    <n v="47"/>
    <n v="1"/>
    <x v="1"/>
    <n v="37.76"/>
    <n v="0"/>
    <x v="2"/>
    <n v="7.8"/>
    <n v="3.0209999999999999"/>
    <n v="37.76"/>
  </r>
  <r>
    <n v="464"/>
    <d v="2025-04-03T20:00:00"/>
    <x v="3"/>
    <s v="Jueves"/>
    <x v="3"/>
    <x v="1"/>
    <x v="0"/>
    <x v="5"/>
    <x v="5"/>
    <x v="5"/>
    <n v="8600"/>
    <x v="11"/>
    <n v="87.9"/>
    <n v="0"/>
    <n v="4"/>
    <n v="1"/>
    <x v="2"/>
    <n v="17.02"/>
    <n v="0"/>
    <x v="2"/>
    <n v="3.74"/>
    <n v="1.9790000000000001"/>
    <n v="17.02"/>
  </r>
  <r>
    <n v="1200"/>
    <d v="2025-04-03T20:00:00"/>
    <x v="3"/>
    <s v="Jueves"/>
    <x v="3"/>
    <x v="1"/>
    <x v="0"/>
    <x v="2"/>
    <x v="2"/>
    <x v="2"/>
    <n v="17400"/>
    <x v="139"/>
    <n v="61.3"/>
    <n v="0"/>
    <n v="1231"/>
    <n v="0"/>
    <x v="0"/>
    <n v="265.19"/>
    <n v="0"/>
    <x v="2"/>
    <n v="55.82"/>
    <n v="15.241"/>
    <n v="265.19"/>
  </r>
  <r>
    <n v="97"/>
    <d v="2025-04-07T00:00:00"/>
    <x v="0"/>
    <s v="Lunes"/>
    <x v="3"/>
    <x v="1"/>
    <x v="0"/>
    <x v="4"/>
    <x v="4"/>
    <x v="4"/>
    <n v="12500"/>
    <x v="108"/>
    <n v="80.599999999999994"/>
    <n v="0"/>
    <n v="48"/>
    <n v="0"/>
    <x v="0"/>
    <n v="28.87"/>
    <n v="0"/>
    <x v="0"/>
    <n v="2.57"/>
    <n v="2.31"/>
    <n v="28.87"/>
  </r>
  <r>
    <n v="1569"/>
    <d v="2025-04-07T00:00:00"/>
    <x v="0"/>
    <s v="Lunes"/>
    <x v="3"/>
    <x v="1"/>
    <x v="0"/>
    <x v="0"/>
    <x v="0"/>
    <x v="0"/>
    <n v="26000"/>
    <x v="25"/>
    <n v="68.7"/>
    <n v="0"/>
    <n v="66"/>
    <n v="1"/>
    <x v="1"/>
    <n v="123.54"/>
    <n v="0"/>
    <x v="0"/>
    <n v="10.6"/>
    <n v="4.7519999999999998"/>
    <n v="123.54"/>
  </r>
  <r>
    <n v="1201"/>
    <d v="2025-04-07T00:00:00"/>
    <x v="0"/>
    <s v="Lunes"/>
    <x v="3"/>
    <x v="1"/>
    <x v="0"/>
    <x v="2"/>
    <x v="2"/>
    <x v="2"/>
    <n v="17400"/>
    <x v="99"/>
    <n v="71.900000000000006"/>
    <n v="0"/>
    <n v="0"/>
    <n v="0"/>
    <x v="0"/>
    <n v="47.66"/>
    <n v="0"/>
    <x v="0"/>
    <n v="4.12"/>
    <n v="2.7389999999999999"/>
    <n v="47.66"/>
  </r>
  <r>
    <n v="833"/>
    <d v="2025-04-07T00:00:00"/>
    <x v="0"/>
    <s v="Lunes"/>
    <x v="3"/>
    <x v="1"/>
    <x v="0"/>
    <x v="1"/>
    <x v="1"/>
    <x v="1"/>
    <n v="21000"/>
    <x v="129"/>
    <n v="70.2"/>
    <n v="0"/>
    <m/>
    <n v="1"/>
    <x v="1"/>
    <n v="183.5"/>
    <n v="0"/>
    <x v="0"/>
    <n v="16"/>
    <n v="8.7379999999999995"/>
    <n v="183.5"/>
  </r>
  <r>
    <n v="465"/>
    <d v="2025-04-07T00:00:00"/>
    <x v="0"/>
    <s v="Lunes"/>
    <x v="3"/>
    <x v="1"/>
    <x v="0"/>
    <x v="5"/>
    <x v="5"/>
    <x v="5"/>
    <n v="8600"/>
    <x v="186"/>
    <n v="99"/>
    <n v="0"/>
    <n v="52"/>
    <n v="1"/>
    <x v="2"/>
    <n v="22.25"/>
    <n v="0"/>
    <x v="0"/>
    <n v="1.84"/>
    <n v="2.5870000000000002"/>
    <n v="22.25"/>
  </r>
  <r>
    <n v="1937"/>
    <d v="2025-04-07T00:00:00"/>
    <x v="0"/>
    <s v="Lunes"/>
    <x v="3"/>
    <x v="1"/>
    <x v="0"/>
    <x v="3"/>
    <x v="3"/>
    <x v="3"/>
    <n v="9800"/>
    <x v="157"/>
    <n v="95.5"/>
    <n v="0"/>
    <n v="314"/>
    <n v="1"/>
    <x v="1"/>
    <n v="102.34"/>
    <n v="0"/>
    <x v="0"/>
    <n v="9.1199999999999992"/>
    <n v="10.443"/>
    <n v="102.34"/>
  </r>
  <r>
    <n v="834"/>
    <d v="2025-04-07T08:00:00"/>
    <x v="1"/>
    <s v="Lunes"/>
    <x v="3"/>
    <x v="1"/>
    <x v="0"/>
    <x v="1"/>
    <x v="1"/>
    <x v="1"/>
    <n v="21000"/>
    <x v="193"/>
    <n v="58.3"/>
    <n v="158.80000000000001"/>
    <n v="418"/>
    <n v="0"/>
    <x v="0"/>
    <n v="219.61"/>
    <n v="29.53"/>
    <x v="1"/>
    <n v="27.18"/>
    <n v="10.458"/>
    <n v="190.08"/>
  </r>
  <r>
    <n v="1202"/>
    <d v="2025-04-07T08:00:00"/>
    <x v="1"/>
    <s v="Lunes"/>
    <x v="3"/>
    <x v="1"/>
    <x v="0"/>
    <x v="2"/>
    <x v="2"/>
    <x v="2"/>
    <n v="17400"/>
    <x v="99"/>
    <n v="73.599999999999994"/>
    <n v="190.1"/>
    <n v="29"/>
    <n v="0"/>
    <x v="0"/>
    <n v="37.01"/>
    <n v="23.68"/>
    <x v="1"/>
    <n v="1.87"/>
    <n v="2.1269999999999998"/>
    <n v="13.33"/>
  </r>
  <r>
    <n v="1938"/>
    <d v="2025-04-07T08:00:00"/>
    <x v="1"/>
    <s v="Lunes"/>
    <x v="3"/>
    <x v="1"/>
    <x v="0"/>
    <x v="3"/>
    <x v="3"/>
    <x v="3"/>
    <n v="9800"/>
    <x v="18"/>
    <n v="74.099999999999994"/>
    <n v="219.6"/>
    <n v="58"/>
    <n v="1"/>
    <x v="1"/>
    <n v="22.81"/>
    <n v="0"/>
    <x v="1"/>
    <n v="3.15"/>
    <n v="2.3279999999999998"/>
    <n v="22.81"/>
  </r>
  <r>
    <n v="98"/>
    <d v="2025-04-07T08:00:00"/>
    <x v="1"/>
    <s v="Lunes"/>
    <x v="3"/>
    <x v="1"/>
    <x v="0"/>
    <x v="4"/>
    <x v="4"/>
    <x v="4"/>
    <n v="12500"/>
    <x v="78"/>
    <n v="59.8"/>
    <n v="204.6"/>
    <n v="414"/>
    <n v="1"/>
    <x v="1"/>
    <n v="68.150000000000006"/>
    <n v="32.200000000000003"/>
    <x v="1"/>
    <n v="4.87"/>
    <n v="5.452"/>
    <n v="35.950000000000003"/>
  </r>
  <r>
    <n v="466"/>
    <d v="2025-04-07T08:00:00"/>
    <x v="1"/>
    <s v="Lunes"/>
    <x v="3"/>
    <x v="1"/>
    <x v="0"/>
    <x v="5"/>
    <x v="5"/>
    <x v="5"/>
    <n v="8600"/>
    <x v="6"/>
    <n v="88.5"/>
    <n v="166.1"/>
    <n v="786"/>
    <n v="1"/>
    <x v="1"/>
    <n v="83.19"/>
    <n v="12.72"/>
    <x v="1"/>
    <n v="10.01"/>
    <n v="9.673"/>
    <n v="70.47"/>
  </r>
  <r>
    <n v="1570"/>
    <d v="2025-04-07T08:00:00"/>
    <x v="1"/>
    <s v="Lunes"/>
    <x v="3"/>
    <x v="1"/>
    <x v="0"/>
    <x v="0"/>
    <x v="0"/>
    <x v="0"/>
    <n v="26000"/>
    <x v="6"/>
    <n v="69.099999999999994"/>
    <n v="156.9"/>
    <n v="143"/>
    <n v="1"/>
    <x v="1"/>
    <n v="153.32"/>
    <n v="43.81"/>
    <x v="1"/>
    <n v="15.24"/>
    <n v="5.8970000000000002"/>
    <n v="109.51"/>
  </r>
  <r>
    <n v="835"/>
    <d v="2025-04-07T14:00:00"/>
    <x v="2"/>
    <s v="Lunes"/>
    <x v="3"/>
    <x v="1"/>
    <x v="0"/>
    <x v="1"/>
    <x v="1"/>
    <x v="1"/>
    <n v="21000"/>
    <x v="194"/>
    <m/>
    <n v="577.1"/>
    <n v="433"/>
    <n v="1"/>
    <x v="3"/>
    <n v="212.19"/>
    <n v="124.78"/>
    <x v="1"/>
    <n v="11.7"/>
    <n v="10.103999999999999"/>
    <n v="87.41"/>
  </r>
  <r>
    <n v="467"/>
    <d v="2025-04-07T14:00:00"/>
    <x v="2"/>
    <s v="Lunes"/>
    <x v="3"/>
    <x v="1"/>
    <x v="0"/>
    <x v="5"/>
    <x v="5"/>
    <x v="5"/>
    <n v="8600"/>
    <x v="71"/>
    <n v="95.9"/>
    <m/>
    <n v="827"/>
    <n v="0"/>
    <x v="0"/>
    <n v="85.86"/>
    <n v="26.44"/>
    <x v="1"/>
    <n v="8.35"/>
    <n v="9.984"/>
    <n v="59.42"/>
  </r>
  <r>
    <n v="99"/>
    <d v="2025-04-07T14:00:00"/>
    <x v="2"/>
    <s v="Lunes"/>
    <x v="3"/>
    <x v="1"/>
    <x v="0"/>
    <x v="4"/>
    <x v="4"/>
    <x v="4"/>
    <n v="12500"/>
    <x v="195"/>
    <n v="53.7"/>
    <n v="601.6"/>
    <n v="617"/>
    <n v="0"/>
    <x v="0"/>
    <n v="105.17"/>
    <n v="91.01"/>
    <x v="1"/>
    <n v="1.9"/>
    <n v="8.4139999999999997"/>
    <n v="14.16"/>
  </r>
  <r>
    <n v="1203"/>
    <d v="2025-04-07T14:00:00"/>
    <x v="2"/>
    <s v="Lunes"/>
    <x v="3"/>
    <x v="1"/>
    <x v="0"/>
    <x v="2"/>
    <x v="2"/>
    <x v="2"/>
    <n v="17400"/>
    <x v="187"/>
    <n v="67.8"/>
    <n v="743.3"/>
    <n v="1393"/>
    <n v="1"/>
    <x v="2"/>
    <n v="194.86"/>
    <n v="87.24"/>
    <x v="1"/>
    <n v="15.2"/>
    <n v="11.199"/>
    <n v="107.62"/>
  </r>
  <r>
    <n v="1939"/>
    <d v="2025-04-07T14:00:00"/>
    <x v="2"/>
    <s v="Lunes"/>
    <x v="3"/>
    <x v="1"/>
    <x v="0"/>
    <x v="3"/>
    <x v="3"/>
    <x v="3"/>
    <n v="9800"/>
    <x v="196"/>
    <n v="68.900000000000006"/>
    <n v="470.5"/>
    <n v="77"/>
    <n v="1"/>
    <x v="3"/>
    <n v="22.62"/>
    <n v="0"/>
    <x v="1"/>
    <n v="3.19"/>
    <n v="2.3079999999999998"/>
    <n v="22.62"/>
  </r>
  <r>
    <n v="1571"/>
    <d v="2025-04-07T14:00:00"/>
    <x v="2"/>
    <s v="Lunes"/>
    <x v="3"/>
    <x v="1"/>
    <x v="0"/>
    <x v="0"/>
    <x v="0"/>
    <x v="0"/>
    <n v="26000"/>
    <x v="115"/>
    <n v="74.3"/>
    <n v="523.20000000000005"/>
    <n v="156"/>
    <n v="0"/>
    <x v="0"/>
    <n v="149.61000000000001"/>
    <n v="135.26"/>
    <x v="1"/>
    <n v="2.0499999999999998"/>
    <n v="5.7539999999999996"/>
    <n v="14.35"/>
  </r>
  <r>
    <n v="1940"/>
    <d v="2025-04-07T20:00:00"/>
    <x v="3"/>
    <s v="Lunes"/>
    <x v="3"/>
    <x v="1"/>
    <x v="0"/>
    <x v="3"/>
    <x v="3"/>
    <x v="3"/>
    <n v="9800"/>
    <x v="116"/>
    <n v="91.7"/>
    <n v="0"/>
    <n v="306"/>
    <n v="0"/>
    <x v="0"/>
    <n v="97.28"/>
    <n v="0"/>
    <x v="2"/>
    <n v="20.16"/>
    <n v="9.9269999999999996"/>
    <n v="97.28"/>
  </r>
  <r>
    <n v="100"/>
    <d v="2025-04-07T20:00:00"/>
    <x v="3"/>
    <s v="Lunes"/>
    <x v="3"/>
    <x v="1"/>
    <x v="0"/>
    <x v="4"/>
    <x v="4"/>
    <x v="4"/>
    <n v="12500"/>
    <x v="101"/>
    <n v="62.8"/>
    <n v="0"/>
    <n v="99"/>
    <n v="1"/>
    <x v="2"/>
    <n v="42.51"/>
    <n v="0"/>
    <x v="2"/>
    <n v="9.09"/>
    <n v="3.4009999999999998"/>
    <n v="42.51"/>
  </r>
  <r>
    <n v="836"/>
    <d v="2025-04-07T20:00:00"/>
    <x v="3"/>
    <s v="Lunes"/>
    <x v="3"/>
    <x v="1"/>
    <x v="0"/>
    <x v="1"/>
    <x v="1"/>
    <x v="1"/>
    <n v="21000"/>
    <x v="166"/>
    <n v="68.3"/>
    <n v="0"/>
    <n v="407"/>
    <n v="0"/>
    <x v="0"/>
    <n v="300.74"/>
    <n v="0"/>
    <x v="2"/>
    <n v="63.76"/>
    <n v="14.321"/>
    <n v="300.74"/>
  </r>
  <r>
    <n v="1572"/>
    <d v="2025-04-07T20:00:00"/>
    <x v="3"/>
    <s v="Lunes"/>
    <x v="3"/>
    <x v="1"/>
    <x v="0"/>
    <x v="0"/>
    <x v="0"/>
    <x v="0"/>
    <n v="26000"/>
    <x v="197"/>
    <n v="61"/>
    <n v="0"/>
    <n v="157"/>
    <n v="0"/>
    <x v="0"/>
    <n v="247.89"/>
    <n v="0"/>
    <x v="2"/>
    <n v="52.48"/>
    <n v="9.5340000000000007"/>
    <n v="247.89"/>
  </r>
  <r>
    <n v="468"/>
    <d v="2025-04-07T20:00:00"/>
    <x v="3"/>
    <s v="Lunes"/>
    <x v="3"/>
    <x v="1"/>
    <x v="0"/>
    <x v="5"/>
    <x v="5"/>
    <x v="5"/>
    <n v="8600"/>
    <x v="148"/>
    <m/>
    <n v="0"/>
    <n v="107"/>
    <n v="1"/>
    <x v="1"/>
    <n v="25.45"/>
    <n v="0"/>
    <x v="2"/>
    <n v="5.54"/>
    <n v="2.9590000000000001"/>
    <n v="25.45"/>
  </r>
  <r>
    <n v="1204"/>
    <d v="2025-04-07T20:00:00"/>
    <x v="3"/>
    <s v="Lunes"/>
    <x v="3"/>
    <x v="1"/>
    <x v="0"/>
    <x v="2"/>
    <x v="2"/>
    <x v="2"/>
    <n v="17400"/>
    <x v="164"/>
    <n v="76.7"/>
    <n v="0"/>
    <n v="1363"/>
    <n v="0"/>
    <x v="0"/>
    <n v="290.77999999999997"/>
    <n v="0"/>
    <x v="2"/>
    <n v="62.75"/>
    <n v="16.710999999999999"/>
    <n v="290.77999999999997"/>
  </r>
  <r>
    <n v="1941"/>
    <d v="2025-04-11T00:00:00"/>
    <x v="0"/>
    <s v="Viernes"/>
    <x v="3"/>
    <x v="1"/>
    <x v="0"/>
    <x v="3"/>
    <x v="3"/>
    <x v="3"/>
    <n v="9800"/>
    <x v="96"/>
    <n v="92.6"/>
    <n v="0"/>
    <n v="300"/>
    <n v="1"/>
    <x v="1"/>
    <n v="100.21"/>
    <n v="0"/>
    <x v="0"/>
    <n v="8.51"/>
    <n v="10.226000000000001"/>
    <n v="100.21"/>
  </r>
  <r>
    <n v="1573"/>
    <d v="2025-04-11T00:00:00"/>
    <x v="0"/>
    <s v="Viernes"/>
    <x v="3"/>
    <x v="1"/>
    <x v="0"/>
    <x v="0"/>
    <x v="0"/>
    <x v="0"/>
    <n v="26000"/>
    <x v="137"/>
    <n v="71.5"/>
    <n v="0"/>
    <n v="76"/>
    <n v="1"/>
    <x v="1"/>
    <n v="114.66"/>
    <n v="0"/>
    <x v="0"/>
    <n v="9.84"/>
    <n v="4.41"/>
    <n v="114.66"/>
  </r>
  <r>
    <n v="469"/>
    <d v="2025-04-11T00:00:00"/>
    <x v="0"/>
    <s v="Viernes"/>
    <x v="3"/>
    <x v="1"/>
    <x v="0"/>
    <x v="5"/>
    <x v="5"/>
    <x v="5"/>
    <n v="8600"/>
    <x v="157"/>
    <n v="86.2"/>
    <n v="0"/>
    <m/>
    <n v="1"/>
    <x v="1"/>
    <n v="23.28"/>
    <n v="0"/>
    <x v="0"/>
    <n v="2.0299999999999998"/>
    <n v="2.7069999999999999"/>
    <n v="23.28"/>
  </r>
  <r>
    <n v="1205"/>
    <d v="2025-04-11T00:00:00"/>
    <x v="0"/>
    <s v="Viernes"/>
    <x v="3"/>
    <x v="1"/>
    <x v="0"/>
    <x v="2"/>
    <x v="2"/>
    <x v="2"/>
    <n v="17400"/>
    <x v="88"/>
    <n v="74.900000000000006"/>
    <n v="0"/>
    <n v="0"/>
    <n v="0"/>
    <x v="0"/>
    <n v="43.82"/>
    <n v="0"/>
    <x v="0"/>
    <n v="3.79"/>
    <n v="2.5179999999999998"/>
    <n v="43.82"/>
  </r>
  <r>
    <n v="101"/>
    <d v="2025-04-11T00:00:00"/>
    <x v="0"/>
    <s v="Viernes"/>
    <x v="3"/>
    <x v="1"/>
    <x v="0"/>
    <x v="4"/>
    <x v="4"/>
    <x v="4"/>
    <n v="12500"/>
    <x v="12"/>
    <n v="73.599999999999994"/>
    <n v="0"/>
    <n v="9"/>
    <n v="0"/>
    <x v="0"/>
    <n v="23.65"/>
    <n v="0"/>
    <x v="0"/>
    <n v="2.0099999999999998"/>
    <n v="1.8919999999999999"/>
    <n v="23.65"/>
  </r>
  <r>
    <n v="837"/>
    <d v="2025-04-11T00:00:00"/>
    <x v="0"/>
    <s v="Viernes"/>
    <x v="3"/>
    <x v="1"/>
    <x v="0"/>
    <x v="1"/>
    <x v="1"/>
    <x v="1"/>
    <n v="21000"/>
    <x v="131"/>
    <n v="66.7"/>
    <n v="0"/>
    <n v="196"/>
    <n v="1"/>
    <x v="2"/>
    <n v="175.54"/>
    <n v="0"/>
    <x v="0"/>
    <n v="14.76"/>
    <n v="8.359"/>
    <n v="175.54"/>
  </r>
  <r>
    <n v="102"/>
    <d v="2025-04-11T08:00:00"/>
    <x v="1"/>
    <s v="Viernes"/>
    <x v="3"/>
    <x v="1"/>
    <x v="0"/>
    <x v="4"/>
    <x v="4"/>
    <x v="4"/>
    <n v="12500"/>
    <x v="97"/>
    <n v="57.3"/>
    <n v="248.4"/>
    <n v="279"/>
    <n v="0"/>
    <x v="0"/>
    <n v="66.09"/>
    <n v="35.26"/>
    <x v="1"/>
    <n v="4.2"/>
    <n v="5.2869999999999999"/>
    <n v="30.83"/>
  </r>
  <r>
    <n v="1942"/>
    <d v="2025-04-11T08:00:00"/>
    <x v="1"/>
    <s v="Viernes"/>
    <x v="3"/>
    <x v="1"/>
    <x v="0"/>
    <x v="3"/>
    <x v="3"/>
    <x v="3"/>
    <n v="9800"/>
    <x v="71"/>
    <n v="87.2"/>
    <n v="170.3"/>
    <m/>
    <n v="0"/>
    <x v="0"/>
    <n v="17.89"/>
    <n v="0"/>
    <x v="1"/>
    <n v="2.44"/>
    <n v="1.8260000000000001"/>
    <n v="17.89"/>
  </r>
  <r>
    <n v="838"/>
    <d v="2025-04-11T08:00:00"/>
    <x v="1"/>
    <s v="Viernes"/>
    <x v="3"/>
    <x v="1"/>
    <x v="0"/>
    <x v="1"/>
    <x v="1"/>
    <x v="1"/>
    <n v="21000"/>
    <x v="35"/>
    <n v="71.3"/>
    <n v="160.69999999999999"/>
    <n v="452"/>
    <n v="1"/>
    <x v="1"/>
    <n v="194.91"/>
    <n v="33.08"/>
    <x v="1"/>
    <n v="21.86"/>
    <n v="9.2810000000000006"/>
    <n v="161.83000000000001"/>
  </r>
  <r>
    <n v="1574"/>
    <d v="2025-04-11T08:00:00"/>
    <x v="1"/>
    <s v="Viernes"/>
    <x v="3"/>
    <x v="1"/>
    <x v="0"/>
    <x v="0"/>
    <x v="0"/>
    <x v="0"/>
    <n v="26000"/>
    <x v="148"/>
    <n v="59.4"/>
    <n v="192"/>
    <n v="175"/>
    <n v="1"/>
    <x v="1"/>
    <n v="159.22999999999999"/>
    <n v="52.07"/>
    <x v="1"/>
    <n v="14.8"/>
    <n v="6.1239999999999997"/>
    <n v="107.16"/>
  </r>
  <r>
    <n v="470"/>
    <d v="2025-04-11T08:00:00"/>
    <x v="1"/>
    <s v="Viernes"/>
    <x v="3"/>
    <x v="1"/>
    <x v="0"/>
    <x v="5"/>
    <x v="5"/>
    <x v="5"/>
    <n v="8600"/>
    <x v="143"/>
    <n v="98.1"/>
    <n v="139.69999999999999"/>
    <n v="777"/>
    <n v="1"/>
    <x v="1"/>
    <n v="86.32"/>
    <n v="10.94"/>
    <x v="1"/>
    <n v="10.33"/>
    <n v="10.037000000000001"/>
    <n v="75.38"/>
  </r>
  <r>
    <n v="1206"/>
    <d v="2025-04-11T08:00:00"/>
    <x v="1"/>
    <s v="Viernes"/>
    <x v="3"/>
    <x v="1"/>
    <x v="0"/>
    <x v="2"/>
    <x v="2"/>
    <x v="2"/>
    <n v="17400"/>
    <x v="124"/>
    <n v="77.5"/>
    <n v="224.6"/>
    <n v="23"/>
    <n v="0"/>
    <x v="0"/>
    <n v="33.659999999999997"/>
    <n v="27.98"/>
    <x v="1"/>
    <n v="0.77"/>
    <n v="1.9339999999999999"/>
    <n v="5.68"/>
  </r>
  <r>
    <n v="103"/>
    <d v="2025-04-11T14:00:00"/>
    <x v="2"/>
    <s v="Viernes"/>
    <x v="3"/>
    <x v="1"/>
    <x v="0"/>
    <x v="4"/>
    <x v="4"/>
    <x v="4"/>
    <n v="12500"/>
    <x v="180"/>
    <n v="58.8"/>
    <n v="611.9"/>
    <n v="559"/>
    <n v="0"/>
    <x v="0"/>
    <n v="93.67"/>
    <n v="92.35"/>
    <x v="1"/>
    <n v="0.18"/>
    <n v="7.4939999999999998"/>
    <n v="1.32"/>
  </r>
  <r>
    <n v="471"/>
    <d v="2025-04-11T14:00:00"/>
    <x v="2"/>
    <s v="Viernes"/>
    <x v="3"/>
    <x v="1"/>
    <x v="0"/>
    <x v="5"/>
    <x v="5"/>
    <x v="5"/>
    <n v="8600"/>
    <x v="130"/>
    <n v="82"/>
    <n v="404.9"/>
    <n v="810"/>
    <n v="0"/>
    <x v="0"/>
    <n v="76.44"/>
    <n v="29.6"/>
    <x v="1"/>
    <n v="6.47"/>
    <n v="8.8879999999999999"/>
    <n v="46.84"/>
  </r>
  <r>
    <n v="1575"/>
    <d v="2025-04-11T14:00:00"/>
    <x v="2"/>
    <s v="Viernes"/>
    <x v="3"/>
    <x v="1"/>
    <x v="0"/>
    <x v="0"/>
    <x v="0"/>
    <x v="0"/>
    <n v="26000"/>
    <x v="198"/>
    <n v="68.900000000000006"/>
    <n v="466.8"/>
    <n v="158"/>
    <n v="0"/>
    <x v="0"/>
    <n v="149.69"/>
    <n v="116.9"/>
    <x v="1"/>
    <n v="4.5"/>
    <n v="5.7569999999999997"/>
    <n v="32.79"/>
  </r>
  <r>
    <n v="839"/>
    <d v="2025-04-11T14:00:00"/>
    <x v="2"/>
    <s v="Viernes"/>
    <x v="3"/>
    <x v="1"/>
    <x v="0"/>
    <x v="1"/>
    <x v="1"/>
    <x v="1"/>
    <n v="21000"/>
    <x v="199"/>
    <n v="62.9"/>
    <n v="637.5"/>
    <n v="452"/>
    <n v="0"/>
    <x v="0"/>
    <n v="200.65"/>
    <n v="130.53"/>
    <x v="1"/>
    <n v="9.4499999999999993"/>
    <n v="9.5549999999999997"/>
    <n v="70.12"/>
  </r>
  <r>
    <n v="1207"/>
    <d v="2025-04-11T14:00:00"/>
    <x v="2"/>
    <s v="Viernes"/>
    <x v="3"/>
    <x v="1"/>
    <x v="0"/>
    <x v="2"/>
    <x v="2"/>
    <x v="2"/>
    <n v="17400"/>
    <x v="195"/>
    <n v="80.400000000000006"/>
    <n v="459.4"/>
    <n v="1254"/>
    <n v="0"/>
    <x v="0"/>
    <n v="196.33"/>
    <n v="54.23"/>
    <x v="1"/>
    <n v="19.100000000000001"/>
    <n v="11.282999999999999"/>
    <n v="142.1"/>
  </r>
  <r>
    <n v="1943"/>
    <d v="2025-04-11T14:00:00"/>
    <x v="2"/>
    <s v="Viernes"/>
    <x v="3"/>
    <x v="1"/>
    <x v="0"/>
    <x v="3"/>
    <x v="3"/>
    <x v="3"/>
    <n v="9800"/>
    <x v="71"/>
    <n v="67.099999999999994"/>
    <n v="622.9"/>
    <n v="57"/>
    <n v="0"/>
    <x v="0"/>
    <n v="16.88"/>
    <n v="0"/>
    <x v="1"/>
    <n v="2.2799999999999998"/>
    <n v="1.722"/>
    <n v="16.88"/>
  </r>
  <r>
    <n v="1576"/>
    <d v="2025-04-11T20:00:00"/>
    <x v="3"/>
    <s v="Viernes"/>
    <x v="3"/>
    <x v="1"/>
    <x v="0"/>
    <x v="0"/>
    <x v="0"/>
    <x v="0"/>
    <n v="26000"/>
    <x v="147"/>
    <n v="73"/>
    <n v="0"/>
    <n v="161"/>
    <n v="0"/>
    <x v="0"/>
    <n v="239.76"/>
    <n v="0"/>
    <x v="2"/>
    <n v="49.25"/>
    <n v="9.2219999999999995"/>
    <n v="239.76"/>
  </r>
  <r>
    <n v="1944"/>
    <d v="2025-04-11T20:00:00"/>
    <x v="3"/>
    <s v="Viernes"/>
    <x v="3"/>
    <x v="1"/>
    <x v="0"/>
    <x v="3"/>
    <x v="3"/>
    <x v="3"/>
    <n v="9800"/>
    <x v="106"/>
    <n v="84.6"/>
    <n v="0"/>
    <n v="321"/>
    <n v="0"/>
    <x v="0"/>
    <n v="92.45"/>
    <n v="0"/>
    <x v="2"/>
    <n v="19.22"/>
    <n v="9.4339999999999993"/>
    <n v="92.45"/>
  </r>
  <r>
    <n v="104"/>
    <d v="2025-04-11T20:00:00"/>
    <x v="3"/>
    <s v="Viernes"/>
    <x v="3"/>
    <x v="1"/>
    <x v="0"/>
    <x v="4"/>
    <x v="4"/>
    <x v="4"/>
    <n v="12500"/>
    <x v="15"/>
    <n v="68"/>
    <n v="0"/>
    <n v="63"/>
    <n v="1"/>
    <x v="2"/>
    <n v="39.42"/>
    <n v="0"/>
    <x v="2"/>
    <n v="8.44"/>
    <n v="3.1539999999999999"/>
    <n v="39.42"/>
  </r>
  <r>
    <n v="472"/>
    <d v="2025-04-11T20:00:00"/>
    <x v="3"/>
    <s v="Viernes"/>
    <x v="3"/>
    <x v="1"/>
    <x v="0"/>
    <x v="5"/>
    <x v="5"/>
    <x v="5"/>
    <n v="8600"/>
    <x v="107"/>
    <n v="90.1"/>
    <n v="0"/>
    <n v="191"/>
    <n v="1"/>
    <x v="1"/>
    <n v="31.17"/>
    <n v="0"/>
    <x v="2"/>
    <n v="6.63"/>
    <n v="3.6240000000000001"/>
    <n v="31.17"/>
  </r>
  <r>
    <n v="840"/>
    <d v="2025-04-11T20:00:00"/>
    <x v="3"/>
    <s v="Viernes"/>
    <x v="3"/>
    <x v="1"/>
    <x v="0"/>
    <x v="1"/>
    <x v="1"/>
    <x v="1"/>
    <n v="21000"/>
    <x v="200"/>
    <n v="52.7"/>
    <n v="0"/>
    <n v="443"/>
    <n v="0"/>
    <x v="0"/>
    <n v="285.81"/>
    <n v="0"/>
    <x v="2"/>
    <n v="59.85"/>
    <n v="13.61"/>
    <n v="285.81"/>
  </r>
  <r>
    <n v="1208"/>
    <d v="2025-04-11T20:00:00"/>
    <x v="3"/>
    <s v="Viernes"/>
    <x v="3"/>
    <x v="1"/>
    <x v="0"/>
    <x v="2"/>
    <x v="2"/>
    <x v="2"/>
    <n v="17400"/>
    <x v="159"/>
    <m/>
    <n v="0"/>
    <n v="1183"/>
    <n v="0"/>
    <x v="0"/>
    <n v="274.48"/>
    <n v="0"/>
    <x v="2"/>
    <n v="56.68"/>
    <n v="15.775"/>
    <n v="274.48"/>
  </r>
  <r>
    <n v="841"/>
    <d v="2025-04-15T00:00:00"/>
    <x v="0"/>
    <s v="Martes"/>
    <x v="3"/>
    <x v="1"/>
    <x v="0"/>
    <x v="1"/>
    <x v="1"/>
    <x v="1"/>
    <n v="21000"/>
    <x v="32"/>
    <n v="65.400000000000006"/>
    <n v="0"/>
    <n v="204"/>
    <n v="1"/>
    <x v="1"/>
    <n v="179.32"/>
    <n v="0"/>
    <x v="0"/>
    <n v="15.03"/>
    <n v="8.5389999999999997"/>
    <n v="179.32"/>
  </r>
  <r>
    <n v="1945"/>
    <d v="2025-04-15T00:00:00"/>
    <x v="0"/>
    <s v="Martes"/>
    <x v="3"/>
    <x v="1"/>
    <x v="0"/>
    <x v="3"/>
    <x v="3"/>
    <x v="3"/>
    <n v="9800"/>
    <x v="168"/>
    <n v="78.900000000000006"/>
    <n v="0"/>
    <n v="317"/>
    <n v="1"/>
    <x v="1"/>
    <n v="99.41"/>
    <n v="0"/>
    <x v="0"/>
    <n v="8.5399999999999991"/>
    <n v="10.144"/>
    <n v="99.41"/>
  </r>
  <r>
    <n v="1577"/>
    <d v="2025-04-15T00:00:00"/>
    <x v="0"/>
    <s v="Martes"/>
    <x v="3"/>
    <x v="1"/>
    <x v="0"/>
    <x v="0"/>
    <x v="0"/>
    <x v="0"/>
    <n v="26000"/>
    <x v="54"/>
    <n v="53.2"/>
    <n v="0"/>
    <n v="46"/>
    <n v="1"/>
    <x v="1"/>
    <n v="124.06"/>
    <n v="0"/>
    <x v="0"/>
    <n v="10.53"/>
    <n v="4.7720000000000002"/>
    <n v="124.06"/>
  </r>
  <r>
    <n v="473"/>
    <d v="2025-04-15T00:00:00"/>
    <x v="0"/>
    <s v="Martes"/>
    <x v="3"/>
    <x v="1"/>
    <x v="0"/>
    <x v="5"/>
    <x v="5"/>
    <x v="5"/>
    <n v="8600"/>
    <x v="52"/>
    <n v="94"/>
    <n v="0"/>
    <n v="84"/>
    <n v="1"/>
    <x v="1"/>
    <n v="24.79"/>
    <n v="0"/>
    <x v="0"/>
    <n v="2.17"/>
    <n v="2.883"/>
    <n v="24.79"/>
  </r>
  <r>
    <n v="105"/>
    <d v="2025-04-15T00:00:00"/>
    <x v="0"/>
    <s v="Martes"/>
    <x v="3"/>
    <x v="1"/>
    <x v="0"/>
    <x v="4"/>
    <x v="4"/>
    <x v="4"/>
    <n v="12500"/>
    <x v="69"/>
    <n v="64.8"/>
    <n v="0"/>
    <n v="3"/>
    <n v="0"/>
    <x v="0"/>
    <n v="23.33"/>
    <n v="0"/>
    <x v="0"/>
    <n v="1.99"/>
    <n v="1.8660000000000001"/>
    <n v="23.33"/>
  </r>
  <r>
    <n v="1209"/>
    <d v="2025-04-15T00:00:00"/>
    <x v="0"/>
    <s v="Martes"/>
    <x v="3"/>
    <x v="1"/>
    <x v="0"/>
    <x v="2"/>
    <x v="2"/>
    <x v="2"/>
    <n v="17400"/>
    <x v="55"/>
    <n v="87.4"/>
    <n v="0"/>
    <n v="0"/>
    <n v="0"/>
    <x v="0"/>
    <n v="44.89"/>
    <n v="0"/>
    <x v="0"/>
    <n v="3.92"/>
    <n v="2.58"/>
    <n v="44.89"/>
  </r>
  <r>
    <n v="842"/>
    <d v="2025-04-15T08:00:00"/>
    <x v="1"/>
    <s v="Martes"/>
    <x v="3"/>
    <x v="1"/>
    <x v="0"/>
    <x v="1"/>
    <x v="1"/>
    <x v="1"/>
    <n v="21000"/>
    <x v="53"/>
    <n v="64.3"/>
    <n v="244.7"/>
    <n v="450"/>
    <n v="0"/>
    <x v="0"/>
    <n v="186.35"/>
    <n v="49.08"/>
    <x v="1"/>
    <n v="18.739999999999998"/>
    <n v="8.8740000000000006"/>
    <n v="137.27000000000001"/>
  </r>
  <r>
    <n v="1946"/>
    <d v="2025-04-15T08:00:00"/>
    <x v="1"/>
    <s v="Martes"/>
    <x v="3"/>
    <x v="1"/>
    <x v="0"/>
    <x v="3"/>
    <x v="3"/>
    <x v="3"/>
    <n v="9800"/>
    <x v="173"/>
    <n v="82.7"/>
    <n v="205.5"/>
    <n v="84"/>
    <n v="1"/>
    <x v="1"/>
    <n v="19.010000000000002"/>
    <n v="0"/>
    <x v="1"/>
    <n v="2.63"/>
    <n v="1.94"/>
    <n v="19.010000000000002"/>
  </r>
  <r>
    <n v="106"/>
    <d v="2025-04-15T08:00:00"/>
    <x v="1"/>
    <s v="Martes"/>
    <x v="3"/>
    <x v="1"/>
    <x v="0"/>
    <x v="4"/>
    <x v="4"/>
    <x v="4"/>
    <n v="12500"/>
    <x v="16"/>
    <n v="55.5"/>
    <n v="233.4"/>
    <n v="381"/>
    <n v="1"/>
    <x v="1"/>
    <n v="65.31"/>
    <n v="34.61"/>
    <x v="1"/>
    <n v="4.17"/>
    <n v="5.2249999999999996"/>
    <n v="30.7"/>
  </r>
  <r>
    <n v="474"/>
    <d v="2025-04-15T08:00:00"/>
    <x v="1"/>
    <s v="Martes"/>
    <x v="3"/>
    <x v="1"/>
    <x v="0"/>
    <x v="5"/>
    <x v="5"/>
    <x v="5"/>
    <n v="8600"/>
    <x v="136"/>
    <n v="92.5"/>
    <n v="79.900000000000006"/>
    <n v="717"/>
    <n v="1"/>
    <x v="2"/>
    <n v="106.17"/>
    <n v="6.22"/>
    <x v="1"/>
    <n v="13.77"/>
    <n v="12.345000000000001"/>
    <n v="99.95"/>
  </r>
  <r>
    <n v="1210"/>
    <d v="2025-04-15T08:00:00"/>
    <x v="1"/>
    <s v="Martes"/>
    <x v="3"/>
    <x v="1"/>
    <x v="0"/>
    <x v="2"/>
    <x v="2"/>
    <x v="2"/>
    <n v="17400"/>
    <x v="135"/>
    <n v="67.5"/>
    <n v="213.4"/>
    <n v="30"/>
    <n v="0"/>
    <x v="0"/>
    <n v="36.840000000000003"/>
    <n v="28.11"/>
    <x v="1"/>
    <n v="1.25"/>
    <n v="2.117"/>
    <n v="8.73"/>
  </r>
  <r>
    <n v="1578"/>
    <d v="2025-04-15T08:00:00"/>
    <x v="1"/>
    <s v="Martes"/>
    <x v="3"/>
    <x v="1"/>
    <x v="0"/>
    <x v="0"/>
    <x v="0"/>
    <x v="0"/>
    <n v="26000"/>
    <x v="43"/>
    <n v="69.8"/>
    <n v="248.1"/>
    <n v="183"/>
    <n v="1"/>
    <x v="1"/>
    <n v="158"/>
    <n v="70.12"/>
    <x v="1"/>
    <n v="12.13"/>
    <n v="6.077"/>
    <n v="87.88"/>
  </r>
  <r>
    <n v="1211"/>
    <d v="2025-04-15T14:00:00"/>
    <x v="2"/>
    <s v="Martes"/>
    <x v="3"/>
    <x v="1"/>
    <x v="0"/>
    <x v="2"/>
    <x v="2"/>
    <x v="2"/>
    <n v="17400"/>
    <x v="201"/>
    <n v="63.9"/>
    <n v="692.9"/>
    <n v="1346"/>
    <n v="1"/>
    <x v="2"/>
    <n v="202.71"/>
    <n v="82.72"/>
    <x v="1"/>
    <n v="16.690000000000001"/>
    <n v="11.65"/>
    <n v="119.99"/>
  </r>
  <r>
    <n v="843"/>
    <d v="2025-04-15T14:00:00"/>
    <x v="2"/>
    <s v="Martes"/>
    <x v="3"/>
    <x v="1"/>
    <x v="0"/>
    <x v="1"/>
    <x v="1"/>
    <x v="1"/>
    <n v="21000"/>
    <x v="202"/>
    <n v="47.4"/>
    <n v="695"/>
    <n v="413"/>
    <n v="1"/>
    <x v="3"/>
    <n v="197.13"/>
    <n v="144.06"/>
    <x v="1"/>
    <n v="7.24"/>
    <n v="9.3870000000000005"/>
    <n v="53.07"/>
  </r>
  <r>
    <n v="107"/>
    <d v="2025-04-15T14:00:00"/>
    <x v="2"/>
    <s v="Martes"/>
    <x v="3"/>
    <x v="1"/>
    <x v="0"/>
    <x v="4"/>
    <x v="4"/>
    <x v="4"/>
    <n v="12500"/>
    <x v="203"/>
    <n v="53"/>
    <n v="580.79999999999995"/>
    <n v="554"/>
    <n v="1"/>
    <x v="3"/>
    <n v="115.51"/>
    <n v="80.89"/>
    <x v="1"/>
    <n v="4.63"/>
    <n v="9.2409999999999997"/>
    <n v="34.619999999999997"/>
  </r>
  <r>
    <n v="1579"/>
    <d v="2025-04-15T14:00:00"/>
    <x v="2"/>
    <s v="Martes"/>
    <x v="3"/>
    <x v="1"/>
    <x v="0"/>
    <x v="0"/>
    <x v="0"/>
    <x v="0"/>
    <n v="26000"/>
    <x v="192"/>
    <n v="50.7"/>
    <n v="608"/>
    <n v="165"/>
    <n v="0"/>
    <x v="0"/>
    <m/>
    <n v="152.03"/>
    <x v="1"/>
    <n v="-0.05"/>
    <m/>
    <m/>
  </r>
  <r>
    <n v="475"/>
    <d v="2025-04-15T14:00:00"/>
    <x v="2"/>
    <s v="Martes"/>
    <x v="3"/>
    <x v="1"/>
    <x v="0"/>
    <x v="5"/>
    <x v="5"/>
    <x v="5"/>
    <n v="8600"/>
    <x v="144"/>
    <n v="76.400000000000006"/>
    <n v="469.4"/>
    <n v="819"/>
    <n v="0"/>
    <x v="0"/>
    <n v="77.459999999999994"/>
    <n v="35.32"/>
    <x v="1"/>
    <n v="5.96"/>
    <n v="9.0069999999999997"/>
    <n v="42.14"/>
  </r>
  <r>
    <n v="1947"/>
    <d v="2025-04-15T14:00:00"/>
    <x v="2"/>
    <s v="Martes"/>
    <x v="3"/>
    <x v="1"/>
    <x v="0"/>
    <x v="3"/>
    <x v="3"/>
    <x v="3"/>
    <n v="9800"/>
    <x v="204"/>
    <n v="72.2"/>
    <n v="479.6"/>
    <n v="73"/>
    <n v="0"/>
    <x v="0"/>
    <n v="17.79"/>
    <n v="0"/>
    <x v="1"/>
    <n v="2.48"/>
    <n v="1.8149999999999999"/>
    <n v="17.79"/>
  </r>
  <r>
    <n v="844"/>
    <d v="2025-04-15T20:00:00"/>
    <x v="3"/>
    <s v="Martes"/>
    <x v="3"/>
    <x v="1"/>
    <x v="0"/>
    <x v="1"/>
    <x v="1"/>
    <x v="1"/>
    <n v="21000"/>
    <x v="205"/>
    <n v="47.5"/>
    <n v="0"/>
    <n v="410"/>
    <n v="0"/>
    <x v="0"/>
    <n v="264.92"/>
    <n v="0"/>
    <x v="2"/>
    <n v="54.47"/>
    <n v="12.615"/>
    <n v="264.92"/>
  </r>
  <r>
    <n v="1580"/>
    <d v="2025-04-15T20:00:00"/>
    <x v="3"/>
    <s v="Martes"/>
    <x v="3"/>
    <x v="1"/>
    <x v="0"/>
    <x v="0"/>
    <x v="0"/>
    <x v="0"/>
    <n v="26000"/>
    <x v="153"/>
    <n v="81.8"/>
    <n v="0"/>
    <n v="171"/>
    <n v="1"/>
    <x v="2"/>
    <n v="246.01"/>
    <n v="0"/>
    <x v="2"/>
    <n v="53.63"/>
    <n v="9.4619999999999997"/>
    <n v="246.01"/>
  </r>
  <r>
    <n v="1212"/>
    <d v="2025-04-15T20:00:00"/>
    <x v="3"/>
    <s v="Martes"/>
    <x v="3"/>
    <x v="1"/>
    <x v="0"/>
    <x v="2"/>
    <x v="2"/>
    <x v="2"/>
    <n v="17400"/>
    <x v="197"/>
    <n v="70.900000000000006"/>
    <n v="0"/>
    <n v="1319"/>
    <n v="0"/>
    <x v="0"/>
    <n v="273.75"/>
    <n v="0"/>
    <x v="2"/>
    <n v="58.53"/>
    <n v="15.733000000000001"/>
    <n v="273.75"/>
  </r>
  <r>
    <n v="108"/>
    <d v="2025-04-15T20:00:00"/>
    <x v="3"/>
    <s v="Martes"/>
    <x v="3"/>
    <x v="1"/>
    <x v="0"/>
    <x v="4"/>
    <x v="4"/>
    <x v="4"/>
    <n v="12500"/>
    <x v="55"/>
    <n v="62.8"/>
    <n v="0"/>
    <n v="93"/>
    <n v="1"/>
    <x v="2"/>
    <n v="37.979999999999997"/>
    <n v="0"/>
    <x v="2"/>
    <n v="8.06"/>
    <n v="3.0379999999999998"/>
    <n v="37.979999999999997"/>
  </r>
  <r>
    <n v="1948"/>
    <d v="2025-04-15T20:00:00"/>
    <x v="3"/>
    <s v="Martes"/>
    <x v="3"/>
    <x v="1"/>
    <x v="0"/>
    <x v="3"/>
    <x v="3"/>
    <x v="3"/>
    <n v="9800"/>
    <x v="20"/>
    <n v="75.900000000000006"/>
    <n v="0"/>
    <n v="276"/>
    <n v="1"/>
    <x v="1"/>
    <n v="92.86"/>
    <n v="0"/>
    <x v="2"/>
    <n v="19"/>
    <n v="9.4760000000000009"/>
    <n v="92.86"/>
  </r>
  <r>
    <n v="476"/>
    <d v="2025-04-15T20:00:00"/>
    <x v="3"/>
    <s v="Martes"/>
    <x v="3"/>
    <x v="1"/>
    <x v="0"/>
    <x v="5"/>
    <x v="5"/>
    <x v="5"/>
    <n v="8600"/>
    <x v="153"/>
    <n v="80.099999999999994"/>
    <n v="0"/>
    <n v="52"/>
    <n v="1"/>
    <x v="2"/>
    <n v="20.94"/>
    <n v="0"/>
    <x v="2"/>
    <n v="4.42"/>
    <n v="2.4350000000000001"/>
    <n v="20.94"/>
  </r>
  <r>
    <n v="109"/>
    <d v="2025-04-19T00:00:00"/>
    <x v="0"/>
    <s v="Sabado"/>
    <x v="3"/>
    <x v="1"/>
    <x v="1"/>
    <x v="4"/>
    <x v="4"/>
    <x v="4"/>
    <n v="12500"/>
    <x v="40"/>
    <n v="64.400000000000006"/>
    <n v="0"/>
    <m/>
    <n v="0"/>
    <x v="0"/>
    <n v="23.23"/>
    <n v="0"/>
    <x v="0"/>
    <n v="2.0299999999999998"/>
    <n v="1.8580000000000001"/>
    <n v="23.23"/>
  </r>
  <r>
    <n v="1213"/>
    <d v="2025-04-19T00:00:00"/>
    <x v="0"/>
    <s v="Sabado"/>
    <x v="3"/>
    <x v="1"/>
    <x v="1"/>
    <x v="2"/>
    <x v="2"/>
    <x v="2"/>
    <n v="17400"/>
    <x v="179"/>
    <n v="76.099999999999994"/>
    <n v="0"/>
    <n v="76"/>
    <n v="0"/>
    <x v="0"/>
    <n v="52.78"/>
    <n v="0"/>
    <x v="0"/>
    <n v="4.4800000000000004"/>
    <n v="3.0329999999999999"/>
    <n v="52.78"/>
  </r>
  <r>
    <n v="845"/>
    <d v="2025-04-19T00:00:00"/>
    <x v="0"/>
    <s v="Sabado"/>
    <x v="3"/>
    <x v="1"/>
    <x v="1"/>
    <x v="1"/>
    <x v="1"/>
    <x v="1"/>
    <n v="21000"/>
    <x v="188"/>
    <n v="68.2"/>
    <n v="0"/>
    <n v="225"/>
    <n v="0"/>
    <x v="0"/>
    <n v="173.12"/>
    <n v="0"/>
    <x v="0"/>
    <n v="14.87"/>
    <n v="8.2439999999999998"/>
    <n v="173.12"/>
  </r>
  <r>
    <n v="477"/>
    <d v="2025-04-19T00:00:00"/>
    <x v="0"/>
    <s v="Sabado"/>
    <x v="3"/>
    <x v="1"/>
    <x v="1"/>
    <x v="5"/>
    <x v="5"/>
    <x v="5"/>
    <n v="8600"/>
    <x v="96"/>
    <n v="85.5"/>
    <n v="0"/>
    <n v="0"/>
    <n v="0"/>
    <x v="0"/>
    <n v="12.76"/>
    <n v="0"/>
    <x v="0"/>
    <n v="1.08"/>
    <n v="1.484"/>
    <n v="12.76"/>
  </r>
  <r>
    <n v="1949"/>
    <d v="2025-04-19T00:00:00"/>
    <x v="0"/>
    <s v="Sabado"/>
    <x v="3"/>
    <x v="1"/>
    <x v="1"/>
    <x v="3"/>
    <x v="3"/>
    <x v="3"/>
    <n v="9800"/>
    <x v="123"/>
    <n v="65.2"/>
    <n v="0"/>
    <n v="317"/>
    <n v="1"/>
    <x v="1"/>
    <n v="98.51"/>
    <n v="0"/>
    <x v="0"/>
    <n v="8.42"/>
    <n v="10.052"/>
    <n v="98.51"/>
  </r>
  <r>
    <n v="1581"/>
    <d v="2025-04-19T00:00:00"/>
    <x v="0"/>
    <s v="Sabado"/>
    <x v="3"/>
    <x v="1"/>
    <x v="1"/>
    <x v="0"/>
    <x v="0"/>
    <x v="0"/>
    <n v="26000"/>
    <x v="142"/>
    <n v="73.2"/>
    <n v="0"/>
    <n v="20"/>
    <n v="1"/>
    <x v="1"/>
    <n v="83.55"/>
    <n v="0"/>
    <x v="0"/>
    <n v="7.14"/>
    <n v="3.2130000000000001"/>
    <n v="83.55"/>
  </r>
  <r>
    <n v="478"/>
    <d v="2025-04-19T08:00:00"/>
    <x v="1"/>
    <s v="Sabado"/>
    <x v="3"/>
    <x v="1"/>
    <x v="1"/>
    <x v="5"/>
    <x v="5"/>
    <x v="5"/>
    <n v="8600"/>
    <x v="153"/>
    <n v="89.1"/>
    <n v="148"/>
    <n v="0"/>
    <n v="0"/>
    <x v="0"/>
    <n v="7.51"/>
    <n v="11.16"/>
    <x v="0"/>
    <n v="-0.13"/>
    <n v="0.873"/>
    <n v="0"/>
  </r>
  <r>
    <n v="1950"/>
    <d v="2025-04-19T08:00:00"/>
    <x v="1"/>
    <s v="Sabado"/>
    <x v="3"/>
    <x v="1"/>
    <x v="1"/>
    <x v="3"/>
    <x v="3"/>
    <x v="3"/>
    <n v="9800"/>
    <x v="135"/>
    <n v="83.6"/>
    <n v="212.7"/>
    <n v="109"/>
    <n v="0"/>
    <x v="0"/>
    <n v="25.86"/>
    <n v="0"/>
    <x v="0"/>
    <n v="2.21"/>
    <n v="2.6389999999999998"/>
    <n v="25.86"/>
  </r>
  <r>
    <n v="1214"/>
    <d v="2025-04-19T08:00:00"/>
    <x v="1"/>
    <s v="Sabado"/>
    <x v="3"/>
    <x v="1"/>
    <x v="1"/>
    <x v="2"/>
    <x v="2"/>
    <x v="2"/>
    <n v="17400"/>
    <x v="206"/>
    <n v="76.900000000000006"/>
    <n v="247.4"/>
    <n v="185"/>
    <n v="0"/>
    <x v="0"/>
    <n v="45.84"/>
    <n v="30.49"/>
    <x v="0"/>
    <n v="1.33"/>
    <n v="2.6339999999999999"/>
    <n v="15.35"/>
  </r>
  <r>
    <n v="110"/>
    <d v="2025-04-19T08:00:00"/>
    <x v="1"/>
    <s v="Sabado"/>
    <x v="3"/>
    <x v="1"/>
    <x v="1"/>
    <x v="4"/>
    <x v="4"/>
    <x v="4"/>
    <n v="12500"/>
    <x v="53"/>
    <n v="42.7"/>
    <n v="276.2"/>
    <n v="4"/>
    <n v="0"/>
    <x v="0"/>
    <n v="16.420000000000002"/>
    <n v="41.13"/>
    <x v="0"/>
    <n v="-0.82"/>
    <n v="1.3140000000000001"/>
    <n v="0"/>
  </r>
  <r>
    <n v="846"/>
    <d v="2025-04-19T08:00:00"/>
    <x v="1"/>
    <s v="Sabado"/>
    <x v="3"/>
    <x v="1"/>
    <x v="1"/>
    <x v="1"/>
    <x v="1"/>
    <x v="1"/>
    <n v="21000"/>
    <x v="11"/>
    <n v="62.5"/>
    <n v="287.89999999999998"/>
    <n v="436"/>
    <n v="1"/>
    <x v="2"/>
    <n v="198.39"/>
    <n v="62.18"/>
    <x v="0"/>
    <n v="11.82"/>
    <n v="9.4469999999999992"/>
    <n v="136.21"/>
  </r>
  <r>
    <n v="1582"/>
    <d v="2025-04-19T08:00:00"/>
    <x v="1"/>
    <s v="Sabado"/>
    <x v="3"/>
    <x v="1"/>
    <x v="1"/>
    <x v="0"/>
    <x v="0"/>
    <x v="0"/>
    <n v="26000"/>
    <x v="170"/>
    <n v="67.7"/>
    <n v="220.7"/>
    <n v="75"/>
    <n v="0"/>
    <x v="0"/>
    <n v="77.510000000000005"/>
    <n v="58.25"/>
    <x v="0"/>
    <n v="1.69"/>
    <n v="2.9809999999999999"/>
    <n v="19.260000000000002"/>
  </r>
  <r>
    <n v="847"/>
    <d v="2025-04-19T14:00:00"/>
    <x v="2"/>
    <s v="Sabado"/>
    <x v="3"/>
    <x v="1"/>
    <x v="1"/>
    <x v="1"/>
    <x v="1"/>
    <x v="1"/>
    <n v="21000"/>
    <x v="207"/>
    <n v="54.5"/>
    <n v="596.70000000000005"/>
    <n v="404"/>
    <n v="1"/>
    <x v="3"/>
    <n v="230.62"/>
    <n v="111.39"/>
    <x v="0"/>
    <n v="10.3"/>
    <n v="10.981999999999999"/>
    <n v="119.23"/>
  </r>
  <r>
    <n v="1951"/>
    <d v="2025-04-19T14:00:00"/>
    <x v="2"/>
    <s v="Sabado"/>
    <x v="3"/>
    <x v="1"/>
    <x v="1"/>
    <x v="3"/>
    <x v="3"/>
    <x v="3"/>
    <n v="9800"/>
    <x v="200"/>
    <n v="71.7"/>
    <n v="488.6"/>
    <n v="123"/>
    <n v="0"/>
    <x v="0"/>
    <n v="26.83"/>
    <n v="0"/>
    <x v="0"/>
    <n v="2.2400000000000002"/>
    <n v="2.738"/>
    <n v="26.83"/>
  </r>
  <r>
    <n v="1583"/>
    <d v="2025-04-19T14:00:00"/>
    <x v="2"/>
    <s v="Sabado"/>
    <x v="3"/>
    <x v="1"/>
    <x v="1"/>
    <x v="0"/>
    <x v="0"/>
    <x v="0"/>
    <n v="26000"/>
    <x v="208"/>
    <n v="53.8"/>
    <n v="682.1"/>
    <n v="74"/>
    <n v="0"/>
    <x v="0"/>
    <n v="78.739999999999995"/>
    <n v="163.75"/>
    <x v="0"/>
    <n v="-2.9"/>
    <n v="3.028"/>
    <n v="0"/>
  </r>
  <r>
    <n v="111"/>
    <d v="2025-04-19T14:00:00"/>
    <x v="2"/>
    <s v="Sabado"/>
    <x v="3"/>
    <x v="1"/>
    <x v="1"/>
    <x v="4"/>
    <x v="4"/>
    <x v="4"/>
    <n v="12500"/>
    <x v="209"/>
    <n v="54.1"/>
    <n v="694.3"/>
    <m/>
    <n v="0"/>
    <x v="0"/>
    <n v="16.260000000000002"/>
    <n v="94.15"/>
    <x v="0"/>
    <n v="-2.71"/>
    <n v="1.3009999999999999"/>
    <n v="0"/>
  </r>
  <r>
    <n v="479"/>
    <d v="2025-04-19T14:00:00"/>
    <x v="2"/>
    <s v="Sabado"/>
    <x v="3"/>
    <x v="1"/>
    <x v="1"/>
    <x v="5"/>
    <x v="5"/>
    <x v="5"/>
    <n v="8600"/>
    <x v="115"/>
    <n v="81.099999999999994"/>
    <n v="486.3"/>
    <n v="0"/>
    <n v="0"/>
    <x v="0"/>
    <n v="7.35"/>
    <n v="36.590000000000003"/>
    <x v="0"/>
    <n v="-1.02"/>
    <n v="0.85499999999999998"/>
    <n v="0"/>
  </r>
  <r>
    <n v="1215"/>
    <d v="2025-04-19T14:00:00"/>
    <x v="2"/>
    <s v="Sabado"/>
    <x v="3"/>
    <x v="1"/>
    <x v="1"/>
    <x v="2"/>
    <x v="2"/>
    <x v="2"/>
    <n v="17400"/>
    <x v="177"/>
    <n v="74"/>
    <n v="508.2"/>
    <n v="1534"/>
    <n v="1"/>
    <x v="3"/>
    <n v="242.97"/>
    <n v="62.96"/>
    <x v="0"/>
    <n v="15.44"/>
    <n v="13.964"/>
    <n v="180.01"/>
  </r>
  <r>
    <n v="1952"/>
    <d v="2025-04-19T20:00:00"/>
    <x v="3"/>
    <s v="Sabado"/>
    <x v="3"/>
    <x v="1"/>
    <x v="1"/>
    <x v="3"/>
    <x v="3"/>
    <x v="3"/>
    <n v="9800"/>
    <x v="210"/>
    <n v="78.400000000000006"/>
    <n v="0"/>
    <m/>
    <n v="0"/>
    <x v="0"/>
    <n v="93.35"/>
    <n v="0"/>
    <x v="0"/>
    <n v="8.1199999999999992"/>
    <n v="9.5259999999999998"/>
    <n v="93.35"/>
  </r>
  <r>
    <n v="1216"/>
    <d v="2025-04-19T20:00:00"/>
    <x v="3"/>
    <s v="Sabado"/>
    <x v="3"/>
    <x v="1"/>
    <x v="1"/>
    <x v="2"/>
    <x v="2"/>
    <x v="2"/>
    <n v="17400"/>
    <x v="106"/>
    <n v="82.3"/>
    <n v="0"/>
    <n v="1496"/>
    <n v="0"/>
    <x v="0"/>
    <n v="324.54000000000002"/>
    <n v="0"/>
    <x v="0"/>
    <n v="28.23"/>
    <n v="18.652000000000001"/>
    <n v="324.54000000000002"/>
  </r>
  <r>
    <n v="848"/>
    <d v="2025-04-19T20:00:00"/>
    <x v="3"/>
    <s v="Sabado"/>
    <x v="3"/>
    <x v="1"/>
    <x v="1"/>
    <x v="1"/>
    <x v="1"/>
    <x v="1"/>
    <n v="21000"/>
    <x v="211"/>
    <n v="66"/>
    <n v="0"/>
    <n v="345"/>
    <n v="0"/>
    <x v="0"/>
    <n v="285.70999999999998"/>
    <n v="0"/>
    <x v="0"/>
    <n v="25.29"/>
    <n v="13.605"/>
    <n v="285.70999999999998"/>
  </r>
  <r>
    <n v="112"/>
    <d v="2025-04-19T20:00:00"/>
    <x v="3"/>
    <s v="Sabado"/>
    <x v="3"/>
    <x v="1"/>
    <x v="1"/>
    <x v="4"/>
    <x v="4"/>
    <x v="4"/>
    <n v="12500"/>
    <x v="165"/>
    <m/>
    <n v="0"/>
    <n v="0"/>
    <n v="0"/>
    <x v="0"/>
    <n v="23.67"/>
    <n v="0"/>
    <x v="0"/>
    <n v="1.99"/>
    <n v="1.8939999999999999"/>
    <n v="23.67"/>
  </r>
  <r>
    <n v="480"/>
    <d v="2025-04-19T20:00:00"/>
    <x v="3"/>
    <s v="Sabado"/>
    <x v="3"/>
    <x v="1"/>
    <x v="1"/>
    <x v="5"/>
    <x v="5"/>
    <x v="5"/>
    <n v="8600"/>
    <x v="11"/>
    <n v="83.8"/>
    <n v="0"/>
    <n v="21"/>
    <n v="0"/>
    <x v="0"/>
    <n v="13.12"/>
    <n v="0"/>
    <x v="0"/>
    <n v="1.1499999999999999"/>
    <n v="1.526"/>
    <n v="13.12"/>
  </r>
  <r>
    <n v="1584"/>
    <d v="2025-04-19T20:00:00"/>
    <x v="3"/>
    <s v="Sabado"/>
    <x v="3"/>
    <x v="1"/>
    <x v="1"/>
    <x v="0"/>
    <x v="0"/>
    <x v="0"/>
    <n v="26000"/>
    <x v="163"/>
    <n v="67"/>
    <n v="0"/>
    <n v="64"/>
    <n v="0"/>
    <x v="0"/>
    <n v="115.96"/>
    <n v="0"/>
    <x v="0"/>
    <n v="10.130000000000001"/>
    <n v="4.46"/>
    <n v="115.96"/>
  </r>
  <r>
    <n v="1585"/>
    <d v="2025-04-23T00:00:00"/>
    <x v="0"/>
    <s v="Miercoles"/>
    <x v="3"/>
    <x v="1"/>
    <x v="0"/>
    <x v="0"/>
    <x v="0"/>
    <x v="0"/>
    <n v="26000"/>
    <x v="173"/>
    <n v="69.2"/>
    <n v="0"/>
    <n v="54"/>
    <n v="1"/>
    <x v="1"/>
    <n v="109.02"/>
    <n v="0"/>
    <x v="0"/>
    <n v="9.41"/>
    <n v="4.1929999999999996"/>
    <n v="109.02"/>
  </r>
  <r>
    <n v="849"/>
    <d v="2025-04-23T00:00:00"/>
    <x v="0"/>
    <s v="Miercoles"/>
    <x v="3"/>
    <x v="1"/>
    <x v="0"/>
    <x v="1"/>
    <x v="1"/>
    <x v="1"/>
    <n v="21000"/>
    <x v="99"/>
    <n v="78.8"/>
    <n v="0"/>
    <n v="238"/>
    <n v="1"/>
    <x v="2"/>
    <n v="179.51"/>
    <n v="0"/>
    <x v="0"/>
    <m/>
    <n v="8.548"/>
    <n v="179.51"/>
  </r>
  <r>
    <n v="1953"/>
    <d v="2025-04-23T00:00:00"/>
    <x v="0"/>
    <s v="Miercoles"/>
    <x v="3"/>
    <x v="1"/>
    <x v="0"/>
    <x v="3"/>
    <x v="3"/>
    <x v="3"/>
    <n v="9800"/>
    <x v="131"/>
    <n v="81"/>
    <n v="0"/>
    <n v="317"/>
    <n v="1"/>
    <x v="2"/>
    <n v="92.35"/>
    <n v="0"/>
    <x v="0"/>
    <n v="7.83"/>
    <n v="9.423"/>
    <n v="92.35"/>
  </r>
  <r>
    <n v="1217"/>
    <d v="2025-04-23T00:00:00"/>
    <x v="0"/>
    <s v="Miercoles"/>
    <x v="3"/>
    <x v="1"/>
    <x v="0"/>
    <x v="2"/>
    <x v="2"/>
    <x v="2"/>
    <n v="17400"/>
    <x v="163"/>
    <n v="75.599999999999994"/>
    <n v="0"/>
    <n v="34"/>
    <n v="0"/>
    <x v="0"/>
    <n v="45.83"/>
    <n v="0"/>
    <x v="0"/>
    <n v="3.92"/>
    <n v="2.6339999999999999"/>
    <n v="45.83"/>
  </r>
  <r>
    <n v="113"/>
    <d v="2025-04-23T00:00:00"/>
    <x v="0"/>
    <s v="Miercoles"/>
    <x v="3"/>
    <x v="1"/>
    <x v="0"/>
    <x v="4"/>
    <x v="4"/>
    <x v="4"/>
    <n v="12500"/>
    <x v="154"/>
    <n v="62.4"/>
    <n v="0"/>
    <n v="44"/>
    <n v="0"/>
    <x v="0"/>
    <n v="25.01"/>
    <n v="0"/>
    <x v="0"/>
    <n v="2.25"/>
    <n v="2.0009999999999999"/>
    <n v="25.01"/>
  </r>
  <r>
    <n v="481"/>
    <d v="2025-04-23T00:00:00"/>
    <x v="0"/>
    <s v="Miercoles"/>
    <x v="3"/>
    <x v="1"/>
    <x v="0"/>
    <x v="5"/>
    <x v="5"/>
    <x v="5"/>
    <n v="8600"/>
    <x v="6"/>
    <n v="82.8"/>
    <n v="0"/>
    <n v="71"/>
    <n v="1"/>
    <x v="1"/>
    <n v="22.42"/>
    <n v="0"/>
    <x v="0"/>
    <n v="1.97"/>
    <n v="2.6070000000000002"/>
    <n v="22.42"/>
  </r>
  <r>
    <n v="1218"/>
    <d v="2025-04-23T08:00:00"/>
    <x v="1"/>
    <s v="Miercoles"/>
    <x v="3"/>
    <x v="1"/>
    <x v="0"/>
    <x v="2"/>
    <x v="2"/>
    <x v="2"/>
    <n v="17400"/>
    <x v="178"/>
    <n v="76.5"/>
    <n v="258.89999999999998"/>
    <m/>
    <n v="0"/>
    <x v="0"/>
    <n v="37.200000000000003"/>
    <n v="32.92"/>
    <x v="1"/>
    <n v="0.6"/>
    <n v="2.1379999999999999"/>
    <n v="4.28"/>
  </r>
  <r>
    <n v="482"/>
    <d v="2025-04-23T08:00:00"/>
    <x v="1"/>
    <s v="Miercoles"/>
    <x v="3"/>
    <x v="1"/>
    <x v="0"/>
    <x v="5"/>
    <x v="5"/>
    <x v="5"/>
    <n v="8600"/>
    <x v="124"/>
    <n v="89.3"/>
    <n v="172.9"/>
    <n v="801"/>
    <n v="1"/>
    <x v="2"/>
    <n v="84.17"/>
    <n v="12.22"/>
    <x v="1"/>
    <n v="9.98"/>
    <n v="9.7870000000000008"/>
    <n v="71.95"/>
  </r>
  <r>
    <n v="1954"/>
    <d v="2025-04-23T08:00:00"/>
    <x v="1"/>
    <s v="Miercoles"/>
    <x v="3"/>
    <x v="1"/>
    <x v="0"/>
    <x v="3"/>
    <x v="3"/>
    <x v="3"/>
    <n v="9800"/>
    <x v="179"/>
    <n v="80.5"/>
    <n v="201.6"/>
    <n v="47"/>
    <n v="0"/>
    <x v="0"/>
    <n v="17.25"/>
    <n v="0"/>
    <x v="1"/>
    <n v="2.4500000000000002"/>
    <n v="1.76"/>
    <n v="17.25"/>
  </r>
  <r>
    <n v="850"/>
    <d v="2025-04-23T08:00:00"/>
    <x v="1"/>
    <s v="Miercoles"/>
    <x v="3"/>
    <x v="1"/>
    <x v="0"/>
    <x v="1"/>
    <x v="1"/>
    <x v="1"/>
    <n v="21000"/>
    <x v="144"/>
    <n v="68.900000000000006"/>
    <n v="202.4"/>
    <n v="454"/>
    <n v="0"/>
    <x v="0"/>
    <n v="196.61"/>
    <n v="39.130000000000003"/>
    <x v="1"/>
    <n v="21.29"/>
    <n v="9.3620000000000001"/>
    <n v="157.47999999999999"/>
  </r>
  <r>
    <n v="1586"/>
    <d v="2025-04-23T08:00:00"/>
    <x v="1"/>
    <s v="Miercoles"/>
    <x v="3"/>
    <x v="1"/>
    <x v="0"/>
    <x v="0"/>
    <x v="0"/>
    <x v="0"/>
    <n v="26000"/>
    <x v="153"/>
    <n v="58.9"/>
    <n v="193.4"/>
    <n v="169"/>
    <n v="1"/>
    <x v="2"/>
    <n v="158.28"/>
    <n v="52"/>
    <x v="1"/>
    <n v="15.03"/>
    <n v="6.0880000000000001"/>
    <n v="106.28"/>
  </r>
  <r>
    <n v="114"/>
    <d v="2025-04-23T08:00:00"/>
    <x v="1"/>
    <s v="Miercoles"/>
    <x v="3"/>
    <x v="1"/>
    <x v="0"/>
    <x v="4"/>
    <x v="4"/>
    <x v="4"/>
    <n v="12500"/>
    <x v="139"/>
    <n v="50.5"/>
    <n v="268.10000000000002"/>
    <n v="304"/>
    <n v="0"/>
    <x v="0"/>
    <n v="67.569999999999993"/>
    <n v="39.39"/>
    <x v="1"/>
    <n v="3.97"/>
    <n v="5.4059999999999997"/>
    <n v="28.18"/>
  </r>
  <r>
    <n v="851"/>
    <d v="2025-04-23T14:00:00"/>
    <x v="2"/>
    <s v="Miercoles"/>
    <x v="3"/>
    <x v="1"/>
    <x v="0"/>
    <x v="1"/>
    <x v="1"/>
    <x v="1"/>
    <n v="21000"/>
    <x v="212"/>
    <n v="53.7"/>
    <n v="535.9"/>
    <n v="430"/>
    <n v="1"/>
    <x v="3"/>
    <n v="206.88"/>
    <n v="109.04"/>
    <x v="1"/>
    <n v="13.8"/>
    <n v="9.8510000000000009"/>
    <n v="97.84"/>
  </r>
  <r>
    <n v="1955"/>
    <d v="2025-04-23T14:00:00"/>
    <x v="2"/>
    <s v="Miercoles"/>
    <x v="3"/>
    <x v="1"/>
    <x v="0"/>
    <x v="3"/>
    <x v="3"/>
    <x v="3"/>
    <n v="9800"/>
    <x v="176"/>
    <n v="64.3"/>
    <n v="636.4"/>
    <n v="80"/>
    <n v="0"/>
    <x v="0"/>
    <n v="20.18"/>
    <n v="0"/>
    <x v="1"/>
    <n v="2.73"/>
    <n v="2.0590000000000002"/>
    <n v="20.18"/>
  </r>
  <r>
    <n v="115"/>
    <d v="2025-04-23T14:00:00"/>
    <x v="2"/>
    <s v="Miercoles"/>
    <x v="3"/>
    <x v="1"/>
    <x v="0"/>
    <x v="4"/>
    <x v="4"/>
    <x v="4"/>
    <n v="12500"/>
    <x v="183"/>
    <n v="43.2"/>
    <n v="705"/>
    <n v="560"/>
    <n v="1"/>
    <x v="2"/>
    <n v="98.61"/>
    <n v="112.36"/>
    <x v="1"/>
    <n v="-0.79"/>
    <n v="7.8890000000000002"/>
    <n v="0"/>
  </r>
  <r>
    <n v="1587"/>
    <d v="2025-04-23T14:00:00"/>
    <x v="2"/>
    <s v="Miercoles"/>
    <x v="3"/>
    <x v="1"/>
    <x v="0"/>
    <x v="0"/>
    <x v="0"/>
    <x v="0"/>
    <n v="26000"/>
    <x v="213"/>
    <n v="52.4"/>
    <n v="658"/>
    <n v="166"/>
    <n v="0"/>
    <x v="0"/>
    <n v="153.86000000000001"/>
    <n v="172.28"/>
    <x v="1"/>
    <n v="-1.03"/>
    <n v="5.9180000000000001"/>
    <n v="0"/>
  </r>
  <r>
    <n v="483"/>
    <d v="2025-04-23T14:00:00"/>
    <x v="2"/>
    <s v="Miercoles"/>
    <x v="3"/>
    <x v="1"/>
    <x v="0"/>
    <x v="5"/>
    <x v="5"/>
    <x v="5"/>
    <n v="8600"/>
    <x v="182"/>
    <n v="68.099999999999994"/>
    <n v="669.4"/>
    <n v="810"/>
    <n v="0"/>
    <x v="0"/>
    <n v="82.42"/>
    <n v="52.77"/>
    <x v="1"/>
    <n v="4.0599999999999996"/>
    <n v="9.5839999999999996"/>
    <n v="29.65"/>
  </r>
  <r>
    <n v="1219"/>
    <d v="2025-04-23T14:00:00"/>
    <x v="2"/>
    <s v="Miercoles"/>
    <x v="3"/>
    <x v="1"/>
    <x v="0"/>
    <x v="2"/>
    <x v="2"/>
    <x v="2"/>
    <n v="17400"/>
    <x v="214"/>
    <n v="65.099999999999994"/>
    <n v="708.8"/>
    <n v="1350"/>
    <n v="1"/>
    <x v="2"/>
    <n v="206.03"/>
    <n v="87.17"/>
    <x v="1"/>
    <n v="16.510000000000002"/>
    <n v="11.840999999999999"/>
    <n v="118.86"/>
  </r>
  <r>
    <n v="116"/>
    <d v="2025-04-23T20:00:00"/>
    <x v="3"/>
    <s v="Miercoles"/>
    <x v="3"/>
    <x v="1"/>
    <x v="0"/>
    <x v="4"/>
    <x v="4"/>
    <x v="4"/>
    <n v="12500"/>
    <x v="215"/>
    <n v="47.4"/>
    <n v="0"/>
    <n v="102"/>
    <n v="0"/>
    <x v="0"/>
    <n v="42.44"/>
    <n v="0"/>
    <x v="2"/>
    <n v="9.0299999999999994"/>
    <n v="3.395"/>
    <n v="42.44"/>
  </r>
  <r>
    <n v="1956"/>
    <d v="2025-04-23T20:00:00"/>
    <x v="3"/>
    <s v="Miercoles"/>
    <x v="3"/>
    <x v="1"/>
    <x v="0"/>
    <x v="3"/>
    <x v="3"/>
    <x v="3"/>
    <n v="9800"/>
    <x v="116"/>
    <n v="83.3"/>
    <n v="0"/>
    <n v="282"/>
    <n v="0"/>
    <x v="0"/>
    <n v="99.27"/>
    <n v="0"/>
    <x v="2"/>
    <n v="21.45"/>
    <n v="10.130000000000001"/>
    <n v="99.27"/>
  </r>
  <r>
    <n v="1588"/>
    <d v="2025-04-23T20:00:00"/>
    <x v="3"/>
    <s v="Miercoles"/>
    <x v="3"/>
    <x v="1"/>
    <x v="0"/>
    <x v="0"/>
    <x v="0"/>
    <x v="0"/>
    <n v="26000"/>
    <x v="43"/>
    <n v="56.5"/>
    <n v="0"/>
    <n v="164"/>
    <n v="0"/>
    <x v="0"/>
    <n v="228.8"/>
    <n v="0"/>
    <x v="2"/>
    <n v="46.93"/>
    <n v="8.8000000000000007"/>
    <n v="228.8"/>
  </r>
  <r>
    <n v="484"/>
    <d v="2025-04-23T20:00:00"/>
    <x v="3"/>
    <s v="Miercoles"/>
    <x v="3"/>
    <x v="1"/>
    <x v="0"/>
    <x v="5"/>
    <x v="5"/>
    <x v="5"/>
    <n v="8600"/>
    <x v="135"/>
    <n v="70.7"/>
    <n v="0"/>
    <n v="54"/>
    <n v="0"/>
    <x v="0"/>
    <n v="21.74"/>
    <n v="0"/>
    <x v="2"/>
    <n v="4.59"/>
    <n v="2.528"/>
    <n v="21.74"/>
  </r>
  <r>
    <n v="852"/>
    <d v="2025-04-23T20:00:00"/>
    <x v="3"/>
    <s v="Miercoles"/>
    <x v="3"/>
    <x v="1"/>
    <x v="0"/>
    <x v="1"/>
    <x v="1"/>
    <x v="1"/>
    <n v="21000"/>
    <x v="216"/>
    <n v="57.4"/>
    <n v="0"/>
    <m/>
    <n v="1"/>
    <x v="3"/>
    <n v="305.64"/>
    <n v="0"/>
    <x v="2"/>
    <n v="65.010000000000005"/>
    <n v="14.554"/>
    <n v="305.64"/>
  </r>
  <r>
    <n v="1220"/>
    <d v="2025-04-23T20:00:00"/>
    <x v="3"/>
    <s v="Miercoles"/>
    <x v="3"/>
    <x v="1"/>
    <x v="0"/>
    <x v="2"/>
    <x v="2"/>
    <x v="2"/>
    <n v="17400"/>
    <x v="159"/>
    <n v="74.7"/>
    <n v="0"/>
    <n v="1255"/>
    <n v="0"/>
    <x v="0"/>
    <n v="264.52"/>
    <n v="0"/>
    <x v="2"/>
    <n v="57.37"/>
    <n v="15.202"/>
    <n v="264.52"/>
  </r>
  <r>
    <n v="117"/>
    <d v="2025-04-27T00:00:00"/>
    <x v="0"/>
    <s v="Domingo"/>
    <x v="3"/>
    <x v="1"/>
    <x v="1"/>
    <x v="4"/>
    <x v="4"/>
    <x v="4"/>
    <n v="12500"/>
    <x v="101"/>
    <n v="70.599999999999994"/>
    <n v="0"/>
    <n v="96"/>
    <n v="0"/>
    <x v="0"/>
    <n v="30.49"/>
    <n v="0"/>
    <x v="0"/>
    <n v="2.59"/>
    <n v="2.4390000000000001"/>
    <n v="30.49"/>
  </r>
  <r>
    <n v="1221"/>
    <d v="2025-04-27T00:00:00"/>
    <x v="0"/>
    <s v="Domingo"/>
    <x v="3"/>
    <x v="1"/>
    <x v="1"/>
    <x v="2"/>
    <x v="2"/>
    <x v="2"/>
    <n v="17400"/>
    <x v="179"/>
    <n v="68.5"/>
    <n v="0"/>
    <n v="93"/>
    <n v="0"/>
    <x v="0"/>
    <n v="55.15"/>
    <n v="0"/>
    <x v="0"/>
    <n v="4.74"/>
    <n v="3.17"/>
    <n v="55.15"/>
  </r>
  <r>
    <n v="1957"/>
    <d v="2025-04-27T00:00:00"/>
    <x v="0"/>
    <s v="Domingo"/>
    <x v="3"/>
    <x v="1"/>
    <x v="1"/>
    <x v="3"/>
    <x v="3"/>
    <x v="3"/>
    <n v="9800"/>
    <x v="124"/>
    <n v="88.2"/>
    <n v="0"/>
    <n v="306"/>
    <n v="1"/>
    <x v="2"/>
    <n v="100.83"/>
    <n v="0"/>
    <x v="0"/>
    <n v="9.14"/>
    <n v="10.289"/>
    <n v="100.83"/>
  </r>
  <r>
    <n v="485"/>
    <d v="2025-04-27T00:00:00"/>
    <x v="0"/>
    <s v="Domingo"/>
    <x v="3"/>
    <x v="1"/>
    <x v="1"/>
    <x v="5"/>
    <x v="5"/>
    <x v="5"/>
    <n v="8600"/>
    <x v="20"/>
    <n v="96.5"/>
    <n v="0"/>
    <n v="0"/>
    <n v="0"/>
    <x v="0"/>
    <n v="11.88"/>
    <n v="0"/>
    <x v="0"/>
    <n v="1.03"/>
    <n v="1.381"/>
    <n v="11.88"/>
  </r>
  <r>
    <n v="853"/>
    <d v="2025-04-27T00:00:00"/>
    <x v="0"/>
    <s v="Domingo"/>
    <x v="3"/>
    <x v="1"/>
    <x v="1"/>
    <x v="1"/>
    <x v="1"/>
    <x v="1"/>
    <n v="21000"/>
    <x v="21"/>
    <n v="55"/>
    <n v="0"/>
    <n v="177"/>
    <n v="1"/>
    <x v="1"/>
    <n v="184.02"/>
    <n v="0"/>
    <x v="0"/>
    <n v="15.94"/>
    <n v="8.7629999999999999"/>
    <n v="184.02"/>
  </r>
  <r>
    <n v="1589"/>
    <d v="2025-04-27T00:00:00"/>
    <x v="0"/>
    <s v="Domingo"/>
    <x v="3"/>
    <x v="1"/>
    <x v="1"/>
    <x v="0"/>
    <x v="0"/>
    <x v="0"/>
    <n v="26000"/>
    <x v="146"/>
    <n v="68.8"/>
    <n v="0"/>
    <n v="32"/>
    <n v="1"/>
    <x v="1"/>
    <n v="80.28"/>
    <n v="0"/>
    <x v="0"/>
    <n v="6.86"/>
    <n v="3.0880000000000001"/>
    <n v="80.28"/>
  </r>
  <r>
    <n v="1590"/>
    <d v="2025-04-27T08:00:00"/>
    <x v="1"/>
    <s v="Domingo"/>
    <x v="3"/>
    <x v="1"/>
    <x v="1"/>
    <x v="0"/>
    <x v="0"/>
    <x v="0"/>
    <n v="26000"/>
    <x v="205"/>
    <n v="63.7"/>
    <n v="294.3"/>
    <n v="63"/>
    <n v="0"/>
    <x v="0"/>
    <n v="78.97"/>
    <n v="76.680000000000007"/>
    <x v="0"/>
    <n v="0.21"/>
    <n v="3.0369999999999999"/>
    <n v="2.29"/>
  </r>
  <r>
    <n v="854"/>
    <d v="2025-04-27T08:00:00"/>
    <x v="1"/>
    <s v="Domingo"/>
    <x v="3"/>
    <x v="1"/>
    <x v="1"/>
    <x v="1"/>
    <x v="1"/>
    <x v="1"/>
    <n v="21000"/>
    <x v="200"/>
    <n v="63.3"/>
    <n v="271.60000000000002"/>
    <n v="426"/>
    <n v="0"/>
    <x v="0"/>
    <n v="205.4"/>
    <n v="51.36"/>
    <x v="0"/>
    <n v="13.62"/>
    <n v="9.7810000000000006"/>
    <n v="154.04"/>
  </r>
  <r>
    <n v="1958"/>
    <d v="2025-04-27T08:00:00"/>
    <x v="1"/>
    <s v="Domingo"/>
    <x v="3"/>
    <x v="1"/>
    <x v="1"/>
    <x v="3"/>
    <x v="3"/>
    <x v="3"/>
    <n v="9800"/>
    <x v="186"/>
    <n v="71.599999999999994"/>
    <n v="249.8"/>
    <n v="121"/>
    <n v="1"/>
    <x v="2"/>
    <n v="28.45"/>
    <n v="0"/>
    <x v="0"/>
    <n v="2.57"/>
    <n v="2.903"/>
    <n v="28.45"/>
  </r>
  <r>
    <n v="486"/>
    <d v="2025-04-27T08:00:00"/>
    <x v="1"/>
    <s v="Domingo"/>
    <x v="3"/>
    <x v="1"/>
    <x v="1"/>
    <x v="5"/>
    <x v="5"/>
    <x v="5"/>
    <n v="8600"/>
    <x v="78"/>
    <n v="77.5"/>
    <n v="246.9"/>
    <n v="0"/>
    <n v="0"/>
    <x v="0"/>
    <n v="8"/>
    <n v="19.010000000000002"/>
    <x v="0"/>
    <n v="-0.39"/>
    <n v="0.93"/>
    <n v="0"/>
  </r>
  <r>
    <n v="118"/>
    <d v="2025-04-27T08:00:00"/>
    <x v="1"/>
    <s v="Domingo"/>
    <x v="3"/>
    <x v="1"/>
    <x v="1"/>
    <x v="4"/>
    <x v="4"/>
    <x v="4"/>
    <n v="12500"/>
    <x v="175"/>
    <n v="66.5"/>
    <n v="239.1"/>
    <n v="56"/>
    <n v="0"/>
    <x v="0"/>
    <n v="18.78"/>
    <n v="34.1"/>
    <x v="0"/>
    <n v="-0.52"/>
    <n v="1.502"/>
    <n v="0"/>
  </r>
  <r>
    <n v="1222"/>
    <d v="2025-04-27T08:00:00"/>
    <x v="1"/>
    <s v="Domingo"/>
    <x v="3"/>
    <x v="1"/>
    <x v="1"/>
    <x v="2"/>
    <x v="2"/>
    <x v="2"/>
    <n v="17400"/>
    <x v="106"/>
    <n v="77.900000000000006"/>
    <n v="277.10000000000002"/>
    <n v="0"/>
    <n v="0"/>
    <x v="0"/>
    <n v="32.6"/>
    <n v="37.049999999999997"/>
    <x v="0"/>
    <n v="-0.15"/>
    <n v="1.8740000000000001"/>
    <n v="0"/>
  </r>
  <r>
    <n v="1959"/>
    <d v="2025-04-27T14:00:00"/>
    <x v="2"/>
    <s v="Domingo"/>
    <x v="3"/>
    <x v="1"/>
    <x v="1"/>
    <x v="3"/>
    <x v="3"/>
    <x v="3"/>
    <n v="9800"/>
    <x v="217"/>
    <n v="76.900000000000006"/>
    <n v="605.4"/>
    <m/>
    <n v="0"/>
    <x v="0"/>
    <n v="28.11"/>
    <n v="0"/>
    <x v="0"/>
    <n v="2.46"/>
    <n v="2.8679999999999999"/>
    <n v="28.11"/>
  </r>
  <r>
    <n v="487"/>
    <d v="2025-04-27T14:00:00"/>
    <x v="2"/>
    <s v="Domingo"/>
    <x v="3"/>
    <x v="1"/>
    <x v="1"/>
    <x v="5"/>
    <x v="5"/>
    <x v="5"/>
    <n v="8600"/>
    <x v="171"/>
    <n v="74.3"/>
    <n v="522"/>
    <n v="0"/>
    <n v="0"/>
    <x v="0"/>
    <n v="7.84"/>
    <n v="41.87"/>
    <x v="0"/>
    <n v="-1.18"/>
    <n v="0.91200000000000003"/>
    <n v="0"/>
  </r>
  <r>
    <n v="1591"/>
    <d v="2025-04-27T14:00:00"/>
    <x v="2"/>
    <s v="Domingo"/>
    <x v="3"/>
    <x v="1"/>
    <x v="1"/>
    <x v="0"/>
    <x v="0"/>
    <x v="0"/>
    <n v="26000"/>
    <x v="218"/>
    <n v="60.2"/>
    <n v="625.70000000000005"/>
    <n v="64"/>
    <n v="1"/>
    <x v="3"/>
    <n v="86.05"/>
    <n v="144.19999999999999"/>
    <x v="0"/>
    <n v="-2.02"/>
    <n v="3.31"/>
    <n v="0"/>
  </r>
  <r>
    <n v="119"/>
    <d v="2025-04-27T14:00:00"/>
    <x v="2"/>
    <s v="Domingo"/>
    <x v="3"/>
    <x v="1"/>
    <x v="1"/>
    <x v="4"/>
    <x v="4"/>
    <x v="4"/>
    <n v="12500"/>
    <x v="159"/>
    <n v="65"/>
    <n v="523.70000000000005"/>
    <n v="0"/>
    <n v="0"/>
    <x v="0"/>
    <n v="15.4"/>
    <n v="75.8"/>
    <x v="0"/>
    <n v="-2.16"/>
    <n v="1.232"/>
    <n v="0"/>
  </r>
  <r>
    <n v="855"/>
    <d v="2025-04-27T14:00:00"/>
    <x v="2"/>
    <s v="Domingo"/>
    <x v="3"/>
    <x v="1"/>
    <x v="1"/>
    <x v="1"/>
    <x v="1"/>
    <x v="1"/>
    <n v="21000"/>
    <x v="219"/>
    <n v="53.9"/>
    <n v="633.20000000000005"/>
    <n v="399"/>
    <n v="1"/>
    <x v="3"/>
    <n v="241.05"/>
    <n v="125.11"/>
    <x v="0"/>
    <n v="10.09"/>
    <n v="11.478999999999999"/>
    <n v="115.94"/>
  </r>
  <r>
    <n v="1223"/>
    <d v="2025-04-27T14:00:00"/>
    <x v="2"/>
    <s v="Domingo"/>
    <x v="3"/>
    <x v="1"/>
    <x v="1"/>
    <x v="2"/>
    <x v="2"/>
    <x v="2"/>
    <n v="17400"/>
    <x v="214"/>
    <n v="76.7"/>
    <n v="533.5"/>
    <n v="1507"/>
    <n v="1"/>
    <x v="2"/>
    <n v="234.32"/>
    <n v="70.19"/>
    <x v="0"/>
    <n v="14.12"/>
    <n v="13.467000000000001"/>
    <n v="164.13"/>
  </r>
  <r>
    <n v="1592"/>
    <d v="2025-04-27T20:00:00"/>
    <x v="3"/>
    <s v="Domingo"/>
    <x v="3"/>
    <x v="1"/>
    <x v="1"/>
    <x v="0"/>
    <x v="0"/>
    <x v="0"/>
    <n v="26000"/>
    <x v="220"/>
    <n v="43.5"/>
    <n v="0"/>
    <n v="65"/>
    <n v="0"/>
    <x v="0"/>
    <n v="135.81"/>
    <n v="0"/>
    <x v="0"/>
    <n v="12.17"/>
    <n v="5.2229999999999999"/>
    <n v="135.81"/>
  </r>
  <r>
    <n v="856"/>
    <d v="2025-04-27T20:00:00"/>
    <x v="3"/>
    <s v="Domingo"/>
    <x v="3"/>
    <x v="1"/>
    <x v="1"/>
    <x v="1"/>
    <x v="1"/>
    <x v="1"/>
    <n v="21000"/>
    <x v="166"/>
    <n v="50.3"/>
    <n v="0"/>
    <n v="426"/>
    <n v="0"/>
    <x v="0"/>
    <n v="268.43"/>
    <n v="0"/>
    <x v="0"/>
    <n v="22.87"/>
    <n v="12.782"/>
    <n v="268.43"/>
  </r>
  <r>
    <n v="1224"/>
    <d v="2025-04-27T20:00:00"/>
    <x v="3"/>
    <s v="Domingo"/>
    <x v="3"/>
    <x v="1"/>
    <x v="1"/>
    <x v="2"/>
    <x v="2"/>
    <x v="2"/>
    <n v="17400"/>
    <x v="200"/>
    <n v="70.400000000000006"/>
    <n v="0"/>
    <n v="1520"/>
    <n v="0"/>
    <x v="0"/>
    <n v="310.06"/>
    <n v="0"/>
    <x v="0"/>
    <n v="26.08"/>
    <n v="17.82"/>
    <n v="310.06"/>
  </r>
  <r>
    <n v="1960"/>
    <d v="2025-04-27T20:00:00"/>
    <x v="3"/>
    <s v="Domingo"/>
    <x v="3"/>
    <x v="1"/>
    <x v="1"/>
    <x v="3"/>
    <x v="3"/>
    <x v="3"/>
    <n v="9800"/>
    <x v="158"/>
    <n v="68.599999999999994"/>
    <n v="0"/>
    <n v="310"/>
    <n v="0"/>
    <x v="0"/>
    <n v="109.9"/>
    <n v="0"/>
    <x v="0"/>
    <n v="9.5399999999999991"/>
    <n v="11.214"/>
    <n v="109.9"/>
  </r>
  <r>
    <n v="120"/>
    <d v="2025-04-27T20:00:00"/>
    <x v="3"/>
    <s v="Domingo"/>
    <x v="3"/>
    <x v="1"/>
    <x v="1"/>
    <x v="4"/>
    <x v="4"/>
    <x v="4"/>
    <n v="12500"/>
    <x v="43"/>
    <n v="64.5"/>
    <n v="0"/>
    <n v="38"/>
    <n v="0"/>
    <x v="0"/>
    <n v="25.18"/>
    <n v="0"/>
    <x v="0"/>
    <n v="2.15"/>
    <n v="2.0139999999999998"/>
    <n v="25.18"/>
  </r>
  <r>
    <n v="488"/>
    <d v="2025-04-27T20:00:00"/>
    <x v="3"/>
    <s v="Domingo"/>
    <x v="3"/>
    <x v="1"/>
    <x v="1"/>
    <x v="5"/>
    <x v="5"/>
    <x v="5"/>
    <n v="8600"/>
    <x v="12"/>
    <n v="85.5"/>
    <n v="0"/>
    <n v="0"/>
    <n v="0"/>
    <x v="0"/>
    <n v="12.79"/>
    <n v="0"/>
    <x v="0"/>
    <n v="1.1000000000000001"/>
    <n v="1.4870000000000001"/>
    <n v="12.79"/>
  </r>
  <r>
    <n v="1225"/>
    <d v="2025-05-01T00:00:00"/>
    <x v="0"/>
    <s v="Jueves"/>
    <x v="4"/>
    <x v="1"/>
    <x v="0"/>
    <x v="2"/>
    <x v="2"/>
    <x v="2"/>
    <n v="17400"/>
    <x v="145"/>
    <n v="70.5"/>
    <n v="0"/>
    <n v="61"/>
    <n v="0"/>
    <x v="0"/>
    <n v="53.67"/>
    <n v="0"/>
    <x v="0"/>
    <n v="4.7"/>
    <n v="3.0840000000000001"/>
    <n v="53.67"/>
  </r>
  <r>
    <n v="1593"/>
    <d v="2025-05-01T00:00:00"/>
    <x v="0"/>
    <s v="Jueves"/>
    <x v="4"/>
    <x v="1"/>
    <x v="0"/>
    <x v="0"/>
    <x v="0"/>
    <x v="0"/>
    <n v="26000"/>
    <x v="137"/>
    <n v="67.599999999999994"/>
    <n v="0"/>
    <n v="0"/>
    <n v="0"/>
    <x v="0"/>
    <n v="49.11"/>
    <n v="0"/>
    <x v="0"/>
    <n v="4.28"/>
    <n v="1.889"/>
    <n v="49.11"/>
  </r>
  <r>
    <n v="489"/>
    <d v="2025-05-01T00:00:00"/>
    <x v="0"/>
    <s v="Jueves"/>
    <x v="4"/>
    <x v="1"/>
    <x v="0"/>
    <x v="5"/>
    <x v="5"/>
    <x v="5"/>
    <n v="8600"/>
    <x v="154"/>
    <n v="81.099999999999994"/>
    <n v="0"/>
    <n v="22"/>
    <n v="0"/>
    <x v="0"/>
    <n v="13.69"/>
    <n v="0"/>
    <x v="0"/>
    <n v="1.1599999999999999"/>
    <n v="1.5920000000000001"/>
    <n v="13.69"/>
  </r>
  <r>
    <n v="857"/>
    <d v="2025-05-01T00:00:00"/>
    <x v="0"/>
    <s v="Jueves"/>
    <x v="4"/>
    <x v="1"/>
    <x v="0"/>
    <x v="1"/>
    <x v="1"/>
    <x v="1"/>
    <n v="21000"/>
    <x v="140"/>
    <n v="57.3"/>
    <n v="0"/>
    <n v="248"/>
    <n v="1"/>
    <x v="1"/>
    <n v="171.39"/>
    <n v="0"/>
    <x v="0"/>
    <n v="15.32"/>
    <n v="8.1609999999999996"/>
    <n v="171.39"/>
  </r>
  <r>
    <n v="1961"/>
    <d v="2025-05-01T00:00:00"/>
    <x v="0"/>
    <s v="Jueves"/>
    <x v="4"/>
    <x v="1"/>
    <x v="0"/>
    <x v="3"/>
    <x v="3"/>
    <x v="3"/>
    <n v="9800"/>
    <x v="37"/>
    <n v="76.400000000000006"/>
    <n v="0"/>
    <n v="316"/>
    <n v="1"/>
    <x v="1"/>
    <n v="106.27"/>
    <n v="0"/>
    <x v="0"/>
    <n v="9.31"/>
    <n v="10.843999999999999"/>
    <n v="106.27"/>
  </r>
  <r>
    <n v="121"/>
    <d v="2025-05-01T00:00:00"/>
    <x v="0"/>
    <s v="Jueves"/>
    <x v="4"/>
    <x v="1"/>
    <x v="0"/>
    <x v="4"/>
    <x v="4"/>
    <x v="4"/>
    <n v="12500"/>
    <x v="148"/>
    <n v="60.3"/>
    <n v="0"/>
    <n v="32"/>
    <n v="0"/>
    <x v="0"/>
    <m/>
    <n v="0"/>
    <x v="0"/>
    <n v="2.0699999999999998"/>
    <m/>
    <m/>
  </r>
  <r>
    <n v="122"/>
    <d v="2025-05-01T08:00:00"/>
    <x v="1"/>
    <s v="Jueves"/>
    <x v="4"/>
    <x v="1"/>
    <x v="0"/>
    <x v="4"/>
    <x v="4"/>
    <x v="4"/>
    <n v="12500"/>
    <x v="99"/>
    <n v="60.4"/>
    <n v="324.3"/>
    <n v="78"/>
    <n v="0"/>
    <x v="0"/>
    <n v="20.73"/>
    <n v="49.64"/>
    <x v="0"/>
    <n v="-0.98"/>
    <n v="1.6579999999999999"/>
    <n v="0"/>
  </r>
  <r>
    <n v="1226"/>
    <d v="2025-05-01T08:00:00"/>
    <x v="1"/>
    <s v="Jueves"/>
    <x v="4"/>
    <x v="1"/>
    <x v="0"/>
    <x v="2"/>
    <x v="2"/>
    <x v="2"/>
    <n v="17400"/>
    <x v="221"/>
    <n v="82.5"/>
    <n v="209.4"/>
    <n v="121"/>
    <n v="0"/>
    <x v="0"/>
    <n v="38.21"/>
    <n v="25.83"/>
    <x v="0"/>
    <n v="1.03"/>
    <n v="2.1960000000000002"/>
    <n v="12.38"/>
  </r>
  <r>
    <n v="490"/>
    <d v="2025-05-01T08:00:00"/>
    <x v="1"/>
    <s v="Jueves"/>
    <x v="4"/>
    <x v="1"/>
    <x v="0"/>
    <x v="5"/>
    <x v="5"/>
    <x v="5"/>
    <n v="8600"/>
    <x v="55"/>
    <n v="80.5"/>
    <n v="193.5"/>
    <n v="9"/>
    <n v="0"/>
    <x v="0"/>
    <n v="8.11"/>
    <n v="15.22"/>
    <x v="0"/>
    <n v="-0.25"/>
    <n v="0.94299999999999995"/>
    <n v="0"/>
  </r>
  <r>
    <n v="1594"/>
    <d v="2025-05-01T08:00:00"/>
    <x v="1"/>
    <s v="Jueves"/>
    <x v="4"/>
    <x v="1"/>
    <x v="0"/>
    <x v="0"/>
    <x v="0"/>
    <x v="0"/>
    <n v="26000"/>
    <x v="160"/>
    <n v="72.5"/>
    <n v="270.5"/>
    <n v="0"/>
    <n v="0"/>
    <x v="0"/>
    <n v="33.22"/>
    <n v="78.53"/>
    <x v="0"/>
    <n v="-1.58"/>
    <n v="1.278"/>
    <n v="0"/>
  </r>
  <r>
    <n v="1962"/>
    <d v="2025-05-01T08:00:00"/>
    <x v="1"/>
    <s v="Jueves"/>
    <x v="4"/>
    <x v="1"/>
    <x v="0"/>
    <x v="3"/>
    <x v="3"/>
    <x v="3"/>
    <n v="9800"/>
    <x v="180"/>
    <n v="77.2"/>
    <n v="261.2"/>
    <n v="124"/>
    <n v="0"/>
    <x v="0"/>
    <n v="25.72"/>
    <n v="0"/>
    <x v="0"/>
    <n v="2.23"/>
    <n v="2.6240000000000001"/>
    <n v="25.72"/>
  </r>
  <r>
    <n v="858"/>
    <d v="2025-05-01T08:00:00"/>
    <x v="1"/>
    <s v="Jueves"/>
    <x v="4"/>
    <x v="1"/>
    <x v="0"/>
    <x v="1"/>
    <x v="1"/>
    <x v="1"/>
    <n v="21000"/>
    <x v="199"/>
    <n v="46"/>
    <n v="347.2"/>
    <n v="446"/>
    <n v="0"/>
    <x v="0"/>
    <n v="193.12"/>
    <n v="67.819999999999993"/>
    <x v="0"/>
    <n v="10.68"/>
    <n v="9.1959999999999997"/>
    <n v="125.3"/>
  </r>
  <r>
    <n v="123"/>
    <d v="2025-05-01T14:00:00"/>
    <x v="2"/>
    <s v="Jueves"/>
    <x v="4"/>
    <x v="1"/>
    <x v="0"/>
    <x v="4"/>
    <x v="4"/>
    <x v="4"/>
    <n v="12500"/>
    <x v="203"/>
    <n v="51.9"/>
    <n v="703.3"/>
    <n v="26"/>
    <n v="0"/>
    <x v="0"/>
    <n v="134.5"/>
    <n v="111.45"/>
    <x v="0"/>
    <n v="-3.19"/>
    <n v="10.76"/>
    <n v="23.05"/>
  </r>
  <r>
    <n v="1595"/>
    <d v="2025-05-01T14:00:00"/>
    <x v="2"/>
    <s v="Jueves"/>
    <x v="4"/>
    <x v="1"/>
    <x v="0"/>
    <x v="0"/>
    <x v="0"/>
    <x v="0"/>
    <n v="26000"/>
    <x v="222"/>
    <n v="54"/>
    <n v="731.4"/>
    <n v="7"/>
    <n v="0"/>
    <x v="0"/>
    <n v="33.880000000000003"/>
    <n v="197.93"/>
    <x v="0"/>
    <n v="-5.96"/>
    <n v="1.3029999999999999"/>
    <n v="0"/>
  </r>
  <r>
    <n v="491"/>
    <d v="2025-05-01T14:00:00"/>
    <x v="2"/>
    <s v="Jueves"/>
    <x v="4"/>
    <x v="1"/>
    <x v="0"/>
    <x v="5"/>
    <x v="5"/>
    <x v="5"/>
    <n v="8600"/>
    <x v="223"/>
    <n v="89.2"/>
    <n v="451.7"/>
    <n v="0"/>
    <n v="0"/>
    <x v="0"/>
    <n v="8.2100000000000009"/>
    <n v="34.31"/>
    <x v="0"/>
    <n v="-0.87"/>
    <n v="0.95499999999999996"/>
    <n v="0"/>
  </r>
  <r>
    <n v="859"/>
    <d v="2025-05-01T14:00:00"/>
    <x v="2"/>
    <s v="Jueves"/>
    <x v="4"/>
    <x v="1"/>
    <x v="0"/>
    <x v="1"/>
    <x v="1"/>
    <x v="1"/>
    <n v="21000"/>
    <x v="224"/>
    <n v="44.1"/>
    <n v="714.3"/>
    <n v="389"/>
    <n v="1"/>
    <x v="3"/>
    <n v="233.41"/>
    <n v="137.66"/>
    <x v="0"/>
    <n v="8.2899999999999991"/>
    <n v="11.115"/>
    <n v="95.75"/>
  </r>
  <r>
    <n v="1227"/>
    <d v="2025-05-01T14:00:00"/>
    <x v="2"/>
    <s v="Jueves"/>
    <x v="4"/>
    <x v="1"/>
    <x v="0"/>
    <x v="2"/>
    <x v="2"/>
    <x v="2"/>
    <n v="17400"/>
    <x v="213"/>
    <n v="75.3"/>
    <n v="535.79999999999995"/>
    <n v="1312"/>
    <n v="0"/>
    <x v="0"/>
    <n v="195.87"/>
    <n v="66.42"/>
    <x v="0"/>
    <n v="11.34"/>
    <n v="11.257"/>
    <n v="129.44999999999999"/>
  </r>
  <r>
    <n v="1963"/>
    <d v="2025-05-01T14:00:00"/>
    <x v="2"/>
    <s v="Jueves"/>
    <x v="4"/>
    <x v="1"/>
    <x v="0"/>
    <x v="3"/>
    <x v="3"/>
    <x v="3"/>
    <n v="9800"/>
    <x v="225"/>
    <n v="61.5"/>
    <n v="680.1"/>
    <n v="122"/>
    <n v="1"/>
    <x v="3"/>
    <n v="29.15"/>
    <n v="0"/>
    <x v="0"/>
    <n v="2.5499999999999998"/>
    <n v="2.9740000000000002"/>
    <n v="29.15"/>
  </r>
  <r>
    <n v="124"/>
    <d v="2025-05-01T20:00:00"/>
    <x v="3"/>
    <s v="Jueves"/>
    <x v="4"/>
    <x v="1"/>
    <x v="0"/>
    <x v="4"/>
    <x v="4"/>
    <x v="4"/>
    <n v="12500"/>
    <x v="211"/>
    <n v="67.900000000000006"/>
    <n v="0"/>
    <n v="54"/>
    <n v="0"/>
    <x v="0"/>
    <n v="26.76"/>
    <n v="0"/>
    <x v="0"/>
    <n v="2.35"/>
    <n v="2.141"/>
    <n v="26.76"/>
  </r>
  <r>
    <n v="860"/>
    <d v="2025-05-01T20:00:00"/>
    <x v="3"/>
    <s v="Jueves"/>
    <x v="4"/>
    <x v="1"/>
    <x v="0"/>
    <x v="1"/>
    <x v="1"/>
    <x v="1"/>
    <n v="21000"/>
    <x v="226"/>
    <n v="59.3"/>
    <n v="0"/>
    <n v="402"/>
    <n v="1"/>
    <x v="2"/>
    <n v="266.08999999999997"/>
    <n v="0"/>
    <x v="0"/>
    <n v="23.02"/>
    <n v="12.670999999999999"/>
    <n v="266.08999999999997"/>
  </r>
  <r>
    <n v="1964"/>
    <d v="2025-05-01T20:00:00"/>
    <x v="3"/>
    <s v="Jueves"/>
    <x v="4"/>
    <x v="1"/>
    <x v="0"/>
    <x v="3"/>
    <x v="3"/>
    <x v="3"/>
    <n v="9800"/>
    <x v="70"/>
    <n v="84.6"/>
    <n v="0"/>
    <n v="302"/>
    <n v="0"/>
    <x v="0"/>
    <n v="101.7"/>
    <n v="0"/>
    <x v="0"/>
    <n v="9.0500000000000007"/>
    <n v="10.378"/>
    <n v="101.7"/>
  </r>
  <r>
    <n v="1228"/>
    <d v="2025-05-01T20:00:00"/>
    <x v="3"/>
    <s v="Jueves"/>
    <x v="4"/>
    <x v="1"/>
    <x v="0"/>
    <x v="2"/>
    <x v="2"/>
    <x v="2"/>
    <n v="17400"/>
    <x v="227"/>
    <n v="81.5"/>
    <n v="0"/>
    <n v="1442"/>
    <n v="0"/>
    <x v="0"/>
    <n v="279.82"/>
    <n v="0"/>
    <x v="0"/>
    <n v="24.32"/>
    <n v="16.082000000000001"/>
    <n v="279.82"/>
  </r>
  <r>
    <n v="1596"/>
    <d v="2025-05-01T20:00:00"/>
    <x v="3"/>
    <s v="Jueves"/>
    <x v="4"/>
    <x v="1"/>
    <x v="0"/>
    <x v="0"/>
    <x v="0"/>
    <x v="0"/>
    <n v="26000"/>
    <x v="174"/>
    <n v="58.7"/>
    <n v="0"/>
    <n v="0"/>
    <n v="0"/>
    <x v="0"/>
    <n v="46.81"/>
    <n v="0"/>
    <x v="0"/>
    <n v="4.04"/>
    <n v="1.8"/>
    <n v="46.81"/>
  </r>
  <r>
    <n v="492"/>
    <d v="2025-05-01T20:00:00"/>
    <x v="3"/>
    <s v="Jueves"/>
    <x v="4"/>
    <x v="1"/>
    <x v="0"/>
    <x v="5"/>
    <x v="5"/>
    <x v="5"/>
    <n v="8600"/>
    <x v="179"/>
    <n v="93.3"/>
    <n v="0"/>
    <n v="60"/>
    <n v="0"/>
    <x v="0"/>
    <n v="16.3"/>
    <n v="0"/>
    <x v="0"/>
    <n v="1.41"/>
    <n v="1.895"/>
    <n v="16.3"/>
  </r>
  <r>
    <n v="1229"/>
    <d v="2025-05-05T00:00:00"/>
    <x v="0"/>
    <s v="Lunes"/>
    <x v="4"/>
    <x v="1"/>
    <x v="0"/>
    <x v="2"/>
    <x v="2"/>
    <x v="2"/>
    <n v="17400"/>
    <x v="130"/>
    <n v="65.7"/>
    <n v="0"/>
    <m/>
    <n v="0"/>
    <x v="0"/>
    <n v="49.21"/>
    <n v="0"/>
    <x v="0"/>
    <n v="4.28"/>
    <n v="2.8279999999999998"/>
    <n v="49.21"/>
  </r>
  <r>
    <n v="1965"/>
    <d v="2025-05-05T00:00:00"/>
    <x v="0"/>
    <s v="Lunes"/>
    <x v="4"/>
    <x v="1"/>
    <x v="0"/>
    <x v="3"/>
    <x v="3"/>
    <x v="3"/>
    <n v="9800"/>
    <x v="124"/>
    <n v="74.5"/>
    <n v="0"/>
    <n v="303"/>
    <n v="1"/>
    <x v="2"/>
    <n v="99.81"/>
    <n v="0"/>
    <x v="0"/>
    <n v="8.83"/>
    <n v="10.185"/>
    <n v="99.81"/>
  </r>
  <r>
    <n v="861"/>
    <d v="2025-05-05T00:00:00"/>
    <x v="0"/>
    <s v="Lunes"/>
    <x v="4"/>
    <x v="1"/>
    <x v="0"/>
    <x v="1"/>
    <x v="1"/>
    <x v="1"/>
    <n v="21000"/>
    <x v="223"/>
    <n v="55.3"/>
    <n v="0"/>
    <n v="203"/>
    <n v="0"/>
    <x v="0"/>
    <n v="174.04"/>
    <n v="0"/>
    <x v="0"/>
    <n v="14.74"/>
    <n v="8.2880000000000003"/>
    <n v="174.04"/>
  </r>
  <r>
    <n v="493"/>
    <d v="2025-05-05T00:00:00"/>
    <x v="0"/>
    <s v="Lunes"/>
    <x v="4"/>
    <x v="1"/>
    <x v="0"/>
    <x v="5"/>
    <x v="5"/>
    <x v="5"/>
    <n v="8600"/>
    <x v="72"/>
    <n v="85.9"/>
    <n v="0"/>
    <n v="67"/>
    <n v="1"/>
    <x v="2"/>
    <n v="21.06"/>
    <n v="0"/>
    <x v="0"/>
    <n v="1.83"/>
    <n v="2.4489999999999998"/>
    <n v="21.06"/>
  </r>
  <r>
    <n v="125"/>
    <d v="2025-05-05T00:00:00"/>
    <x v="0"/>
    <s v="Lunes"/>
    <x v="4"/>
    <x v="1"/>
    <x v="0"/>
    <x v="4"/>
    <x v="4"/>
    <x v="4"/>
    <n v="12500"/>
    <x v="126"/>
    <n v="60.1"/>
    <n v="0"/>
    <n v="48"/>
    <n v="0"/>
    <x v="0"/>
    <n v="28.63"/>
    <n v="0"/>
    <x v="0"/>
    <n v="2.42"/>
    <n v="2.29"/>
    <n v="28.63"/>
  </r>
  <r>
    <n v="1597"/>
    <d v="2025-05-05T00:00:00"/>
    <x v="0"/>
    <s v="Lunes"/>
    <x v="4"/>
    <x v="1"/>
    <x v="0"/>
    <x v="0"/>
    <x v="0"/>
    <x v="0"/>
    <n v="26000"/>
    <x v="184"/>
    <n v="58.5"/>
    <n v="0"/>
    <n v="60"/>
    <n v="0"/>
    <x v="0"/>
    <n v="113.81"/>
    <n v="0"/>
    <x v="0"/>
    <n v="9.86"/>
    <n v="4.3769999999999998"/>
    <n v="113.81"/>
  </r>
  <r>
    <n v="494"/>
    <d v="2025-05-05T08:00:00"/>
    <x v="1"/>
    <s v="Lunes"/>
    <x v="4"/>
    <x v="1"/>
    <x v="0"/>
    <x v="5"/>
    <x v="5"/>
    <x v="5"/>
    <n v="8600"/>
    <x v="24"/>
    <n v="94.4"/>
    <n v="249.2"/>
    <n v="847"/>
    <n v="1"/>
    <x v="1"/>
    <n v="82.34"/>
    <n v="19.68"/>
    <x v="1"/>
    <n v="8.91"/>
    <n v="9.5739999999999998"/>
    <n v="62.66"/>
  </r>
  <r>
    <n v="862"/>
    <d v="2025-05-05T08:00:00"/>
    <x v="1"/>
    <s v="Lunes"/>
    <x v="4"/>
    <x v="1"/>
    <x v="0"/>
    <x v="1"/>
    <x v="1"/>
    <x v="1"/>
    <n v="21000"/>
    <x v="228"/>
    <n v="51.4"/>
    <n v="298.39999999999998"/>
    <n v="380"/>
    <n v="0"/>
    <x v="0"/>
    <n v="201.5"/>
    <n v="58.33"/>
    <x v="1"/>
    <n v="19.010000000000002"/>
    <n v="9.5950000000000006"/>
    <n v="143.16999999999999"/>
  </r>
  <r>
    <n v="1966"/>
    <d v="2025-05-05T08:00:00"/>
    <x v="1"/>
    <s v="Lunes"/>
    <x v="4"/>
    <x v="1"/>
    <x v="0"/>
    <x v="3"/>
    <x v="3"/>
    <x v="3"/>
    <n v="9800"/>
    <x v="174"/>
    <n v="76.900000000000006"/>
    <n v="266.89999999999998"/>
    <n v="54"/>
    <n v="0"/>
    <x v="0"/>
    <n v="18.43"/>
    <n v="0"/>
    <x v="1"/>
    <n v="2.58"/>
    <n v="1.881"/>
    <n v="18.43"/>
  </r>
  <r>
    <n v="126"/>
    <d v="2025-05-05T08:00:00"/>
    <x v="1"/>
    <s v="Lunes"/>
    <x v="4"/>
    <x v="1"/>
    <x v="0"/>
    <x v="4"/>
    <x v="4"/>
    <x v="4"/>
    <n v="12500"/>
    <x v="106"/>
    <n v="50.9"/>
    <n v="284"/>
    <n v="351"/>
    <n v="0"/>
    <x v="0"/>
    <n v="70.16"/>
    <n v="42.62"/>
    <x v="1"/>
    <n v="3.77"/>
    <n v="5.6130000000000004"/>
    <n v="27.54"/>
  </r>
  <r>
    <n v="1598"/>
    <d v="2025-05-05T08:00:00"/>
    <x v="1"/>
    <s v="Lunes"/>
    <x v="4"/>
    <x v="1"/>
    <x v="0"/>
    <x v="0"/>
    <x v="0"/>
    <x v="0"/>
    <n v="26000"/>
    <x v="144"/>
    <n v="54.1"/>
    <n v="325.10000000000002"/>
    <n v="161"/>
    <n v="0"/>
    <x v="0"/>
    <n v="145.11000000000001"/>
    <n v="88.94"/>
    <x v="1"/>
    <n v="7.63"/>
    <n v="5.5810000000000004"/>
    <n v="56.17"/>
  </r>
  <r>
    <n v="1230"/>
    <d v="2025-05-05T08:00:00"/>
    <x v="1"/>
    <s v="Lunes"/>
    <x v="4"/>
    <x v="1"/>
    <x v="0"/>
    <x v="2"/>
    <x v="2"/>
    <x v="2"/>
    <n v="17400"/>
    <x v="206"/>
    <n v="73.900000000000006"/>
    <n v="329.5"/>
    <n v="131"/>
    <n v="0"/>
    <x v="0"/>
    <n v="41"/>
    <n v="39.78"/>
    <x v="1"/>
    <n v="0.17"/>
    <n v="2.3559999999999999"/>
    <n v="1.22"/>
  </r>
  <r>
    <n v="863"/>
    <d v="2025-05-05T14:00:00"/>
    <x v="2"/>
    <s v="Lunes"/>
    <x v="4"/>
    <x v="1"/>
    <x v="0"/>
    <x v="1"/>
    <x v="1"/>
    <x v="1"/>
    <n v="21000"/>
    <x v="229"/>
    <n v="51.8"/>
    <n v="756.5"/>
    <n v="397"/>
    <n v="1"/>
    <x v="3"/>
    <n v="220.65"/>
    <n v="151.16999999999999"/>
    <x v="1"/>
    <n v="9.61"/>
    <n v="10.507"/>
    <n v="69.48"/>
  </r>
  <r>
    <n v="127"/>
    <d v="2025-05-05T14:00:00"/>
    <x v="2"/>
    <s v="Lunes"/>
    <x v="4"/>
    <x v="1"/>
    <x v="0"/>
    <x v="4"/>
    <x v="4"/>
    <x v="4"/>
    <n v="12500"/>
    <x v="166"/>
    <n v="69.099999999999994"/>
    <n v="498.7"/>
    <n v="612"/>
    <n v="0"/>
    <x v="0"/>
    <n v="103.06"/>
    <n v="79.2"/>
    <x v="1"/>
    <n v="3.37"/>
    <n v="8.2449999999999992"/>
    <n v="23.86"/>
  </r>
  <r>
    <n v="495"/>
    <d v="2025-05-05T14:00:00"/>
    <x v="2"/>
    <s v="Lunes"/>
    <x v="4"/>
    <x v="1"/>
    <x v="0"/>
    <x v="5"/>
    <x v="5"/>
    <x v="5"/>
    <n v="8600"/>
    <x v="190"/>
    <n v="81"/>
    <n v="519.20000000000005"/>
    <n v="813"/>
    <n v="0"/>
    <x v="0"/>
    <n v="82.47"/>
    <n v="42.6"/>
    <x v="1"/>
    <n v="5.62"/>
    <n v="9.59"/>
    <n v="39.869999999999997"/>
  </r>
  <r>
    <n v="1599"/>
    <d v="2025-05-05T14:00:00"/>
    <x v="2"/>
    <s v="Lunes"/>
    <x v="4"/>
    <x v="1"/>
    <x v="0"/>
    <x v="0"/>
    <x v="0"/>
    <x v="0"/>
    <n v="26000"/>
    <x v="230"/>
    <n v="56.5"/>
    <n v="636.79999999999995"/>
    <n v="184"/>
    <n v="1"/>
    <x v="3"/>
    <n v="174.2"/>
    <n v="156.74"/>
    <x v="1"/>
    <n v="2.42"/>
    <n v="6.7"/>
    <n v="17.46"/>
  </r>
  <r>
    <n v="1967"/>
    <d v="2025-05-05T14:00:00"/>
    <x v="2"/>
    <s v="Lunes"/>
    <x v="4"/>
    <x v="1"/>
    <x v="0"/>
    <x v="3"/>
    <x v="3"/>
    <x v="3"/>
    <n v="9800"/>
    <x v="183"/>
    <n v="66.599999999999994"/>
    <n v="650.5"/>
    <n v="56"/>
    <n v="1"/>
    <x v="2"/>
    <n v="18.149999999999999"/>
    <n v="0"/>
    <x v="1"/>
    <n v="2.56"/>
    <n v="1.8520000000000001"/>
    <n v="18.149999999999999"/>
  </r>
  <r>
    <n v="1231"/>
    <d v="2025-05-05T14:00:00"/>
    <x v="2"/>
    <s v="Lunes"/>
    <x v="4"/>
    <x v="1"/>
    <x v="0"/>
    <x v="2"/>
    <x v="2"/>
    <x v="2"/>
    <n v="17400"/>
    <x v="231"/>
    <n v="72.099999999999994"/>
    <n v="826.2"/>
    <n v="1271"/>
    <n v="1"/>
    <x v="3"/>
    <n v="203"/>
    <n v="100.97"/>
    <x v="1"/>
    <n v="14.64"/>
    <n v="11.667"/>
    <n v="102.03"/>
  </r>
  <r>
    <n v="864"/>
    <d v="2025-05-05T20:00:00"/>
    <x v="3"/>
    <s v="Lunes"/>
    <x v="4"/>
    <x v="1"/>
    <x v="0"/>
    <x v="1"/>
    <x v="1"/>
    <x v="1"/>
    <n v="21000"/>
    <x v="232"/>
    <m/>
    <n v="0"/>
    <n v="379"/>
    <n v="1"/>
    <x v="3"/>
    <n v="287.92"/>
    <n v="0"/>
    <x v="2"/>
    <n v="59.4"/>
    <n v="13.71"/>
    <n v="287.92"/>
  </r>
  <r>
    <n v="1600"/>
    <d v="2025-05-05T20:00:00"/>
    <x v="3"/>
    <s v="Lunes"/>
    <x v="4"/>
    <x v="1"/>
    <x v="0"/>
    <x v="0"/>
    <x v="0"/>
    <x v="0"/>
    <n v="26000"/>
    <x v="181"/>
    <m/>
    <n v="0"/>
    <n v="163"/>
    <n v="0"/>
    <x v="0"/>
    <n v="257.25"/>
    <n v="0"/>
    <x v="2"/>
    <n v="53.97"/>
    <n v="9.8940000000000001"/>
    <n v="257.25"/>
  </r>
  <r>
    <n v="496"/>
    <d v="2025-05-05T20:00:00"/>
    <x v="3"/>
    <s v="Lunes"/>
    <x v="4"/>
    <x v="1"/>
    <x v="0"/>
    <x v="5"/>
    <x v="5"/>
    <x v="5"/>
    <n v="8600"/>
    <x v="147"/>
    <n v="77.2"/>
    <n v="0"/>
    <n v="118"/>
    <n v="0"/>
    <x v="0"/>
    <n v="227.92"/>
    <n v="0"/>
    <x v="2"/>
    <n v="5.48"/>
    <n v="26.501999999999999"/>
    <n v="227.92"/>
  </r>
  <r>
    <n v="1232"/>
    <d v="2025-05-05T20:00:00"/>
    <x v="3"/>
    <s v="Lunes"/>
    <x v="4"/>
    <x v="1"/>
    <x v="0"/>
    <x v="2"/>
    <x v="2"/>
    <x v="2"/>
    <n v="17400"/>
    <x v="227"/>
    <n v="83.1"/>
    <n v="0"/>
    <n v="1328"/>
    <n v="0"/>
    <x v="0"/>
    <n v="269.49"/>
    <n v="0"/>
    <x v="2"/>
    <n v="55.43"/>
    <n v="15.488"/>
    <n v="269.49"/>
  </r>
  <r>
    <n v="1968"/>
    <d v="2025-05-05T20:00:00"/>
    <x v="3"/>
    <s v="Lunes"/>
    <x v="4"/>
    <x v="1"/>
    <x v="0"/>
    <x v="3"/>
    <x v="3"/>
    <x v="3"/>
    <n v="9800"/>
    <x v="199"/>
    <n v="71.3"/>
    <n v="0"/>
    <n v="305"/>
    <n v="0"/>
    <x v="0"/>
    <n v="93.43"/>
    <n v="0"/>
    <x v="2"/>
    <n v="18.89"/>
    <n v="9.5340000000000007"/>
    <n v="93.43"/>
  </r>
  <r>
    <n v="128"/>
    <d v="2025-05-05T20:00:00"/>
    <x v="3"/>
    <s v="Lunes"/>
    <x v="4"/>
    <x v="1"/>
    <x v="0"/>
    <x v="4"/>
    <x v="4"/>
    <x v="4"/>
    <n v="12500"/>
    <x v="43"/>
    <n v="65.900000000000006"/>
    <n v="0"/>
    <n v="9"/>
    <n v="0"/>
    <x v="0"/>
    <n v="36.770000000000003"/>
    <n v="0"/>
    <x v="2"/>
    <n v="7.62"/>
    <n v="2.9420000000000002"/>
    <n v="36.770000000000003"/>
  </r>
  <r>
    <n v="497"/>
    <d v="2025-05-09T00:00:00"/>
    <x v="0"/>
    <s v="Viernes"/>
    <x v="4"/>
    <x v="1"/>
    <x v="0"/>
    <x v="5"/>
    <x v="5"/>
    <x v="5"/>
    <n v="8600"/>
    <x v="142"/>
    <n v="81.8"/>
    <n v="0"/>
    <n v="91"/>
    <n v="1"/>
    <x v="1"/>
    <n v="25.39"/>
    <n v="0"/>
    <x v="0"/>
    <n v="2.3199999999999998"/>
    <n v="2.952"/>
    <n v="25.39"/>
  </r>
  <r>
    <n v="1969"/>
    <d v="2025-05-09T00:00:00"/>
    <x v="0"/>
    <s v="Viernes"/>
    <x v="4"/>
    <x v="1"/>
    <x v="0"/>
    <x v="3"/>
    <x v="3"/>
    <x v="3"/>
    <n v="9800"/>
    <x v="147"/>
    <n v="77.5"/>
    <n v="0"/>
    <n v="283"/>
    <n v="0"/>
    <x v="0"/>
    <n v="719.17"/>
    <n v="0"/>
    <x v="0"/>
    <n v="8.23"/>
    <n v="73.385000000000005"/>
    <n v="719.17"/>
  </r>
  <r>
    <n v="865"/>
    <d v="2025-05-09T00:00:00"/>
    <x v="0"/>
    <s v="Viernes"/>
    <x v="4"/>
    <x v="1"/>
    <x v="0"/>
    <x v="1"/>
    <x v="1"/>
    <x v="1"/>
    <n v="21000"/>
    <x v="163"/>
    <n v="65.8"/>
    <n v="0"/>
    <n v="216"/>
    <n v="0"/>
    <x v="0"/>
    <n v="177.25"/>
    <n v="0"/>
    <x v="0"/>
    <n v="15.21"/>
    <n v="8.44"/>
    <n v="177.25"/>
  </r>
  <r>
    <n v="1233"/>
    <d v="2025-05-09T00:00:00"/>
    <x v="0"/>
    <s v="Viernes"/>
    <x v="4"/>
    <x v="1"/>
    <x v="0"/>
    <x v="2"/>
    <x v="2"/>
    <x v="2"/>
    <n v="17400"/>
    <x v="200"/>
    <n v="70.400000000000006"/>
    <n v="0"/>
    <n v="278"/>
    <n v="0"/>
    <x v="0"/>
    <n v="63.21"/>
    <n v="0"/>
    <x v="0"/>
    <n v="5.25"/>
    <n v="3.633"/>
    <n v="63.21"/>
  </r>
  <r>
    <n v="1601"/>
    <d v="2025-05-09T00:00:00"/>
    <x v="0"/>
    <s v="Viernes"/>
    <x v="4"/>
    <x v="1"/>
    <x v="0"/>
    <x v="0"/>
    <x v="0"/>
    <x v="0"/>
    <n v="26000"/>
    <x v="186"/>
    <m/>
    <n v="0"/>
    <n v="74"/>
    <n v="1"/>
    <x v="2"/>
    <n v="118.23"/>
    <n v="0"/>
    <x v="0"/>
    <n v="10.09"/>
    <n v="4.5469999999999997"/>
    <n v="118.23"/>
  </r>
  <r>
    <n v="129"/>
    <d v="2025-05-09T00:00:00"/>
    <x v="0"/>
    <s v="Viernes"/>
    <x v="4"/>
    <x v="1"/>
    <x v="0"/>
    <x v="4"/>
    <x v="4"/>
    <x v="4"/>
    <n v="12500"/>
    <x v="16"/>
    <n v="62.8"/>
    <n v="0"/>
    <n v="31"/>
    <n v="0"/>
    <x v="0"/>
    <n v="23.8"/>
    <n v="0"/>
    <x v="0"/>
    <n v="2.08"/>
    <n v="1.9039999999999999"/>
    <n v="23.8"/>
  </r>
  <r>
    <n v="130"/>
    <d v="2025-05-09T08:00:00"/>
    <x v="1"/>
    <s v="Viernes"/>
    <x v="4"/>
    <x v="1"/>
    <x v="0"/>
    <x v="4"/>
    <x v="4"/>
    <x v="4"/>
    <n v="12500"/>
    <x v="11"/>
    <n v="61.3"/>
    <n v="384.2"/>
    <n v="354"/>
    <n v="1"/>
    <x v="2"/>
    <n v="69.88"/>
    <n v="62.21"/>
    <x v="1"/>
    <n v="1.07"/>
    <n v="5.59"/>
    <n v="7.67"/>
  </r>
  <r>
    <n v="1234"/>
    <d v="2025-05-09T08:00:00"/>
    <x v="1"/>
    <s v="Viernes"/>
    <x v="4"/>
    <x v="1"/>
    <x v="0"/>
    <x v="2"/>
    <x v="2"/>
    <x v="2"/>
    <n v="17400"/>
    <x v="213"/>
    <n v="73.400000000000006"/>
    <n v="217.2"/>
    <n v="100"/>
    <n v="0"/>
    <x v="0"/>
    <n v="38.299999999999997"/>
    <n v="27.89"/>
    <x v="1"/>
    <n v="1.46"/>
    <n v="2.2010000000000001"/>
    <n v="10.41"/>
  </r>
  <r>
    <n v="1970"/>
    <d v="2025-05-09T08:00:00"/>
    <x v="1"/>
    <s v="Viernes"/>
    <x v="4"/>
    <x v="1"/>
    <x v="0"/>
    <x v="3"/>
    <x v="3"/>
    <x v="3"/>
    <n v="9800"/>
    <x v="155"/>
    <n v="80.3"/>
    <n v="260.8"/>
    <n v="78"/>
    <n v="0"/>
    <x v="0"/>
    <n v="17.809999999999999"/>
    <n v="0"/>
    <x v="1"/>
    <n v="2.52"/>
    <n v="1.8169999999999999"/>
    <n v="17.809999999999999"/>
  </r>
  <r>
    <n v="1602"/>
    <d v="2025-05-09T08:00:00"/>
    <x v="1"/>
    <s v="Viernes"/>
    <x v="4"/>
    <x v="1"/>
    <x v="0"/>
    <x v="0"/>
    <x v="0"/>
    <x v="0"/>
    <n v="26000"/>
    <x v="184"/>
    <n v="50.4"/>
    <n v="357.4"/>
    <n v="180"/>
    <n v="0"/>
    <x v="0"/>
    <n v="152.65"/>
    <n v="95.34"/>
    <x v="1"/>
    <n v="7.7"/>
    <n v="5.8710000000000004"/>
    <n v="57.31"/>
  </r>
  <r>
    <n v="498"/>
    <d v="2025-05-09T08:00:00"/>
    <x v="1"/>
    <s v="Viernes"/>
    <x v="4"/>
    <x v="1"/>
    <x v="0"/>
    <x v="5"/>
    <x v="5"/>
    <x v="5"/>
    <n v="8600"/>
    <x v="223"/>
    <n v="78.900000000000006"/>
    <n v="270.39999999999998"/>
    <n v="776"/>
    <n v="0"/>
    <x v="0"/>
    <n v="83.78"/>
    <n v="19.72"/>
    <x v="1"/>
    <n v="9.25"/>
    <n v="9.7420000000000009"/>
    <n v="64.06"/>
  </r>
  <r>
    <n v="866"/>
    <d v="2025-05-09T08:00:00"/>
    <x v="1"/>
    <s v="Viernes"/>
    <x v="4"/>
    <x v="1"/>
    <x v="0"/>
    <x v="1"/>
    <x v="1"/>
    <x v="1"/>
    <n v="21000"/>
    <x v="158"/>
    <n v="50.5"/>
    <n v="322.60000000000002"/>
    <n v="439"/>
    <n v="0"/>
    <x v="0"/>
    <n v="193.64"/>
    <n v="61.15"/>
    <x v="1"/>
    <n v="18.93"/>
    <n v="9.2210000000000001"/>
    <n v="132.49"/>
  </r>
  <r>
    <n v="1971"/>
    <d v="2025-05-09T14:00:00"/>
    <x v="2"/>
    <s v="Viernes"/>
    <x v="4"/>
    <x v="1"/>
    <x v="0"/>
    <x v="3"/>
    <x v="3"/>
    <x v="3"/>
    <n v="9800"/>
    <x v="220"/>
    <n v="80.900000000000006"/>
    <n v="668.4"/>
    <n v="82"/>
    <n v="0"/>
    <x v="0"/>
    <n v="19.78"/>
    <n v="0"/>
    <x v="1"/>
    <n v="2.85"/>
    <n v="2.0179999999999998"/>
    <n v="19.78"/>
  </r>
  <r>
    <n v="1603"/>
    <d v="2025-05-09T14:00:00"/>
    <x v="2"/>
    <s v="Viernes"/>
    <x v="4"/>
    <x v="1"/>
    <x v="0"/>
    <x v="0"/>
    <x v="0"/>
    <x v="0"/>
    <n v="26000"/>
    <x v="233"/>
    <n v="57.5"/>
    <n v="604.29999999999995"/>
    <n v="163"/>
    <n v="1"/>
    <x v="3"/>
    <n v="145.93"/>
    <n v="160.27000000000001"/>
    <x v="1"/>
    <n v="-0.82"/>
    <n v="5.6130000000000004"/>
    <n v="0"/>
  </r>
  <r>
    <n v="1235"/>
    <d v="2025-05-09T14:00:00"/>
    <x v="2"/>
    <s v="Viernes"/>
    <x v="4"/>
    <x v="1"/>
    <x v="0"/>
    <x v="2"/>
    <x v="2"/>
    <x v="2"/>
    <n v="17400"/>
    <x v="233"/>
    <n v="53.7"/>
    <n v="755"/>
    <n v="1434"/>
    <n v="1"/>
    <x v="3"/>
    <n v="225.81"/>
    <n v="101.17"/>
    <x v="1"/>
    <n v="17.47"/>
    <n v="12.978"/>
    <n v="124.64"/>
  </r>
  <r>
    <n v="499"/>
    <d v="2025-05-09T14:00:00"/>
    <x v="2"/>
    <s v="Viernes"/>
    <x v="4"/>
    <x v="1"/>
    <x v="0"/>
    <x v="5"/>
    <x v="5"/>
    <x v="5"/>
    <n v="8600"/>
    <x v="213"/>
    <n v="83.8"/>
    <n v="510.5"/>
    <n v="845"/>
    <n v="0"/>
    <x v="0"/>
    <n v="83.18"/>
    <n v="39.020000000000003"/>
    <x v="1"/>
    <n v="6.09"/>
    <n v="9.6720000000000006"/>
    <n v="44.16"/>
  </r>
  <r>
    <n v="131"/>
    <d v="2025-05-09T14:00:00"/>
    <x v="2"/>
    <s v="Viernes"/>
    <x v="4"/>
    <x v="1"/>
    <x v="0"/>
    <x v="4"/>
    <x v="4"/>
    <x v="4"/>
    <n v="12500"/>
    <x v="234"/>
    <n v="53.6"/>
    <n v="748.5"/>
    <n v="600"/>
    <n v="1"/>
    <x v="3"/>
    <n v="110.82"/>
    <n v="114.31"/>
    <x v="1"/>
    <n v="-0.2"/>
    <n v="8.8659999999999997"/>
    <n v="0"/>
  </r>
  <r>
    <n v="867"/>
    <d v="2025-05-09T14:00:00"/>
    <x v="2"/>
    <s v="Viernes"/>
    <x v="4"/>
    <x v="1"/>
    <x v="0"/>
    <x v="1"/>
    <x v="1"/>
    <x v="1"/>
    <n v="21000"/>
    <x v="235"/>
    <n v="49.4"/>
    <n v="730.4"/>
    <n v="392"/>
    <n v="1"/>
    <x v="3"/>
    <n v="210.36"/>
    <n v="165.61"/>
    <x v="1"/>
    <n v="6.24"/>
    <n v="10.016999999999999"/>
    <n v="44.75"/>
  </r>
  <r>
    <n v="1236"/>
    <d v="2025-05-09T20:00:00"/>
    <x v="3"/>
    <s v="Viernes"/>
    <x v="4"/>
    <x v="1"/>
    <x v="0"/>
    <x v="2"/>
    <x v="2"/>
    <x v="2"/>
    <n v="17400"/>
    <x v="192"/>
    <n v="71.3"/>
    <n v="0"/>
    <n v="1403"/>
    <n v="0"/>
    <x v="0"/>
    <n v="280.23"/>
    <n v="0"/>
    <x v="2"/>
    <n v="60.78"/>
    <n v="16.105"/>
    <n v="280.23"/>
  </r>
  <r>
    <n v="868"/>
    <d v="2025-05-09T20:00:00"/>
    <x v="3"/>
    <s v="Viernes"/>
    <x v="4"/>
    <x v="1"/>
    <x v="0"/>
    <x v="1"/>
    <x v="1"/>
    <x v="1"/>
    <n v="21000"/>
    <x v="201"/>
    <n v="63.9"/>
    <n v="0"/>
    <n v="386"/>
    <n v="1"/>
    <x v="2"/>
    <n v="288.49"/>
    <n v="0"/>
    <x v="2"/>
    <n v="60.61"/>
    <n v="13.738"/>
    <n v="288.49"/>
  </r>
  <r>
    <n v="1604"/>
    <d v="2025-05-09T20:00:00"/>
    <x v="3"/>
    <s v="Viernes"/>
    <x v="4"/>
    <x v="1"/>
    <x v="0"/>
    <x v="0"/>
    <x v="0"/>
    <x v="0"/>
    <n v="26000"/>
    <x v="236"/>
    <n v="50.4"/>
    <n v="3.1"/>
    <n v="179"/>
    <n v="0"/>
    <x v="0"/>
    <n v="262.85000000000002"/>
    <n v="0.82"/>
    <x v="2"/>
    <n v="55.08"/>
    <n v="10.11"/>
    <n v="262.02999999999997"/>
  </r>
  <r>
    <n v="132"/>
    <d v="2025-05-09T20:00:00"/>
    <x v="3"/>
    <s v="Viernes"/>
    <x v="4"/>
    <x v="1"/>
    <x v="0"/>
    <x v="4"/>
    <x v="4"/>
    <x v="4"/>
    <n v="12500"/>
    <x v="159"/>
    <n v="43"/>
    <n v="0"/>
    <n v="38"/>
    <n v="0"/>
    <x v="0"/>
    <n v="36.46"/>
    <n v="0"/>
    <x v="2"/>
    <n v="7.86"/>
    <n v="2.9169999999999998"/>
    <n v="36.46"/>
  </r>
  <r>
    <n v="1972"/>
    <d v="2025-05-09T20:00:00"/>
    <x v="3"/>
    <s v="Viernes"/>
    <x v="4"/>
    <x v="1"/>
    <x v="0"/>
    <x v="3"/>
    <x v="3"/>
    <x v="3"/>
    <n v="9800"/>
    <x v="227"/>
    <n v="71.8"/>
    <n v="4.2"/>
    <n v="311"/>
    <n v="0"/>
    <x v="0"/>
    <n v="87.72"/>
    <n v="0"/>
    <x v="2"/>
    <n v="18.28"/>
    <n v="8.9510000000000005"/>
    <n v="87.72"/>
  </r>
  <r>
    <n v="500"/>
    <d v="2025-05-09T20:00:00"/>
    <x v="3"/>
    <s v="Viernes"/>
    <x v="4"/>
    <x v="1"/>
    <x v="0"/>
    <x v="5"/>
    <x v="5"/>
    <x v="5"/>
    <n v="8600"/>
    <x v="161"/>
    <n v="98.8"/>
    <n v="0"/>
    <n v="93"/>
    <n v="1"/>
    <x v="2"/>
    <n v="23.26"/>
    <n v="0"/>
    <x v="2"/>
    <n v="5"/>
    <n v="2.7050000000000001"/>
    <n v="23.26"/>
  </r>
  <r>
    <n v="133"/>
    <d v="2025-05-13T00:00:00"/>
    <x v="0"/>
    <s v="Martes"/>
    <x v="4"/>
    <x v="1"/>
    <x v="0"/>
    <x v="4"/>
    <x v="4"/>
    <x v="4"/>
    <n v="12500"/>
    <x v="186"/>
    <n v="50.7"/>
    <n v="0"/>
    <n v="41"/>
    <n v="0"/>
    <x v="0"/>
    <n v="26.88"/>
    <n v="0"/>
    <x v="0"/>
    <n v="2.34"/>
    <n v="2.15"/>
    <n v="26.88"/>
  </r>
  <r>
    <n v="1605"/>
    <d v="2025-05-13T00:00:00"/>
    <x v="0"/>
    <s v="Martes"/>
    <x v="4"/>
    <x v="1"/>
    <x v="0"/>
    <x v="0"/>
    <x v="0"/>
    <x v="0"/>
    <n v="26000"/>
    <x v="99"/>
    <n v="69.900000000000006"/>
    <n v="0"/>
    <n v="45"/>
    <n v="1"/>
    <x v="2"/>
    <n v="106.66"/>
    <n v="0"/>
    <x v="0"/>
    <n v="9.4499999999999993"/>
    <n v="4.1020000000000003"/>
    <n v="106.66"/>
  </r>
  <r>
    <n v="1237"/>
    <d v="2025-05-13T00:00:00"/>
    <x v="0"/>
    <s v="Martes"/>
    <x v="4"/>
    <x v="1"/>
    <x v="0"/>
    <x v="2"/>
    <x v="2"/>
    <x v="2"/>
    <n v="17400"/>
    <x v="198"/>
    <n v="80.900000000000006"/>
    <n v="0"/>
    <n v="108"/>
    <n v="0"/>
    <x v="0"/>
    <n v="55.3"/>
    <n v="0"/>
    <x v="0"/>
    <n v="4.6900000000000004"/>
    <n v="3.1779999999999999"/>
    <n v="55.3"/>
  </r>
  <r>
    <n v="1973"/>
    <d v="2025-05-13T00:00:00"/>
    <x v="0"/>
    <s v="Martes"/>
    <x v="4"/>
    <x v="1"/>
    <x v="0"/>
    <x v="3"/>
    <x v="3"/>
    <x v="3"/>
    <n v="9800"/>
    <x v="124"/>
    <n v="75"/>
    <n v="0"/>
    <n v="310"/>
    <n v="1"/>
    <x v="2"/>
    <n v="99.05"/>
    <n v="0"/>
    <x v="0"/>
    <n v="8.6300000000000008"/>
    <n v="10.106999999999999"/>
    <n v="99.05"/>
  </r>
  <r>
    <n v="869"/>
    <d v="2025-05-13T00:00:00"/>
    <x v="0"/>
    <s v="Martes"/>
    <x v="4"/>
    <x v="1"/>
    <x v="0"/>
    <x v="1"/>
    <x v="1"/>
    <x v="1"/>
    <n v="21000"/>
    <x v="162"/>
    <n v="61.6"/>
    <n v="0"/>
    <n v="188"/>
    <n v="0"/>
    <x v="0"/>
    <m/>
    <n v="0"/>
    <x v="0"/>
    <n v="14.86"/>
    <m/>
    <m/>
  </r>
  <r>
    <n v="501"/>
    <d v="2025-05-13T00:00:00"/>
    <x v="0"/>
    <s v="Martes"/>
    <x v="4"/>
    <x v="1"/>
    <x v="0"/>
    <x v="5"/>
    <x v="5"/>
    <x v="5"/>
    <n v="8600"/>
    <x v="15"/>
    <n v="85.9"/>
    <n v="0"/>
    <n v="45"/>
    <n v="1"/>
    <x v="2"/>
    <n v="18.239999999999998"/>
    <n v="0"/>
    <x v="0"/>
    <n v="1.61"/>
    <n v="2.121"/>
    <n v="18.239999999999998"/>
  </r>
  <r>
    <n v="1974"/>
    <d v="2025-05-13T08:00:00"/>
    <x v="1"/>
    <s v="Martes"/>
    <x v="4"/>
    <x v="1"/>
    <x v="0"/>
    <x v="3"/>
    <x v="3"/>
    <x v="3"/>
    <n v="9800"/>
    <x v="43"/>
    <n v="67.900000000000006"/>
    <n v="244.7"/>
    <n v="80"/>
    <n v="0"/>
    <x v="0"/>
    <n v="19.899999999999999"/>
    <n v="0"/>
    <x v="1"/>
    <n v="2.71"/>
    <n v="2.0310000000000001"/>
    <n v="19.899999999999999"/>
  </r>
  <r>
    <n v="1238"/>
    <d v="2025-05-13T08:00:00"/>
    <x v="1"/>
    <s v="Martes"/>
    <x v="4"/>
    <x v="1"/>
    <x v="0"/>
    <x v="2"/>
    <x v="2"/>
    <x v="2"/>
    <n v="17400"/>
    <x v="159"/>
    <n v="83.3"/>
    <n v="232.5"/>
    <n v="131"/>
    <n v="0"/>
    <x v="0"/>
    <n v="41.16"/>
    <n v="30.29"/>
    <x v="1"/>
    <n v="1.48"/>
    <n v="2.3660000000000001"/>
    <n v="10.87"/>
  </r>
  <r>
    <n v="134"/>
    <d v="2025-05-13T08:00:00"/>
    <x v="1"/>
    <s v="Martes"/>
    <x v="4"/>
    <x v="1"/>
    <x v="0"/>
    <x v="4"/>
    <x v="4"/>
    <x v="4"/>
    <n v="12500"/>
    <x v="55"/>
    <n v="61.1"/>
    <n v="275.2"/>
    <n v="312"/>
    <n v="1"/>
    <x v="2"/>
    <n v="67.92"/>
    <n v="37.99"/>
    <x v="1"/>
    <n v="4.0999999999999996"/>
    <n v="5.4340000000000002"/>
    <n v="29.93"/>
  </r>
  <r>
    <n v="502"/>
    <d v="2025-05-13T08:00:00"/>
    <x v="1"/>
    <s v="Martes"/>
    <x v="4"/>
    <x v="1"/>
    <x v="0"/>
    <x v="5"/>
    <x v="5"/>
    <x v="5"/>
    <n v="8600"/>
    <x v="168"/>
    <n v="78.5"/>
    <n v="294.2"/>
    <n v="844"/>
    <n v="1"/>
    <x v="1"/>
    <n v="91.74"/>
    <n v="22.11"/>
    <x v="1"/>
    <n v="9.56"/>
    <n v="10.667"/>
    <n v="69.63"/>
  </r>
  <r>
    <n v="1606"/>
    <d v="2025-05-13T08:00:00"/>
    <x v="1"/>
    <s v="Martes"/>
    <x v="4"/>
    <x v="1"/>
    <x v="0"/>
    <x v="0"/>
    <x v="0"/>
    <x v="0"/>
    <n v="26000"/>
    <x v="197"/>
    <n v="87.7"/>
    <n v="226.5"/>
    <n v="164"/>
    <n v="0"/>
    <x v="0"/>
    <n v="166.27"/>
    <n v="59.06"/>
    <x v="1"/>
    <n v="14.62"/>
    <n v="6.3949999999999996"/>
    <n v="107.21"/>
  </r>
  <r>
    <n v="870"/>
    <d v="2025-05-13T08:00:00"/>
    <x v="1"/>
    <s v="Martes"/>
    <x v="4"/>
    <x v="1"/>
    <x v="0"/>
    <x v="1"/>
    <x v="1"/>
    <x v="1"/>
    <n v="21000"/>
    <x v="169"/>
    <n v="62.9"/>
    <n v="380.4"/>
    <n v="395"/>
    <n v="0"/>
    <x v="0"/>
    <n v="203.36"/>
    <n v="78.510000000000005"/>
    <x v="1"/>
    <n v="17.23"/>
    <n v="9.6839999999999993"/>
    <n v="124.85"/>
  </r>
  <r>
    <n v="1607"/>
    <d v="2025-05-13T14:00:00"/>
    <x v="2"/>
    <s v="Martes"/>
    <x v="4"/>
    <x v="1"/>
    <x v="0"/>
    <x v="0"/>
    <x v="0"/>
    <x v="0"/>
    <n v="26000"/>
    <x v="237"/>
    <n v="55.1"/>
    <n v="503.4"/>
    <n v="166"/>
    <n v="1"/>
    <x v="3"/>
    <n v="169.34"/>
    <n v="126.78"/>
    <x v="1"/>
    <n v="6.09"/>
    <n v="6.5129999999999999"/>
    <n v="42.56"/>
  </r>
  <r>
    <n v="1239"/>
    <d v="2025-05-13T14:00:00"/>
    <x v="2"/>
    <s v="Martes"/>
    <x v="4"/>
    <x v="1"/>
    <x v="0"/>
    <x v="2"/>
    <x v="2"/>
    <x v="2"/>
    <n v="17400"/>
    <x v="238"/>
    <n v="65.900000000000006"/>
    <n v="826.2"/>
    <n v="1399"/>
    <n v="1"/>
    <x v="3"/>
    <n v="215.66"/>
    <n v="94.42"/>
    <x v="1"/>
    <n v="17.25"/>
    <n v="12.394"/>
    <n v="121.24"/>
  </r>
  <r>
    <n v="503"/>
    <d v="2025-05-13T14:00:00"/>
    <x v="2"/>
    <s v="Martes"/>
    <x v="4"/>
    <x v="1"/>
    <x v="0"/>
    <x v="5"/>
    <x v="5"/>
    <x v="5"/>
    <n v="8600"/>
    <x v="208"/>
    <n v="74.8"/>
    <n v="652.4"/>
    <n v="737"/>
    <n v="0"/>
    <x v="0"/>
    <n v="82.45"/>
    <n v="48.47"/>
    <x v="1"/>
    <n v="4.8600000000000003"/>
    <n v="9.5869999999999997"/>
    <n v="33.979999999999997"/>
  </r>
  <r>
    <n v="871"/>
    <d v="2025-05-13T14:00:00"/>
    <x v="2"/>
    <s v="Martes"/>
    <x v="4"/>
    <x v="1"/>
    <x v="0"/>
    <x v="1"/>
    <x v="1"/>
    <x v="1"/>
    <n v="21000"/>
    <x v="239"/>
    <n v="52.3"/>
    <n v="648.70000000000005"/>
    <n v="422"/>
    <n v="1"/>
    <x v="3"/>
    <n v="227.59"/>
    <n v="133.63999999999999"/>
    <x v="1"/>
    <n v="12.92"/>
    <n v="10.837999999999999"/>
    <n v="93.95"/>
  </r>
  <r>
    <n v="1975"/>
    <d v="2025-05-13T14:00:00"/>
    <x v="2"/>
    <s v="Martes"/>
    <x v="4"/>
    <x v="1"/>
    <x v="0"/>
    <x v="3"/>
    <x v="3"/>
    <x v="3"/>
    <n v="9800"/>
    <x v="240"/>
    <n v="69.599999999999994"/>
    <n v="597.20000000000005"/>
    <n v="42"/>
    <n v="1"/>
    <x v="3"/>
    <n v="21.35"/>
    <n v="0"/>
    <x v="1"/>
    <n v="2.97"/>
    <n v="2.1789999999999998"/>
    <n v="21.35"/>
  </r>
  <r>
    <n v="135"/>
    <d v="2025-05-13T14:00:00"/>
    <x v="2"/>
    <s v="Martes"/>
    <x v="4"/>
    <x v="1"/>
    <x v="0"/>
    <x v="4"/>
    <x v="4"/>
    <x v="4"/>
    <n v="12500"/>
    <x v="230"/>
    <n v="61.3"/>
    <n v="640.4"/>
    <n v="561"/>
    <n v="1"/>
    <x v="3"/>
    <n v="109.13"/>
    <n v="95.79"/>
    <x v="1"/>
    <n v="1.89"/>
    <n v="8.73"/>
    <n v="13.34"/>
  </r>
  <r>
    <n v="504"/>
    <d v="2025-05-13T20:00:00"/>
    <x v="3"/>
    <s v="Martes"/>
    <x v="4"/>
    <x v="1"/>
    <x v="0"/>
    <x v="5"/>
    <x v="5"/>
    <x v="5"/>
    <n v="8600"/>
    <x v="156"/>
    <n v="88.5"/>
    <n v="66.5"/>
    <n v="93"/>
    <n v="0"/>
    <x v="0"/>
    <n v="21.97"/>
    <n v="4.82"/>
    <x v="2"/>
    <n v="3.63"/>
    <n v="2.5550000000000002"/>
    <n v="17.149999999999999"/>
  </r>
  <r>
    <n v="136"/>
    <d v="2025-05-13T20:00:00"/>
    <x v="3"/>
    <s v="Martes"/>
    <x v="4"/>
    <x v="1"/>
    <x v="0"/>
    <x v="4"/>
    <x v="4"/>
    <x v="4"/>
    <n v="12500"/>
    <x v="206"/>
    <n v="45.1"/>
    <n v="40.799999999999997"/>
    <n v="141"/>
    <n v="0"/>
    <x v="0"/>
    <n v="42.47"/>
    <n v="6.19"/>
    <x v="2"/>
    <n v="7.99"/>
    <n v="3.3980000000000001"/>
    <n v="36.28"/>
  </r>
  <r>
    <n v="1976"/>
    <d v="2025-05-13T20:00:00"/>
    <x v="3"/>
    <s v="Martes"/>
    <x v="4"/>
    <x v="1"/>
    <x v="0"/>
    <x v="3"/>
    <x v="3"/>
    <x v="3"/>
    <n v="9800"/>
    <x v="204"/>
    <n v="64.900000000000006"/>
    <n v="25.8"/>
    <n v="308"/>
    <n v="0"/>
    <x v="0"/>
    <n v="90.71"/>
    <n v="0"/>
    <x v="2"/>
    <n v="19.12"/>
    <n v="9.2560000000000002"/>
    <n v="90.71"/>
  </r>
  <r>
    <n v="1240"/>
    <d v="2025-05-13T20:00:00"/>
    <x v="3"/>
    <s v="Martes"/>
    <x v="4"/>
    <x v="1"/>
    <x v="0"/>
    <x v="2"/>
    <x v="2"/>
    <x v="2"/>
    <n v="17400"/>
    <x v="191"/>
    <n v="63.8"/>
    <n v="2.7"/>
    <n v="1371"/>
    <n v="1"/>
    <x v="2"/>
    <n v="274.60000000000002"/>
    <n v="0.34"/>
    <x v="2"/>
    <n v="60.39"/>
    <n v="15.782"/>
    <n v="274.26"/>
  </r>
  <r>
    <n v="872"/>
    <d v="2025-05-13T20:00:00"/>
    <x v="3"/>
    <s v="Martes"/>
    <x v="4"/>
    <x v="1"/>
    <x v="0"/>
    <x v="1"/>
    <x v="1"/>
    <x v="1"/>
    <n v="21000"/>
    <x v="241"/>
    <m/>
    <n v="36.799999999999997"/>
    <n v="404"/>
    <n v="1"/>
    <x v="3"/>
    <n v="310.23"/>
    <n v="7.34"/>
    <x v="2"/>
    <n v="64.97"/>
    <n v="14.773"/>
    <n v="302.89"/>
  </r>
  <r>
    <n v="1608"/>
    <d v="2025-05-13T20:00:00"/>
    <x v="3"/>
    <s v="Martes"/>
    <x v="4"/>
    <x v="1"/>
    <x v="0"/>
    <x v="0"/>
    <x v="0"/>
    <x v="0"/>
    <n v="26000"/>
    <x v="242"/>
    <n v="55.2"/>
    <n v="0"/>
    <n v="181"/>
    <n v="0"/>
    <x v="0"/>
    <n v="257.75"/>
    <n v="0"/>
    <x v="2"/>
    <n v="54.15"/>
    <n v="9.9130000000000003"/>
    <n v="257.75"/>
  </r>
  <r>
    <n v="1609"/>
    <d v="2025-05-17T00:00:00"/>
    <x v="0"/>
    <s v="Sabado"/>
    <x v="4"/>
    <x v="1"/>
    <x v="1"/>
    <x v="0"/>
    <x v="0"/>
    <x v="0"/>
    <n v="26000"/>
    <x v="154"/>
    <n v="70.7"/>
    <m/>
    <n v="16"/>
    <n v="1"/>
    <x v="1"/>
    <n v="75.849999999999994"/>
    <n v="0"/>
    <x v="0"/>
    <n v="6.56"/>
    <n v="2.9169999999999998"/>
    <n v="75.849999999999994"/>
  </r>
  <r>
    <n v="505"/>
    <d v="2025-05-17T00:00:00"/>
    <x v="0"/>
    <s v="Sabado"/>
    <x v="4"/>
    <x v="1"/>
    <x v="1"/>
    <x v="5"/>
    <x v="5"/>
    <x v="5"/>
    <n v="8600"/>
    <x v="167"/>
    <n v="95.7"/>
    <n v="0"/>
    <n v="0"/>
    <n v="0"/>
    <x v="0"/>
    <n v="12.45"/>
    <n v="0"/>
    <x v="0"/>
    <n v="1.08"/>
    <n v="1.448"/>
    <n v="12.45"/>
  </r>
  <r>
    <n v="1977"/>
    <d v="2025-05-17T00:00:00"/>
    <x v="0"/>
    <s v="Sabado"/>
    <x v="4"/>
    <x v="1"/>
    <x v="1"/>
    <x v="3"/>
    <x v="3"/>
    <x v="3"/>
    <n v="9800"/>
    <x v="228"/>
    <n v="74.8"/>
    <n v="0"/>
    <n v="275"/>
    <n v="0"/>
    <x v="0"/>
    <n v="91.85"/>
    <n v="0"/>
    <x v="0"/>
    <n v="7.93"/>
    <n v="9.3719999999999999"/>
    <n v="91.85"/>
  </r>
  <r>
    <n v="137"/>
    <d v="2025-05-17T00:00:00"/>
    <x v="0"/>
    <s v="Sabado"/>
    <x v="4"/>
    <x v="1"/>
    <x v="1"/>
    <x v="4"/>
    <x v="4"/>
    <x v="4"/>
    <n v="12500"/>
    <x v="97"/>
    <n v="51.2"/>
    <n v="0"/>
    <n v="0"/>
    <n v="0"/>
    <x v="0"/>
    <n v="22.72"/>
    <n v="0"/>
    <x v="0"/>
    <n v="1.95"/>
    <n v="1.8180000000000001"/>
    <n v="22.72"/>
  </r>
  <r>
    <n v="1241"/>
    <d v="2025-05-17T00:00:00"/>
    <x v="0"/>
    <s v="Sabado"/>
    <x v="4"/>
    <x v="1"/>
    <x v="1"/>
    <x v="2"/>
    <x v="2"/>
    <x v="2"/>
    <n v="17400"/>
    <x v="70"/>
    <n v="74.5"/>
    <n v="0"/>
    <n v="166"/>
    <n v="0"/>
    <x v="0"/>
    <n v="57.87"/>
    <n v="0"/>
    <x v="0"/>
    <n v="5.25"/>
    <n v="3.3260000000000001"/>
    <n v="57.87"/>
  </r>
  <r>
    <n v="873"/>
    <d v="2025-05-17T00:00:00"/>
    <x v="0"/>
    <s v="Sabado"/>
    <x v="4"/>
    <x v="1"/>
    <x v="1"/>
    <x v="1"/>
    <x v="1"/>
    <x v="1"/>
    <n v="21000"/>
    <x v="206"/>
    <n v="57.7"/>
    <n v="0"/>
    <n v="225"/>
    <n v="0"/>
    <x v="0"/>
    <n v="178.42"/>
    <n v="0"/>
    <x v="0"/>
    <n v="15.56"/>
    <n v="8.4960000000000004"/>
    <n v="178.42"/>
  </r>
  <r>
    <n v="138"/>
    <d v="2025-05-17T08:00:00"/>
    <x v="1"/>
    <s v="Sabado"/>
    <x v="4"/>
    <x v="1"/>
    <x v="1"/>
    <x v="4"/>
    <x v="4"/>
    <x v="4"/>
    <n v="12500"/>
    <x v="193"/>
    <n v="54.6"/>
    <n v="339.3"/>
    <n v="0"/>
    <n v="0"/>
    <x v="0"/>
    <n v="16.25"/>
    <n v="51.41"/>
    <x v="0"/>
    <n v="-1.24"/>
    <n v="1.3"/>
    <n v="0"/>
  </r>
  <r>
    <n v="506"/>
    <d v="2025-05-17T08:00:00"/>
    <x v="1"/>
    <s v="Sabado"/>
    <x v="4"/>
    <x v="1"/>
    <x v="1"/>
    <x v="5"/>
    <x v="5"/>
    <x v="5"/>
    <n v="8600"/>
    <x v="97"/>
    <n v="88.9"/>
    <n v="313.3"/>
    <n v="0"/>
    <n v="0"/>
    <x v="0"/>
    <n v="7.61"/>
    <n v="23.59"/>
    <x v="0"/>
    <n v="-0.54"/>
    <n v="0.88500000000000001"/>
    <n v="0"/>
  </r>
  <r>
    <n v="1610"/>
    <d v="2025-05-17T08:00:00"/>
    <x v="1"/>
    <s v="Sabado"/>
    <x v="4"/>
    <x v="1"/>
    <x v="1"/>
    <x v="0"/>
    <x v="0"/>
    <x v="0"/>
    <n v="26000"/>
    <x v="180"/>
    <n v="59.3"/>
    <n v="407.6"/>
    <n v="51"/>
    <n v="0"/>
    <x v="0"/>
    <n v="79.010000000000005"/>
    <n v="106.12"/>
    <x v="0"/>
    <n v="-0.91"/>
    <n v="3.0390000000000001"/>
    <n v="0"/>
  </r>
  <r>
    <n v="1242"/>
    <d v="2025-05-17T08:00:00"/>
    <x v="1"/>
    <s v="Sabado"/>
    <x v="4"/>
    <x v="1"/>
    <x v="1"/>
    <x v="2"/>
    <x v="2"/>
    <x v="2"/>
    <n v="17400"/>
    <x v="210"/>
    <n v="76.2"/>
    <n v="356.1"/>
    <n v="0"/>
    <n v="0"/>
    <x v="0"/>
    <n v="33.68"/>
    <n v="48.84"/>
    <x v="0"/>
    <n v="-0.52"/>
    <n v="1.9359999999999999"/>
    <n v="0"/>
  </r>
  <r>
    <n v="874"/>
    <d v="2025-05-17T08:00:00"/>
    <x v="1"/>
    <s v="Sabado"/>
    <x v="4"/>
    <x v="1"/>
    <x v="1"/>
    <x v="1"/>
    <x v="1"/>
    <x v="1"/>
    <n v="21000"/>
    <x v="201"/>
    <n v="61.9"/>
    <n v="249.1"/>
    <n v="428"/>
    <n v="1"/>
    <x v="2"/>
    <n v="193.64"/>
    <n v="50.62"/>
    <x v="0"/>
    <n v="12.37"/>
    <n v="9.2210000000000001"/>
    <n v="143.02000000000001"/>
  </r>
  <r>
    <n v="1978"/>
    <d v="2025-05-17T08:00:00"/>
    <x v="1"/>
    <s v="Sabado"/>
    <x v="4"/>
    <x v="1"/>
    <x v="1"/>
    <x v="3"/>
    <x v="3"/>
    <x v="3"/>
    <n v="9800"/>
    <x v="70"/>
    <n v="82.5"/>
    <n v="316.39999999999998"/>
    <n v="121"/>
    <n v="0"/>
    <x v="0"/>
    <n v="28.15"/>
    <n v="0"/>
    <x v="0"/>
    <n v="2.4700000000000002"/>
    <n v="2.8719999999999999"/>
    <n v="28.15"/>
  </r>
  <r>
    <n v="875"/>
    <d v="2025-05-17T14:00:00"/>
    <x v="2"/>
    <s v="Sabado"/>
    <x v="4"/>
    <x v="1"/>
    <x v="1"/>
    <x v="1"/>
    <x v="1"/>
    <x v="1"/>
    <n v="21000"/>
    <x v="243"/>
    <n v="50.1"/>
    <n v="567.79999999999995"/>
    <n v="403"/>
    <n v="1"/>
    <x v="3"/>
    <n v="208.7"/>
    <n v="110.08"/>
    <x v="0"/>
    <n v="8.36"/>
    <n v="9.9380000000000006"/>
    <n v="98.62"/>
  </r>
  <r>
    <n v="1611"/>
    <d v="2025-05-17T14:00:00"/>
    <x v="2"/>
    <s v="Sabado"/>
    <x v="4"/>
    <x v="1"/>
    <x v="1"/>
    <x v="0"/>
    <x v="0"/>
    <x v="0"/>
    <n v="26000"/>
    <x v="235"/>
    <n v="41"/>
    <n v="824"/>
    <n v="72"/>
    <n v="1"/>
    <x v="3"/>
    <n v="96.48"/>
    <n v="218.47"/>
    <x v="0"/>
    <n v="-4.38"/>
    <n v="3.7109999999999999"/>
    <n v="0"/>
  </r>
  <r>
    <n v="1243"/>
    <d v="2025-05-17T14:00:00"/>
    <x v="2"/>
    <s v="Sabado"/>
    <x v="4"/>
    <x v="1"/>
    <x v="1"/>
    <x v="2"/>
    <x v="2"/>
    <x v="2"/>
    <n v="17400"/>
    <x v="244"/>
    <m/>
    <n v="612"/>
    <n v="1460"/>
    <n v="1"/>
    <x v="3"/>
    <n v="231.66"/>
    <n v="73.3"/>
    <x v="0"/>
    <n v="13.86"/>
    <n v="13.314"/>
    <n v="158.36000000000001"/>
  </r>
  <r>
    <n v="507"/>
    <d v="2025-05-17T14:00:00"/>
    <x v="2"/>
    <s v="Sabado"/>
    <x v="4"/>
    <x v="1"/>
    <x v="1"/>
    <x v="5"/>
    <x v="5"/>
    <x v="5"/>
    <n v="8600"/>
    <x v="245"/>
    <n v="69.599999999999994"/>
    <n v="635.79999999999995"/>
    <n v="0"/>
    <n v="0"/>
    <x v="0"/>
    <n v="7.61"/>
    <n v="42.7"/>
    <x v="0"/>
    <n v="-1.2"/>
    <n v="0.88500000000000001"/>
    <n v="0"/>
  </r>
  <r>
    <n v="1979"/>
    <d v="2025-05-17T14:00:00"/>
    <x v="2"/>
    <s v="Sabado"/>
    <x v="4"/>
    <x v="1"/>
    <x v="1"/>
    <x v="3"/>
    <x v="3"/>
    <x v="3"/>
    <n v="9800"/>
    <x v="246"/>
    <n v="77.900000000000006"/>
    <m/>
    <n v="108"/>
    <n v="1"/>
    <x v="3"/>
    <n v="27.13"/>
    <n v="0"/>
    <x v="0"/>
    <n v="2.34"/>
    <n v="2.7679999999999998"/>
    <n v="27.13"/>
  </r>
  <r>
    <n v="139"/>
    <d v="2025-05-17T14:00:00"/>
    <x v="2"/>
    <s v="Sabado"/>
    <x v="4"/>
    <x v="1"/>
    <x v="1"/>
    <x v="4"/>
    <x v="4"/>
    <x v="4"/>
    <n v="12500"/>
    <x v="240"/>
    <n v="57"/>
    <n v="742.5"/>
    <n v="21"/>
    <n v="0"/>
    <x v="0"/>
    <n v="17.57"/>
    <n v="112.65"/>
    <x v="0"/>
    <n v="-3.42"/>
    <n v="1.4059999999999999"/>
    <n v="0"/>
  </r>
  <r>
    <n v="508"/>
    <d v="2025-05-17T20:00:00"/>
    <x v="3"/>
    <s v="Sabado"/>
    <x v="4"/>
    <x v="1"/>
    <x v="1"/>
    <x v="5"/>
    <x v="5"/>
    <x v="5"/>
    <n v="8600"/>
    <x v="188"/>
    <n v="87.4"/>
    <n v="21.5"/>
    <n v="0"/>
    <n v="0"/>
    <x v="0"/>
    <n v="11.82"/>
    <n v="1.73"/>
    <x v="0"/>
    <n v="0.88"/>
    <n v="1.3740000000000001"/>
    <n v="10.09"/>
  </r>
  <r>
    <n v="140"/>
    <d v="2025-05-17T20:00:00"/>
    <x v="3"/>
    <s v="Sabado"/>
    <x v="4"/>
    <x v="1"/>
    <x v="1"/>
    <x v="4"/>
    <x v="4"/>
    <x v="4"/>
    <n v="12500"/>
    <x v="159"/>
    <n v="60.6"/>
    <n v="23.1"/>
    <n v="35"/>
    <n v="0"/>
    <x v="0"/>
    <n v="26.52"/>
    <n v="3.69"/>
    <x v="0"/>
    <n v="1.94"/>
    <n v="2.1219999999999999"/>
    <n v="22.83"/>
  </r>
  <r>
    <n v="1980"/>
    <d v="2025-05-17T20:00:00"/>
    <x v="3"/>
    <s v="Sabado"/>
    <x v="4"/>
    <x v="1"/>
    <x v="1"/>
    <x v="3"/>
    <x v="3"/>
    <x v="3"/>
    <n v="9800"/>
    <x v="198"/>
    <n v="91.8"/>
    <n v="23.3"/>
    <n v="305"/>
    <n v="0"/>
    <x v="0"/>
    <n v="94.11"/>
    <n v="0"/>
    <x v="0"/>
    <n v="8.18"/>
    <n v="9.6029999999999998"/>
    <n v="94.11"/>
  </r>
  <r>
    <n v="1244"/>
    <d v="2025-05-17T20:00:00"/>
    <x v="3"/>
    <s v="Sabado"/>
    <x v="4"/>
    <x v="1"/>
    <x v="1"/>
    <x v="2"/>
    <x v="2"/>
    <x v="2"/>
    <n v="17400"/>
    <x v="247"/>
    <n v="70.099999999999994"/>
    <n v="13.8"/>
    <n v="1603"/>
    <n v="1"/>
    <x v="2"/>
    <n v="306.79000000000002"/>
    <n v="1.73"/>
    <x v="0"/>
    <n v="27.55"/>
    <n v="17.632000000000001"/>
    <n v="305.06"/>
  </r>
  <r>
    <n v="876"/>
    <d v="2025-05-17T20:00:00"/>
    <x v="3"/>
    <s v="Sabado"/>
    <x v="4"/>
    <x v="1"/>
    <x v="1"/>
    <x v="1"/>
    <x v="1"/>
    <x v="1"/>
    <n v="21000"/>
    <x v="248"/>
    <n v="49.3"/>
    <n v="11.3"/>
    <n v="412"/>
    <n v="1"/>
    <x v="3"/>
    <n v="316.64"/>
    <n v="2.27"/>
    <x v="0"/>
    <n v="26.63"/>
    <n v="15.077999999999999"/>
    <n v="314.37"/>
  </r>
  <r>
    <n v="1612"/>
    <d v="2025-05-17T20:00:00"/>
    <x v="3"/>
    <s v="Sabado"/>
    <x v="4"/>
    <x v="1"/>
    <x v="1"/>
    <x v="0"/>
    <x v="0"/>
    <x v="0"/>
    <n v="26000"/>
    <x v="158"/>
    <n v="59.1"/>
    <n v="23.2"/>
    <n v="57"/>
    <n v="0"/>
    <x v="0"/>
    <n v="123.61"/>
    <n v="6.8"/>
    <x v="0"/>
    <n v="10.35"/>
    <n v="4.7539999999999996"/>
    <n v="116.81"/>
  </r>
  <r>
    <n v="1245"/>
    <d v="2025-05-21T00:00:00"/>
    <x v="0"/>
    <s v="Miercoles"/>
    <x v="4"/>
    <x v="1"/>
    <x v="0"/>
    <x v="2"/>
    <x v="2"/>
    <x v="2"/>
    <n v="17400"/>
    <x v="169"/>
    <n v="63.6"/>
    <n v="0"/>
    <n v="67"/>
    <n v="0"/>
    <x v="0"/>
    <n v="51.22"/>
    <n v="0"/>
    <x v="0"/>
    <n v="4.55"/>
    <n v="2.944"/>
    <n v="51.22"/>
  </r>
  <r>
    <n v="509"/>
    <d v="2025-05-21T00:00:00"/>
    <x v="0"/>
    <s v="Miercoles"/>
    <x v="4"/>
    <x v="1"/>
    <x v="0"/>
    <x v="5"/>
    <x v="5"/>
    <x v="5"/>
    <n v="8600"/>
    <x v="70"/>
    <n v="87.8"/>
    <n v="0"/>
    <n v="67"/>
    <n v="0"/>
    <x v="0"/>
    <n v="20.34"/>
    <n v="0"/>
    <x v="0"/>
    <n v="1.83"/>
    <n v="2.3650000000000002"/>
    <n v="20.34"/>
  </r>
  <r>
    <n v="141"/>
    <d v="2025-05-21T00:00:00"/>
    <x v="0"/>
    <s v="Miercoles"/>
    <x v="4"/>
    <x v="1"/>
    <x v="0"/>
    <x v="4"/>
    <x v="4"/>
    <x v="4"/>
    <n v="12500"/>
    <x v="170"/>
    <n v="56.8"/>
    <n v="0"/>
    <n v="13"/>
    <n v="0"/>
    <x v="0"/>
    <n v="26.44"/>
    <n v="0"/>
    <x v="0"/>
    <n v="2.2799999999999998"/>
    <n v="2.1150000000000002"/>
    <n v="26.44"/>
  </r>
  <r>
    <n v="1613"/>
    <d v="2025-05-21T00:00:00"/>
    <x v="0"/>
    <s v="Miercoles"/>
    <x v="4"/>
    <x v="1"/>
    <x v="0"/>
    <x v="0"/>
    <x v="0"/>
    <x v="0"/>
    <n v="26000"/>
    <x v="144"/>
    <n v="52.6"/>
    <n v="0"/>
    <n v="49"/>
    <n v="0"/>
    <x v="0"/>
    <n v="108.44"/>
    <n v="0"/>
    <x v="0"/>
    <n v="9.4600000000000009"/>
    <n v="4.1710000000000003"/>
    <n v="108.44"/>
  </r>
  <r>
    <n v="1981"/>
    <d v="2025-05-21T00:00:00"/>
    <x v="0"/>
    <s v="Miercoles"/>
    <x v="4"/>
    <x v="1"/>
    <x v="0"/>
    <x v="3"/>
    <x v="3"/>
    <x v="3"/>
    <n v="9800"/>
    <x v="170"/>
    <n v="77.3"/>
    <n v="0"/>
    <n v="293"/>
    <n v="0"/>
    <x v="0"/>
    <n v="97.01"/>
    <n v="0"/>
    <x v="0"/>
    <n v="8.31"/>
    <n v="9.8989999999999991"/>
    <n v="97.01"/>
  </r>
  <r>
    <n v="877"/>
    <d v="2025-05-21T00:00:00"/>
    <x v="0"/>
    <s v="Miercoles"/>
    <x v="4"/>
    <x v="1"/>
    <x v="0"/>
    <x v="1"/>
    <x v="1"/>
    <x v="1"/>
    <n v="21000"/>
    <x v="53"/>
    <n v="67"/>
    <n v="0"/>
    <n v="206"/>
    <n v="0"/>
    <x v="0"/>
    <n v="170.99"/>
    <n v="0"/>
    <x v="0"/>
    <n v="15.13"/>
    <n v="8.1419999999999995"/>
    <n v="170.99"/>
  </r>
  <r>
    <n v="510"/>
    <d v="2025-05-21T08:00:00"/>
    <x v="1"/>
    <s v="Miercoles"/>
    <x v="4"/>
    <x v="1"/>
    <x v="0"/>
    <x v="5"/>
    <x v="5"/>
    <x v="5"/>
    <n v="8600"/>
    <x v="223"/>
    <n v="81.3"/>
    <n v="266"/>
    <n v="811"/>
    <n v="0"/>
    <x v="0"/>
    <n v="82.67"/>
    <n v="18.97"/>
    <x v="1"/>
    <n v="8.9700000000000006"/>
    <n v="9.6129999999999995"/>
    <n v="63.7"/>
  </r>
  <r>
    <n v="878"/>
    <d v="2025-05-21T08:00:00"/>
    <x v="1"/>
    <s v="Miercoles"/>
    <x v="4"/>
    <x v="1"/>
    <x v="0"/>
    <x v="1"/>
    <x v="1"/>
    <x v="1"/>
    <n v="21000"/>
    <x v="225"/>
    <n v="45.3"/>
    <n v="378.4"/>
    <n v="410"/>
    <n v="1"/>
    <x v="3"/>
    <n v="199.68"/>
    <n v="72.95"/>
    <x v="1"/>
    <n v="17.59"/>
    <n v="9.5090000000000003"/>
    <n v="126.73"/>
  </r>
  <r>
    <n v="1982"/>
    <d v="2025-05-21T08:00:00"/>
    <x v="1"/>
    <s v="Miercoles"/>
    <x v="4"/>
    <x v="1"/>
    <x v="0"/>
    <x v="3"/>
    <x v="3"/>
    <x v="3"/>
    <n v="9800"/>
    <x v="162"/>
    <n v="76.400000000000006"/>
    <n v="297.89999999999998"/>
    <n v="106"/>
    <n v="0"/>
    <x v="0"/>
    <n v="20.98"/>
    <n v="0"/>
    <x v="1"/>
    <n v="2.86"/>
    <n v="2.141"/>
    <n v="20.98"/>
  </r>
  <r>
    <n v="1246"/>
    <d v="2025-05-21T08:00:00"/>
    <x v="1"/>
    <s v="Miercoles"/>
    <x v="4"/>
    <x v="1"/>
    <x v="0"/>
    <x v="2"/>
    <x v="2"/>
    <x v="2"/>
    <n v="17400"/>
    <x v="217"/>
    <n v="72.7"/>
    <n v="387.6"/>
    <m/>
    <n v="0"/>
    <x v="0"/>
    <n v="44.83"/>
    <n v="45.96"/>
    <x v="1"/>
    <n v="-0.06"/>
    <n v="2.5760000000000001"/>
    <n v="0"/>
  </r>
  <r>
    <n v="1614"/>
    <d v="2025-05-21T08:00:00"/>
    <x v="1"/>
    <s v="Miercoles"/>
    <x v="4"/>
    <x v="1"/>
    <x v="0"/>
    <x v="0"/>
    <x v="0"/>
    <x v="0"/>
    <n v="26000"/>
    <x v="249"/>
    <n v="58.1"/>
    <n v="326"/>
    <n v="163"/>
    <n v="0"/>
    <x v="0"/>
    <n v="142.52000000000001"/>
    <n v="84.65"/>
    <x v="1"/>
    <n v="8.11"/>
    <n v="5.4820000000000002"/>
    <n v="57.87"/>
  </r>
  <r>
    <n v="142"/>
    <d v="2025-05-21T08:00:00"/>
    <x v="1"/>
    <s v="Miercoles"/>
    <x v="4"/>
    <x v="1"/>
    <x v="0"/>
    <x v="4"/>
    <x v="4"/>
    <x v="4"/>
    <n v="12500"/>
    <x v="164"/>
    <n v="55.6"/>
    <n v="355.9"/>
    <n v="351"/>
    <n v="0"/>
    <x v="0"/>
    <n v="64.099999999999994"/>
    <n v="53.73"/>
    <x v="1"/>
    <n v="1.42"/>
    <n v="5.1280000000000001"/>
    <n v="10.37"/>
  </r>
  <r>
    <n v="1983"/>
    <d v="2025-05-21T14:00:00"/>
    <x v="2"/>
    <s v="Miercoles"/>
    <x v="4"/>
    <x v="1"/>
    <x v="0"/>
    <x v="3"/>
    <x v="3"/>
    <x v="3"/>
    <n v="9800"/>
    <x v="43"/>
    <n v="60.1"/>
    <n v="834"/>
    <n v="59"/>
    <n v="0"/>
    <x v="0"/>
    <n v="17.93"/>
    <n v="0"/>
    <x v="1"/>
    <n v="2.52"/>
    <n v="1.83"/>
    <n v="17.93"/>
  </r>
  <r>
    <n v="1615"/>
    <d v="2025-05-21T14:00:00"/>
    <x v="2"/>
    <s v="Miercoles"/>
    <x v="4"/>
    <x v="1"/>
    <x v="0"/>
    <x v="0"/>
    <x v="0"/>
    <x v="0"/>
    <n v="26000"/>
    <x v="250"/>
    <n v="68.900000000000006"/>
    <n v="593"/>
    <n v="171"/>
    <n v="1"/>
    <x v="3"/>
    <n v="166.15"/>
    <n v="163.57"/>
    <x v="1"/>
    <n v="0.35"/>
    <n v="6.39"/>
    <n v="2.58"/>
  </r>
  <r>
    <n v="879"/>
    <d v="2025-05-21T14:00:00"/>
    <x v="2"/>
    <s v="Miercoles"/>
    <x v="4"/>
    <x v="1"/>
    <x v="0"/>
    <x v="1"/>
    <x v="1"/>
    <x v="1"/>
    <n v="21000"/>
    <x v="251"/>
    <n v="55.8"/>
    <n v="794.8"/>
    <n v="398"/>
    <n v="1"/>
    <x v="3"/>
    <n v="244.36"/>
    <n v="151.54"/>
    <x v="1"/>
    <n v="12.98"/>
    <n v="11.635999999999999"/>
    <n v="92.82"/>
  </r>
  <r>
    <n v="1247"/>
    <d v="2025-05-21T14:00:00"/>
    <x v="2"/>
    <s v="Miercoles"/>
    <x v="4"/>
    <x v="1"/>
    <x v="0"/>
    <x v="2"/>
    <x v="2"/>
    <x v="2"/>
    <n v="17400"/>
    <x v="216"/>
    <n v="63.5"/>
    <n v="788"/>
    <n v="1398"/>
    <n v="1"/>
    <x v="3"/>
    <n v="212.29"/>
    <n v="96.87"/>
    <x v="1"/>
    <n v="16.04"/>
    <n v="12.201000000000001"/>
    <n v="115.42"/>
  </r>
  <r>
    <n v="511"/>
    <d v="2025-05-21T14:00:00"/>
    <x v="2"/>
    <s v="Miercoles"/>
    <x v="4"/>
    <x v="1"/>
    <x v="0"/>
    <x v="5"/>
    <x v="5"/>
    <x v="5"/>
    <n v="8600"/>
    <x v="249"/>
    <n v="71.3"/>
    <n v="695"/>
    <n v="750"/>
    <n v="0"/>
    <x v="0"/>
    <n v="84.27"/>
    <n v="52.77"/>
    <x v="1"/>
    <n v="4.38"/>
    <n v="9.7989999999999995"/>
    <n v="31.5"/>
  </r>
  <r>
    <n v="143"/>
    <d v="2025-05-21T14:00:00"/>
    <x v="2"/>
    <s v="Miercoles"/>
    <x v="4"/>
    <x v="1"/>
    <x v="0"/>
    <x v="4"/>
    <x v="4"/>
    <x v="4"/>
    <n v="12500"/>
    <x v="194"/>
    <n v="51.4"/>
    <n v="821.5"/>
    <n v="581"/>
    <n v="1"/>
    <x v="3"/>
    <n v="96.26"/>
    <n v="117.91"/>
    <x v="1"/>
    <n v="-1.2"/>
    <n v="7.7009999999999996"/>
    <n v="0"/>
  </r>
  <r>
    <n v="144"/>
    <d v="2025-05-21T20:00:00"/>
    <x v="3"/>
    <s v="Miercoles"/>
    <x v="4"/>
    <x v="1"/>
    <x v="0"/>
    <x v="4"/>
    <x v="4"/>
    <x v="4"/>
    <n v="12500"/>
    <x v="252"/>
    <n v="49.7"/>
    <n v="46.2"/>
    <n v="47"/>
    <n v="0"/>
    <x v="0"/>
    <n v="37.270000000000003"/>
    <n v="7.28"/>
    <x v="2"/>
    <n v="6.59"/>
    <n v="2.9820000000000002"/>
    <n v="29.99"/>
  </r>
  <r>
    <n v="1984"/>
    <d v="2025-05-21T20:00:00"/>
    <x v="3"/>
    <s v="Miercoles"/>
    <x v="4"/>
    <x v="1"/>
    <x v="0"/>
    <x v="3"/>
    <x v="3"/>
    <x v="3"/>
    <n v="9800"/>
    <x v="180"/>
    <n v="85"/>
    <n v="0"/>
    <n v="309"/>
    <n v="0"/>
    <x v="0"/>
    <n v="94.63"/>
    <n v="0"/>
    <x v="2"/>
    <n v="20.5"/>
    <n v="9.6560000000000006"/>
    <n v="94.63"/>
  </r>
  <r>
    <n v="880"/>
    <d v="2025-05-21T20:00:00"/>
    <x v="3"/>
    <s v="Miercoles"/>
    <x v="4"/>
    <x v="1"/>
    <x v="0"/>
    <x v="1"/>
    <x v="1"/>
    <x v="1"/>
    <n v="21000"/>
    <x v="253"/>
    <n v="48.9"/>
    <n v="45.2"/>
    <n v="344"/>
    <n v="1"/>
    <x v="3"/>
    <n v="266.94"/>
    <n v="9.07"/>
    <x v="2"/>
    <n v="56.53"/>
    <n v="12.711"/>
    <n v="257.87"/>
  </r>
  <r>
    <n v="512"/>
    <d v="2025-05-21T20:00:00"/>
    <x v="3"/>
    <s v="Miercoles"/>
    <x v="4"/>
    <x v="1"/>
    <x v="0"/>
    <x v="5"/>
    <x v="5"/>
    <x v="5"/>
    <n v="8600"/>
    <x v="158"/>
    <n v="66.099999999999994"/>
    <n v="53.8"/>
    <n v="49"/>
    <n v="0"/>
    <x v="0"/>
    <n v="20.239999999999998"/>
    <n v="4.07"/>
    <x v="2"/>
    <n v="3.47"/>
    <n v="2.3530000000000002"/>
    <n v="16.170000000000002"/>
  </r>
  <r>
    <n v="1248"/>
    <d v="2025-05-21T20:00:00"/>
    <x v="3"/>
    <s v="Miercoles"/>
    <x v="4"/>
    <x v="1"/>
    <x v="0"/>
    <x v="2"/>
    <x v="2"/>
    <x v="2"/>
    <n v="17400"/>
    <x v="254"/>
    <n v="72.2"/>
    <n v="55.2"/>
    <n v="1333"/>
    <n v="1"/>
    <x v="2"/>
    <n v="275.08999999999997"/>
    <n v="6.72"/>
    <x v="2"/>
    <n v="56.47"/>
    <n v="15.81"/>
    <n v="268.37"/>
  </r>
  <r>
    <n v="1616"/>
    <d v="2025-05-21T20:00:00"/>
    <x v="3"/>
    <s v="Miercoles"/>
    <x v="4"/>
    <x v="1"/>
    <x v="0"/>
    <x v="0"/>
    <x v="0"/>
    <x v="0"/>
    <n v="26000"/>
    <x v="255"/>
    <n v="56.2"/>
    <n v="58.5"/>
    <n v="173"/>
    <n v="0"/>
    <x v="0"/>
    <n v="222.33"/>
    <n v="15.62"/>
    <x v="2"/>
    <n v="45.81"/>
    <n v="8.5510000000000002"/>
    <n v="206.71"/>
  </r>
  <r>
    <n v="1249"/>
    <d v="2025-05-25T00:00:00"/>
    <x v="0"/>
    <s v="Domingo"/>
    <x v="4"/>
    <x v="1"/>
    <x v="1"/>
    <x v="2"/>
    <x v="2"/>
    <x v="2"/>
    <n v="17400"/>
    <x v="163"/>
    <n v="69.3"/>
    <n v="0"/>
    <n v="0"/>
    <n v="0"/>
    <x v="0"/>
    <n v="48.57"/>
    <n v="0"/>
    <x v="0"/>
    <n v="4.33"/>
    <n v="2.7909999999999999"/>
    <n v="48.57"/>
  </r>
  <r>
    <n v="513"/>
    <d v="2025-05-25T00:00:00"/>
    <x v="0"/>
    <s v="Domingo"/>
    <x v="4"/>
    <x v="1"/>
    <x v="1"/>
    <x v="5"/>
    <x v="5"/>
    <x v="5"/>
    <n v="8600"/>
    <x v="223"/>
    <n v="81.7"/>
    <n v="0"/>
    <n v="16"/>
    <n v="0"/>
    <x v="0"/>
    <n v="12.97"/>
    <n v="0"/>
    <x v="0"/>
    <n v="1.1299999999999999"/>
    <n v="1.508"/>
    <n v="12.97"/>
  </r>
  <r>
    <n v="145"/>
    <d v="2025-05-25T00:00:00"/>
    <x v="0"/>
    <s v="Domingo"/>
    <x v="4"/>
    <x v="1"/>
    <x v="1"/>
    <x v="4"/>
    <x v="4"/>
    <x v="4"/>
    <n v="12500"/>
    <x v="55"/>
    <n v="77"/>
    <n v="0"/>
    <n v="10"/>
    <n v="0"/>
    <x v="0"/>
    <n v="24.12"/>
    <n v="0"/>
    <x v="0"/>
    <n v="2.1800000000000002"/>
    <n v="1.93"/>
    <n v="24.12"/>
  </r>
  <r>
    <n v="1617"/>
    <d v="2025-05-25T00:00:00"/>
    <x v="0"/>
    <s v="Domingo"/>
    <x v="4"/>
    <x v="1"/>
    <x v="1"/>
    <x v="0"/>
    <x v="0"/>
    <x v="0"/>
    <n v="26000"/>
    <x v="163"/>
    <n v="59.3"/>
    <n v="0"/>
    <n v="32"/>
    <n v="0"/>
    <x v="0"/>
    <n v="68.599999999999994"/>
    <n v="0"/>
    <x v="0"/>
    <n v="6.07"/>
    <n v="2.6379999999999999"/>
    <n v="68.599999999999994"/>
  </r>
  <r>
    <n v="1985"/>
    <d v="2025-05-25T00:00:00"/>
    <x v="0"/>
    <s v="Domingo"/>
    <x v="4"/>
    <x v="1"/>
    <x v="1"/>
    <x v="3"/>
    <x v="3"/>
    <x v="3"/>
    <n v="9800"/>
    <x v="170"/>
    <n v="69.599999999999994"/>
    <n v="0"/>
    <n v="315"/>
    <n v="0"/>
    <x v="0"/>
    <n v="99.19"/>
    <n v="0"/>
    <x v="0"/>
    <n v="8.44"/>
    <n v="10.121"/>
    <n v="99.19"/>
  </r>
  <r>
    <n v="881"/>
    <d v="2025-05-25T00:00:00"/>
    <x v="0"/>
    <s v="Domingo"/>
    <x v="4"/>
    <x v="1"/>
    <x v="1"/>
    <x v="1"/>
    <x v="1"/>
    <x v="1"/>
    <n v="21000"/>
    <x v="198"/>
    <m/>
    <n v="0"/>
    <n v="254"/>
    <n v="0"/>
    <x v="0"/>
    <n v="190.62"/>
    <n v="0"/>
    <x v="0"/>
    <n v="17.329999999999998"/>
    <n v="9.077"/>
    <n v="190.62"/>
  </r>
  <r>
    <n v="882"/>
    <d v="2025-05-25T08:00:00"/>
    <x v="1"/>
    <s v="Domingo"/>
    <x v="4"/>
    <x v="1"/>
    <x v="1"/>
    <x v="1"/>
    <x v="1"/>
    <x v="1"/>
    <n v="21000"/>
    <x v="231"/>
    <n v="51.8"/>
    <n v="399.5"/>
    <n v="417"/>
    <n v="1"/>
    <x v="3"/>
    <n v="224.2"/>
    <n v="79.44"/>
    <x v="0"/>
    <n v="12.9"/>
    <n v="10.676"/>
    <n v="144.76"/>
  </r>
  <r>
    <n v="514"/>
    <d v="2025-05-25T08:00:00"/>
    <x v="1"/>
    <s v="Domingo"/>
    <x v="4"/>
    <x v="1"/>
    <x v="1"/>
    <x v="5"/>
    <x v="5"/>
    <x v="5"/>
    <n v="8600"/>
    <x v="162"/>
    <n v="76.599999999999994"/>
    <n v="295.60000000000002"/>
    <m/>
    <n v="0"/>
    <x v="0"/>
    <n v="13.41"/>
    <n v="23.16"/>
    <x v="0"/>
    <n v="-0.33"/>
    <n v="1.5589999999999999"/>
    <n v="0"/>
  </r>
  <r>
    <n v="146"/>
    <d v="2025-05-25T08:00:00"/>
    <x v="1"/>
    <s v="Domingo"/>
    <x v="4"/>
    <x v="1"/>
    <x v="1"/>
    <x v="4"/>
    <x v="4"/>
    <x v="4"/>
    <n v="12500"/>
    <x v="256"/>
    <n v="50.4"/>
    <n v="388.7"/>
    <n v="0"/>
    <n v="0"/>
    <x v="0"/>
    <n v="14.72"/>
    <n v="60.76"/>
    <x v="0"/>
    <n v="-1.63"/>
    <n v="1.1779999999999999"/>
    <n v="0"/>
  </r>
  <r>
    <n v="1986"/>
    <d v="2025-05-25T08:00:00"/>
    <x v="1"/>
    <s v="Domingo"/>
    <x v="4"/>
    <x v="1"/>
    <x v="1"/>
    <x v="3"/>
    <x v="3"/>
    <x v="3"/>
    <n v="9800"/>
    <x v="204"/>
    <n v="71.5"/>
    <n v="430.2"/>
    <n v="108"/>
    <n v="0"/>
    <x v="0"/>
    <n v="28.07"/>
    <n v="0"/>
    <x v="0"/>
    <n v="2.5099999999999998"/>
    <n v="2.8639999999999999"/>
    <n v="28.07"/>
  </r>
  <r>
    <n v="1250"/>
    <d v="2025-05-25T08:00:00"/>
    <x v="1"/>
    <s v="Domingo"/>
    <x v="4"/>
    <x v="1"/>
    <x v="1"/>
    <x v="2"/>
    <x v="2"/>
    <x v="2"/>
    <n v="17400"/>
    <x v="245"/>
    <n v="55.6"/>
    <n v="388.1"/>
    <n v="76"/>
    <n v="1"/>
    <x v="3"/>
    <n v="46.65"/>
    <n v="51.22"/>
    <x v="0"/>
    <n v="-0.16"/>
    <n v="2.681"/>
    <n v="0"/>
  </r>
  <r>
    <n v="1618"/>
    <d v="2025-05-25T08:00:00"/>
    <x v="1"/>
    <s v="Domingo"/>
    <x v="4"/>
    <x v="1"/>
    <x v="1"/>
    <x v="0"/>
    <x v="0"/>
    <x v="0"/>
    <n v="26000"/>
    <x v="197"/>
    <n v="65.8"/>
    <n v="402.3"/>
    <n v="80"/>
    <n v="0"/>
    <x v="0"/>
    <n v="82.21"/>
    <n v="106.1"/>
    <x v="0"/>
    <n v="-0.85"/>
    <n v="3.1619999999999999"/>
    <n v="0"/>
  </r>
  <r>
    <n v="515"/>
    <d v="2025-05-25T14:00:00"/>
    <x v="2"/>
    <s v="Domingo"/>
    <x v="4"/>
    <x v="1"/>
    <x v="1"/>
    <x v="5"/>
    <x v="5"/>
    <x v="5"/>
    <n v="8600"/>
    <x v="227"/>
    <n v="82.5"/>
    <n v="809.6"/>
    <m/>
    <n v="0"/>
    <x v="0"/>
    <n v="9.24"/>
    <n v="61.81"/>
    <x v="0"/>
    <n v="-1.79"/>
    <n v="1.0740000000000001"/>
    <n v="0"/>
  </r>
  <r>
    <n v="1251"/>
    <d v="2025-05-25T14:00:00"/>
    <x v="2"/>
    <s v="Domingo"/>
    <x v="4"/>
    <x v="1"/>
    <x v="1"/>
    <x v="2"/>
    <x v="2"/>
    <x v="2"/>
    <n v="17400"/>
    <x v="257"/>
    <n v="67"/>
    <n v="659.7"/>
    <n v="1558"/>
    <n v="1"/>
    <x v="3"/>
    <n v="237.08"/>
    <n v="77.36"/>
    <x v="0"/>
    <n v="14.22"/>
    <n v="13.625"/>
    <n v="159.72"/>
  </r>
  <r>
    <n v="1987"/>
    <d v="2025-05-25T14:00:00"/>
    <x v="2"/>
    <s v="Domingo"/>
    <x v="4"/>
    <x v="1"/>
    <x v="1"/>
    <x v="3"/>
    <x v="3"/>
    <x v="3"/>
    <n v="9800"/>
    <x v="254"/>
    <n v="59.3"/>
    <n v="855.1"/>
    <n v="129"/>
    <n v="1"/>
    <x v="2"/>
    <n v="26.59"/>
    <n v="0"/>
    <x v="0"/>
    <n v="2.2799999999999998"/>
    <n v="2.7130000000000001"/>
    <n v="26.59"/>
  </r>
  <r>
    <n v="147"/>
    <d v="2025-05-25T14:00:00"/>
    <x v="2"/>
    <s v="Domingo"/>
    <x v="4"/>
    <x v="1"/>
    <x v="1"/>
    <x v="4"/>
    <x v="4"/>
    <x v="4"/>
    <n v="12500"/>
    <x v="235"/>
    <n v="56.6"/>
    <n v="743.4"/>
    <n v="0"/>
    <n v="0"/>
    <x v="0"/>
    <n v="16.91"/>
    <n v="108.02"/>
    <x v="0"/>
    <n v="-3.2"/>
    <n v="1.353"/>
    <n v="0"/>
  </r>
  <r>
    <n v="1619"/>
    <d v="2025-05-25T14:00:00"/>
    <x v="2"/>
    <s v="Domingo"/>
    <x v="4"/>
    <x v="1"/>
    <x v="1"/>
    <x v="0"/>
    <x v="0"/>
    <x v="0"/>
    <n v="26000"/>
    <x v="216"/>
    <n v="69.099999999999994"/>
    <n v="691.6"/>
    <n v="59"/>
    <n v="1"/>
    <x v="3"/>
    <n v="95.51"/>
    <n v="173.89"/>
    <x v="0"/>
    <n v="-2.82"/>
    <n v="3.673"/>
    <n v="0"/>
  </r>
  <r>
    <n v="883"/>
    <d v="2025-05-25T14:00:00"/>
    <x v="2"/>
    <s v="Domingo"/>
    <x v="4"/>
    <x v="1"/>
    <x v="1"/>
    <x v="1"/>
    <x v="1"/>
    <x v="1"/>
    <n v="21000"/>
    <x v="258"/>
    <n v="44.5"/>
    <n v="842.4"/>
    <n v="418"/>
    <n v="1"/>
    <x v="3"/>
    <n v="221.55"/>
    <n v="160.80000000000001"/>
    <x v="0"/>
    <n v="5.32"/>
    <n v="10.55"/>
    <n v="60.75"/>
  </r>
  <r>
    <n v="148"/>
    <d v="2025-05-25T20:00:00"/>
    <x v="3"/>
    <s v="Domingo"/>
    <x v="4"/>
    <x v="1"/>
    <x v="1"/>
    <x v="4"/>
    <x v="4"/>
    <x v="4"/>
    <n v="12500"/>
    <x v="259"/>
    <n v="47.6"/>
    <n v="36"/>
    <n v="0"/>
    <n v="0"/>
    <x v="0"/>
    <n v="22.62"/>
    <n v="5.33"/>
    <x v="0"/>
    <n v="1.52"/>
    <n v="1.81"/>
    <n v="17.29"/>
  </r>
  <r>
    <n v="1252"/>
    <d v="2025-05-25T20:00:00"/>
    <x v="3"/>
    <s v="Domingo"/>
    <x v="4"/>
    <x v="1"/>
    <x v="1"/>
    <x v="2"/>
    <x v="2"/>
    <x v="2"/>
    <n v="17400"/>
    <x v="232"/>
    <m/>
    <n v="79.599999999999994"/>
    <n v="1711"/>
    <n v="1"/>
    <x v="3"/>
    <n v="332.42"/>
    <n v="9.81"/>
    <x v="0"/>
    <n v="28.91"/>
    <n v="19.105"/>
    <n v="322.61"/>
  </r>
  <r>
    <n v="1988"/>
    <d v="2025-05-25T20:00:00"/>
    <x v="3"/>
    <s v="Domingo"/>
    <x v="4"/>
    <x v="1"/>
    <x v="1"/>
    <x v="3"/>
    <x v="3"/>
    <x v="3"/>
    <n v="9800"/>
    <x v="236"/>
    <n v="69.400000000000006"/>
    <n v="14.8"/>
    <n v="311"/>
    <n v="0"/>
    <x v="0"/>
    <n v="90.55"/>
    <n v="0"/>
    <x v="0"/>
    <n v="7.99"/>
    <n v="9.24"/>
    <n v="90.55"/>
  </r>
  <r>
    <n v="884"/>
    <d v="2025-05-25T20:00:00"/>
    <x v="3"/>
    <s v="Domingo"/>
    <x v="4"/>
    <x v="1"/>
    <x v="1"/>
    <x v="1"/>
    <x v="1"/>
    <x v="1"/>
    <n v="21000"/>
    <x v="222"/>
    <n v="56.1"/>
    <n v="21"/>
    <n v="400"/>
    <n v="1"/>
    <x v="3"/>
    <n v="325.52999999999997"/>
    <n v="4.17"/>
    <x v="0"/>
    <n v="27.93"/>
    <n v="15.500999999999999"/>
    <n v="321.36"/>
  </r>
  <r>
    <n v="516"/>
    <d v="2025-05-25T20:00:00"/>
    <x v="3"/>
    <s v="Domingo"/>
    <x v="4"/>
    <x v="1"/>
    <x v="1"/>
    <x v="5"/>
    <x v="5"/>
    <x v="5"/>
    <n v="8600"/>
    <x v="159"/>
    <n v="83.3"/>
    <n v="5.3"/>
    <n v="0"/>
    <n v="0"/>
    <x v="0"/>
    <n v="13.48"/>
    <n v="0.4"/>
    <x v="0"/>
    <n v="1.1399999999999999"/>
    <n v="1.5669999999999999"/>
    <n v="13.08"/>
  </r>
  <r>
    <n v="1620"/>
    <d v="2025-05-25T20:00:00"/>
    <x v="3"/>
    <s v="Domingo"/>
    <x v="4"/>
    <x v="1"/>
    <x v="1"/>
    <x v="0"/>
    <x v="0"/>
    <x v="0"/>
    <n v="26000"/>
    <x v="180"/>
    <n v="51.6"/>
    <n v="54"/>
    <n v="63"/>
    <n v="0"/>
    <x v="0"/>
    <n v="137.19999999999999"/>
    <n v="16.12"/>
    <x v="0"/>
    <n v="11.09"/>
    <n v="5.2770000000000001"/>
    <n v="121.08"/>
  </r>
  <r>
    <n v="1621"/>
    <d v="2025-05-29T00:00:00"/>
    <x v="0"/>
    <s v="Jueves"/>
    <x v="4"/>
    <x v="1"/>
    <x v="0"/>
    <x v="0"/>
    <x v="0"/>
    <x v="0"/>
    <n v="26000"/>
    <x v="115"/>
    <m/>
    <n v="0"/>
    <n v="41"/>
    <n v="0"/>
    <x v="0"/>
    <n v="112.36"/>
    <n v="0"/>
    <x v="0"/>
    <n v="10.37"/>
    <n v="4.3220000000000001"/>
    <n v="112.36"/>
  </r>
  <r>
    <n v="149"/>
    <d v="2025-05-29T00:00:00"/>
    <x v="0"/>
    <s v="Jueves"/>
    <x v="4"/>
    <x v="1"/>
    <x v="0"/>
    <x v="4"/>
    <x v="4"/>
    <x v="4"/>
    <n v="12500"/>
    <x v="170"/>
    <m/>
    <n v="0"/>
    <n v="22"/>
    <n v="0"/>
    <x v="0"/>
    <n v="23.83"/>
    <n v="0"/>
    <x v="0"/>
    <n v="2.08"/>
    <n v="1.9059999999999999"/>
    <n v="23.83"/>
  </r>
  <r>
    <n v="1989"/>
    <d v="2025-05-29T00:00:00"/>
    <x v="0"/>
    <s v="Jueves"/>
    <x v="4"/>
    <x v="1"/>
    <x v="0"/>
    <x v="3"/>
    <x v="3"/>
    <x v="3"/>
    <n v="9800"/>
    <x v="197"/>
    <n v="82.2"/>
    <n v="0"/>
    <n v="270"/>
    <n v="0"/>
    <x v="0"/>
    <n v="86"/>
    <n v="0"/>
    <x v="0"/>
    <n v="7.84"/>
    <n v="8.7759999999999998"/>
    <n v="86"/>
  </r>
  <r>
    <n v="1253"/>
    <d v="2025-05-29T00:00:00"/>
    <x v="0"/>
    <s v="Jueves"/>
    <x v="4"/>
    <x v="1"/>
    <x v="0"/>
    <x v="2"/>
    <x v="2"/>
    <x v="2"/>
    <n v="17400"/>
    <x v="70"/>
    <n v="65.8"/>
    <n v="0"/>
    <n v="125"/>
    <n v="0"/>
    <x v="0"/>
    <n v="55.99"/>
    <n v="0"/>
    <x v="0"/>
    <n v="4.99"/>
    <n v="3.218"/>
    <n v="55.99"/>
  </r>
  <r>
    <n v="517"/>
    <d v="2025-05-29T00:00:00"/>
    <x v="0"/>
    <s v="Jueves"/>
    <x v="4"/>
    <x v="1"/>
    <x v="0"/>
    <x v="5"/>
    <x v="5"/>
    <x v="5"/>
    <n v="8600"/>
    <x v="260"/>
    <n v="90"/>
    <n v="0"/>
    <n v="33"/>
    <n v="1"/>
    <x v="1"/>
    <n v="23.06"/>
    <n v="0"/>
    <x v="0"/>
    <n v="2.0299999999999998"/>
    <n v="2.681"/>
    <n v="23.06"/>
  </r>
  <r>
    <n v="885"/>
    <d v="2025-05-29T00:00:00"/>
    <x v="0"/>
    <s v="Jueves"/>
    <x v="4"/>
    <x v="1"/>
    <x v="0"/>
    <x v="1"/>
    <x v="1"/>
    <x v="1"/>
    <n v="21000"/>
    <x v="236"/>
    <n v="57.6"/>
    <n v="0"/>
    <n v="228"/>
    <n v="0"/>
    <x v="0"/>
    <n v="191.33"/>
    <n v="0"/>
    <x v="0"/>
    <n v="17.22"/>
    <n v="9.1110000000000007"/>
    <n v="191.33"/>
  </r>
  <r>
    <n v="1622"/>
    <d v="2025-05-29T08:00:00"/>
    <x v="1"/>
    <s v="Jueves"/>
    <x v="4"/>
    <x v="1"/>
    <x v="0"/>
    <x v="0"/>
    <x v="0"/>
    <x v="0"/>
    <n v="26000"/>
    <x v="198"/>
    <n v="55.1"/>
    <m/>
    <n v="165"/>
    <n v="0"/>
    <x v="0"/>
    <n v="141.44"/>
    <n v="84.26"/>
    <x v="1"/>
    <n v="7.94"/>
    <n v="5.44"/>
    <n v="57.18"/>
  </r>
  <r>
    <n v="1254"/>
    <d v="2025-05-29T08:00:00"/>
    <x v="1"/>
    <s v="Jueves"/>
    <x v="4"/>
    <x v="1"/>
    <x v="0"/>
    <x v="2"/>
    <x v="2"/>
    <x v="2"/>
    <n v="17400"/>
    <x v="206"/>
    <n v="65.8"/>
    <n v="400.2"/>
    <n v="22"/>
    <n v="0"/>
    <x v="0"/>
    <n v="34.340000000000003"/>
    <n v="46.84"/>
    <x v="1"/>
    <n v="-0.72"/>
    <n v="1.974"/>
    <n v="0"/>
  </r>
  <r>
    <n v="150"/>
    <d v="2025-05-29T08:00:00"/>
    <x v="1"/>
    <s v="Jueves"/>
    <x v="4"/>
    <x v="1"/>
    <x v="0"/>
    <x v="4"/>
    <x v="4"/>
    <x v="4"/>
    <n v="12500"/>
    <x v="213"/>
    <n v="56.7"/>
    <n v="431.1"/>
    <n v="369"/>
    <n v="0"/>
    <x v="0"/>
    <n v="69.02"/>
    <n v="61.91"/>
    <x v="1"/>
    <n v="0.97"/>
    <n v="5.5220000000000002"/>
    <n v="7.11"/>
  </r>
  <r>
    <n v="1990"/>
    <d v="2025-05-29T08:00:00"/>
    <x v="1"/>
    <s v="Jueves"/>
    <x v="4"/>
    <x v="1"/>
    <x v="0"/>
    <x v="3"/>
    <x v="3"/>
    <x v="3"/>
    <n v="9800"/>
    <x v="215"/>
    <n v="75.400000000000006"/>
    <n v="358.4"/>
    <n v="71"/>
    <n v="0"/>
    <x v="0"/>
    <n v="18.09"/>
    <n v="0"/>
    <x v="1"/>
    <n v="2.67"/>
    <n v="1.8460000000000001"/>
    <n v="18.09"/>
  </r>
  <r>
    <n v="518"/>
    <d v="2025-05-29T08:00:00"/>
    <x v="1"/>
    <s v="Jueves"/>
    <x v="4"/>
    <x v="1"/>
    <x v="0"/>
    <x v="5"/>
    <x v="5"/>
    <x v="5"/>
    <n v="8600"/>
    <x v="105"/>
    <n v="86.3"/>
    <n v="265.7"/>
    <n v="815"/>
    <n v="0"/>
    <x v="0"/>
    <n v="79.78"/>
    <n v="18.809999999999999"/>
    <x v="1"/>
    <n v="8.4700000000000006"/>
    <n v="9.2769999999999992"/>
    <n v="60.97"/>
  </r>
  <r>
    <n v="886"/>
    <d v="2025-05-29T08:00:00"/>
    <x v="1"/>
    <s v="Jueves"/>
    <x v="4"/>
    <x v="1"/>
    <x v="0"/>
    <x v="1"/>
    <x v="1"/>
    <x v="1"/>
    <n v="21000"/>
    <x v="196"/>
    <n v="62.5"/>
    <n v="289"/>
    <n v="414"/>
    <n v="1"/>
    <x v="3"/>
    <n v="205.77"/>
    <n v="62.25"/>
    <x v="1"/>
    <n v="20.65"/>
    <n v="9.7989999999999995"/>
    <n v="143.52000000000001"/>
  </r>
  <r>
    <n v="887"/>
    <d v="2025-05-29T14:00:00"/>
    <x v="2"/>
    <s v="Jueves"/>
    <x v="4"/>
    <x v="1"/>
    <x v="0"/>
    <x v="1"/>
    <x v="1"/>
    <x v="1"/>
    <n v="21000"/>
    <x v="261"/>
    <n v="58.4"/>
    <n v="677.6"/>
    <n v="409"/>
    <n v="1"/>
    <x v="3"/>
    <n v="216.69"/>
    <n v="124.23"/>
    <x v="1"/>
    <n v="13.47"/>
    <n v="10.319000000000001"/>
    <n v="92.46"/>
  </r>
  <r>
    <n v="151"/>
    <d v="2025-05-29T14:00:00"/>
    <x v="2"/>
    <s v="Jueves"/>
    <x v="4"/>
    <x v="1"/>
    <x v="0"/>
    <x v="4"/>
    <x v="4"/>
    <x v="4"/>
    <n v="12500"/>
    <x v="241"/>
    <n v="50.5"/>
    <n v="646.1"/>
    <n v="574"/>
    <n v="1"/>
    <x v="3"/>
    <n v="118.91"/>
    <n v="100.7"/>
    <x v="1"/>
    <n v="2.57"/>
    <n v="9.5129999999999999"/>
    <n v="18.21"/>
  </r>
  <r>
    <n v="519"/>
    <d v="2025-05-29T14:00:00"/>
    <x v="2"/>
    <s v="Jueves"/>
    <x v="4"/>
    <x v="1"/>
    <x v="0"/>
    <x v="5"/>
    <x v="5"/>
    <x v="5"/>
    <n v="8600"/>
    <x v="234"/>
    <n v="82.6"/>
    <n v="596.20000000000005"/>
    <n v="803"/>
    <n v="1"/>
    <x v="3"/>
    <n v="89.73"/>
    <n v="47.22"/>
    <x v="1"/>
    <n v="5.93"/>
    <n v="10.433999999999999"/>
    <n v="42.51"/>
  </r>
  <r>
    <n v="1623"/>
    <d v="2025-05-29T14:00:00"/>
    <x v="2"/>
    <s v="Jueves"/>
    <x v="4"/>
    <x v="1"/>
    <x v="0"/>
    <x v="0"/>
    <x v="0"/>
    <x v="0"/>
    <n v="26000"/>
    <x v="262"/>
    <n v="44.2"/>
    <n v="882"/>
    <n v="184"/>
    <n v="1"/>
    <x v="3"/>
    <n v="186.84"/>
    <n v="233.11"/>
    <x v="1"/>
    <n v="-2.6"/>
    <n v="7.1859999999999999"/>
    <n v="0"/>
  </r>
  <r>
    <n v="1991"/>
    <d v="2025-05-29T14:00:00"/>
    <x v="2"/>
    <s v="Jueves"/>
    <x v="4"/>
    <x v="1"/>
    <x v="0"/>
    <x v="3"/>
    <x v="3"/>
    <x v="3"/>
    <n v="9800"/>
    <x v="263"/>
    <n v="73.3"/>
    <n v="887.4"/>
    <n v="70"/>
    <n v="1"/>
    <x v="3"/>
    <n v="21.38"/>
    <n v="0"/>
    <x v="1"/>
    <n v="3.08"/>
    <n v="2.1819999999999999"/>
    <n v="21.38"/>
  </r>
  <r>
    <n v="1255"/>
    <d v="2025-05-29T14:00:00"/>
    <x v="2"/>
    <s v="Jueves"/>
    <x v="4"/>
    <x v="1"/>
    <x v="0"/>
    <x v="2"/>
    <x v="2"/>
    <x v="2"/>
    <n v="17400"/>
    <x v="264"/>
    <n v="64.900000000000006"/>
    <n v="559.5"/>
    <n v="1420"/>
    <n v="1"/>
    <x v="3"/>
    <n v="221.6"/>
    <n v="67.510000000000005"/>
    <x v="1"/>
    <n v="22.17"/>
    <n v="12.736000000000001"/>
    <n v="154.09"/>
  </r>
  <r>
    <n v="1256"/>
    <d v="2025-05-29T20:00:00"/>
    <x v="3"/>
    <s v="Jueves"/>
    <x v="4"/>
    <x v="1"/>
    <x v="0"/>
    <x v="2"/>
    <x v="2"/>
    <x v="2"/>
    <n v="17400"/>
    <x v="202"/>
    <n v="58.9"/>
    <n v="54.3"/>
    <n v="1432"/>
    <n v="1"/>
    <x v="3"/>
    <n v="307.86"/>
    <n v="7.02"/>
    <x v="2"/>
    <n v="67.09"/>
    <n v="17.693000000000001"/>
    <n v="300.83999999999997"/>
  </r>
  <r>
    <n v="520"/>
    <d v="2025-05-29T20:00:00"/>
    <x v="3"/>
    <s v="Jueves"/>
    <x v="4"/>
    <x v="1"/>
    <x v="0"/>
    <x v="5"/>
    <x v="5"/>
    <x v="5"/>
    <n v="8600"/>
    <x v="189"/>
    <n v="75.900000000000006"/>
    <n v="79.2"/>
    <n v="104"/>
    <n v="0"/>
    <x v="0"/>
    <n v="21.89"/>
    <n v="6.12"/>
    <x v="2"/>
    <n v="3.44"/>
    <n v="2.5449999999999999"/>
    <n v="15.77"/>
  </r>
  <r>
    <n v="1624"/>
    <d v="2025-05-29T20:00:00"/>
    <x v="3"/>
    <s v="Jueves"/>
    <x v="4"/>
    <x v="1"/>
    <x v="0"/>
    <x v="0"/>
    <x v="0"/>
    <x v="0"/>
    <n v="26000"/>
    <x v="245"/>
    <n v="55.1"/>
    <n v="40.299999999999997"/>
    <n v="160"/>
    <n v="1"/>
    <x v="3"/>
    <n v="238.78"/>
    <n v="10.26"/>
    <x v="2"/>
    <n v="49.36"/>
    <n v="9.1839999999999993"/>
    <n v="228.52"/>
  </r>
  <r>
    <n v="888"/>
    <d v="2025-05-29T20:00:00"/>
    <x v="3"/>
    <s v="Jueves"/>
    <x v="4"/>
    <x v="1"/>
    <x v="0"/>
    <x v="1"/>
    <x v="1"/>
    <x v="1"/>
    <n v="21000"/>
    <x v="265"/>
    <n v="45.1"/>
    <n v="94.2"/>
    <n v="394"/>
    <n v="1"/>
    <x v="3"/>
    <m/>
    <n v="17.510000000000002"/>
    <x v="2"/>
    <n v="62.27"/>
    <m/>
    <m/>
  </r>
  <r>
    <n v="152"/>
    <d v="2025-05-29T20:00:00"/>
    <x v="3"/>
    <s v="Jueves"/>
    <x v="4"/>
    <x v="1"/>
    <x v="0"/>
    <x v="4"/>
    <x v="4"/>
    <x v="4"/>
    <n v="12500"/>
    <x v="259"/>
    <n v="54.2"/>
    <n v="45.5"/>
    <n v="52"/>
    <n v="0"/>
    <x v="0"/>
    <n v="40.1"/>
    <n v="6.94"/>
    <x v="2"/>
    <n v="7.38"/>
    <n v="3.2080000000000002"/>
    <n v="33.159999999999997"/>
  </r>
  <r>
    <n v="1992"/>
    <d v="2025-05-29T20:00:00"/>
    <x v="3"/>
    <s v="Jueves"/>
    <x v="4"/>
    <x v="1"/>
    <x v="0"/>
    <x v="3"/>
    <x v="3"/>
    <x v="3"/>
    <n v="9800"/>
    <x v="166"/>
    <n v="68"/>
    <n v="61.6"/>
    <n v="307"/>
    <n v="0"/>
    <x v="0"/>
    <n v="96.83"/>
    <n v="0"/>
    <x v="2"/>
    <n v="21.1"/>
    <n v="9.8810000000000002"/>
    <n v="96.83"/>
  </r>
  <r>
    <n v="1257"/>
    <d v="2025-06-02T00:00:00"/>
    <x v="0"/>
    <s v="Lunes"/>
    <x v="5"/>
    <x v="2"/>
    <x v="0"/>
    <x v="2"/>
    <x v="2"/>
    <x v="2"/>
    <n v="17400"/>
    <x v="159"/>
    <n v="63.4"/>
    <n v="0"/>
    <n v="50"/>
    <n v="0"/>
    <x v="0"/>
    <n v="47.25"/>
    <n v="0"/>
    <x v="0"/>
    <n v="4.2300000000000004"/>
    <n v="2.7160000000000002"/>
    <n v="47.25"/>
  </r>
  <r>
    <n v="1625"/>
    <d v="2025-06-02T00:00:00"/>
    <x v="0"/>
    <s v="Lunes"/>
    <x v="5"/>
    <x v="2"/>
    <x v="0"/>
    <x v="0"/>
    <x v="0"/>
    <x v="0"/>
    <n v="26000"/>
    <x v="169"/>
    <n v="66.2"/>
    <n v="0"/>
    <n v="68"/>
    <n v="0"/>
    <x v="0"/>
    <n v="111.93"/>
    <n v="0"/>
    <x v="0"/>
    <n v="9.94"/>
    <n v="4.3049999999999997"/>
    <n v="111.93"/>
  </r>
  <r>
    <n v="1993"/>
    <d v="2025-06-02T00:00:00"/>
    <x v="0"/>
    <s v="Lunes"/>
    <x v="5"/>
    <x v="2"/>
    <x v="0"/>
    <x v="3"/>
    <x v="3"/>
    <x v="3"/>
    <n v="9800"/>
    <x v="156"/>
    <n v="70"/>
    <m/>
    <n v="328"/>
    <n v="0"/>
    <x v="0"/>
    <n v="91.32"/>
    <n v="0"/>
    <x v="0"/>
    <n v="8"/>
    <n v="9.3179999999999996"/>
    <n v="91.32"/>
  </r>
  <r>
    <n v="153"/>
    <d v="2025-06-02T00:00:00"/>
    <x v="0"/>
    <s v="Lunes"/>
    <x v="5"/>
    <x v="2"/>
    <x v="0"/>
    <x v="4"/>
    <x v="4"/>
    <x v="4"/>
    <n v="12500"/>
    <x v="174"/>
    <n v="51.6"/>
    <n v="0"/>
    <n v="41"/>
    <n v="0"/>
    <x v="0"/>
    <n v="26.97"/>
    <n v="0"/>
    <x v="0"/>
    <n v="2.38"/>
    <n v="2.1579999999999999"/>
    <n v="26.97"/>
  </r>
  <r>
    <n v="521"/>
    <d v="2025-06-02T00:00:00"/>
    <x v="0"/>
    <s v="Lunes"/>
    <x v="5"/>
    <x v="2"/>
    <x v="0"/>
    <x v="5"/>
    <x v="5"/>
    <x v="5"/>
    <n v="8600"/>
    <x v="115"/>
    <n v="81.7"/>
    <n v="0"/>
    <n v="174"/>
    <n v="0"/>
    <x v="0"/>
    <n v="28.69"/>
    <n v="0"/>
    <x v="0"/>
    <n v="2.59"/>
    <n v="3.3359999999999999"/>
    <n v="28.69"/>
  </r>
  <r>
    <n v="889"/>
    <d v="2025-06-02T00:00:00"/>
    <x v="0"/>
    <s v="Lunes"/>
    <x v="5"/>
    <x v="2"/>
    <x v="0"/>
    <x v="1"/>
    <x v="1"/>
    <x v="1"/>
    <n v="21000"/>
    <x v="266"/>
    <n v="58.9"/>
    <n v="0"/>
    <n v="222"/>
    <n v="0"/>
    <x v="0"/>
    <n v="168.94"/>
    <n v="0"/>
    <x v="0"/>
    <n v="15.49"/>
    <n v="8.0449999999999999"/>
    <n v="168.94"/>
  </r>
  <r>
    <n v="1994"/>
    <d v="2025-06-02T08:00:00"/>
    <x v="1"/>
    <s v="Lunes"/>
    <x v="5"/>
    <x v="2"/>
    <x v="0"/>
    <x v="3"/>
    <x v="3"/>
    <x v="3"/>
    <n v="9800"/>
    <x v="198"/>
    <n v="75"/>
    <n v="331.8"/>
    <n v="82"/>
    <n v="0"/>
    <x v="0"/>
    <n v="18.45"/>
    <n v="0"/>
    <x v="1"/>
    <n v="2.7"/>
    <n v="1.883"/>
    <n v="18.45"/>
  </r>
  <r>
    <n v="1626"/>
    <d v="2025-06-02T08:00:00"/>
    <x v="1"/>
    <s v="Lunes"/>
    <x v="5"/>
    <x v="2"/>
    <x v="0"/>
    <x v="0"/>
    <x v="0"/>
    <x v="0"/>
    <n v="26000"/>
    <x v="169"/>
    <n v="57.2"/>
    <n v="443.4"/>
    <n v="178"/>
    <n v="0"/>
    <x v="0"/>
    <n v="161.69999999999999"/>
    <n v="110.23"/>
    <x v="1"/>
    <n v="7.54"/>
    <n v="6.2190000000000003"/>
    <n v="51.47"/>
  </r>
  <r>
    <n v="1258"/>
    <d v="2025-06-02T08:00:00"/>
    <x v="1"/>
    <s v="Lunes"/>
    <x v="5"/>
    <x v="2"/>
    <x v="0"/>
    <x v="2"/>
    <x v="2"/>
    <x v="2"/>
    <n v="17400"/>
    <x v="217"/>
    <n v="69.8"/>
    <n v="264.5"/>
    <n v="142"/>
    <n v="0"/>
    <x v="0"/>
    <n v="41.88"/>
    <n v="34.909999999999997"/>
    <x v="1"/>
    <n v="0.99"/>
    <n v="2.407"/>
    <n v="6.97"/>
  </r>
  <r>
    <n v="890"/>
    <d v="2025-06-02T08:00:00"/>
    <x v="1"/>
    <s v="Lunes"/>
    <x v="5"/>
    <x v="2"/>
    <x v="0"/>
    <x v="1"/>
    <x v="1"/>
    <x v="1"/>
    <n v="21000"/>
    <x v="267"/>
    <m/>
    <n v="434.6"/>
    <n v="425"/>
    <n v="1"/>
    <x v="3"/>
    <n v="210.9"/>
    <n v="87.98"/>
    <x v="1"/>
    <n v="17.47"/>
    <n v="10.042999999999999"/>
    <n v="122.92"/>
  </r>
  <r>
    <n v="522"/>
    <d v="2025-06-02T08:00:00"/>
    <x v="1"/>
    <s v="Lunes"/>
    <x v="5"/>
    <x v="2"/>
    <x v="0"/>
    <x v="5"/>
    <x v="5"/>
    <x v="5"/>
    <n v="8600"/>
    <x v="242"/>
    <n v="65.2"/>
    <n v="311.10000000000002"/>
    <n v="757"/>
    <n v="0"/>
    <x v="0"/>
    <n v="80.61"/>
    <n v="23.44"/>
    <x v="1"/>
    <n v="7.95"/>
    <n v="9.3729999999999993"/>
    <n v="57.17"/>
  </r>
  <r>
    <n v="154"/>
    <d v="2025-06-02T08:00:00"/>
    <x v="1"/>
    <s v="Lunes"/>
    <x v="5"/>
    <x v="2"/>
    <x v="0"/>
    <x v="4"/>
    <x v="4"/>
    <x v="4"/>
    <n v="12500"/>
    <x v="198"/>
    <n v="45.8"/>
    <n v="402.3"/>
    <n v="368"/>
    <n v="0"/>
    <x v="0"/>
    <n v="67.27"/>
    <n v="60.71"/>
    <x v="1"/>
    <n v="0.96"/>
    <n v="5.3819999999999997"/>
    <n v="6.56"/>
  </r>
  <r>
    <n v="155"/>
    <d v="2025-06-02T14:00:00"/>
    <x v="2"/>
    <s v="Lunes"/>
    <x v="5"/>
    <x v="2"/>
    <x v="0"/>
    <x v="4"/>
    <x v="4"/>
    <x v="4"/>
    <n v="12500"/>
    <x v="235"/>
    <n v="41.8"/>
    <n v="814.8"/>
    <n v="548"/>
    <n v="1"/>
    <x v="3"/>
    <n v="110.04"/>
    <n v="123.52"/>
    <x v="1"/>
    <n v="-0.78"/>
    <n v="8.8030000000000008"/>
    <n v="0"/>
  </r>
  <r>
    <n v="523"/>
    <d v="2025-06-02T14:00:00"/>
    <x v="2"/>
    <s v="Lunes"/>
    <x v="5"/>
    <x v="2"/>
    <x v="0"/>
    <x v="5"/>
    <x v="5"/>
    <x v="5"/>
    <n v="8600"/>
    <x v="220"/>
    <n v="67.8"/>
    <n v="765.8"/>
    <n v="793"/>
    <n v="0"/>
    <x v="0"/>
    <n v="77.2"/>
    <n v="55.53"/>
    <x v="1"/>
    <n v="3.14"/>
    <n v="8.9770000000000003"/>
    <n v="21.67"/>
  </r>
  <r>
    <n v="1995"/>
    <d v="2025-06-02T14:00:00"/>
    <x v="2"/>
    <s v="Lunes"/>
    <x v="5"/>
    <x v="2"/>
    <x v="0"/>
    <x v="3"/>
    <x v="3"/>
    <x v="3"/>
    <n v="9800"/>
    <x v="225"/>
    <n v="57.1"/>
    <n v="702.7"/>
    <n v="60"/>
    <n v="1"/>
    <x v="3"/>
    <n v="20.399999999999999"/>
    <n v="0"/>
    <x v="1"/>
    <n v="2.95"/>
    <n v="2.0819999999999999"/>
    <n v="20.399999999999999"/>
  </r>
  <r>
    <n v="1627"/>
    <d v="2025-06-02T14:00:00"/>
    <x v="2"/>
    <s v="Lunes"/>
    <x v="5"/>
    <x v="2"/>
    <x v="0"/>
    <x v="0"/>
    <x v="0"/>
    <x v="0"/>
    <n v="26000"/>
    <x v="233"/>
    <n v="61.3"/>
    <n v="537.1"/>
    <n v="166"/>
    <n v="1"/>
    <x v="3"/>
    <n v="170.09"/>
    <n v="145.49"/>
    <x v="1"/>
    <n v="3.67"/>
    <n v="6.5419999999999998"/>
    <n v="24.6"/>
  </r>
  <r>
    <n v="891"/>
    <d v="2025-06-02T14:00:00"/>
    <x v="2"/>
    <s v="Lunes"/>
    <x v="5"/>
    <x v="2"/>
    <x v="0"/>
    <x v="1"/>
    <x v="1"/>
    <x v="1"/>
    <n v="21000"/>
    <x v="268"/>
    <n v="36.700000000000003"/>
    <n v="776.2"/>
    <n v="443"/>
    <n v="1"/>
    <x v="3"/>
    <n v="228.83"/>
    <n v="143.18"/>
    <x v="1"/>
    <n v="11.94"/>
    <n v="10.897"/>
    <n v="85.65"/>
  </r>
  <r>
    <n v="1259"/>
    <d v="2025-06-02T14:00:00"/>
    <x v="2"/>
    <s v="Lunes"/>
    <x v="5"/>
    <x v="2"/>
    <x v="0"/>
    <x v="2"/>
    <x v="2"/>
    <x v="2"/>
    <n v="17400"/>
    <x v="230"/>
    <n v="68.3"/>
    <n v="817"/>
    <n v="1311"/>
    <n v="1"/>
    <x v="3"/>
    <n v="209.23"/>
    <n v="94.68"/>
    <x v="1"/>
    <n v="16.37"/>
    <n v="12.025"/>
    <n v="114.55"/>
  </r>
  <r>
    <n v="1628"/>
    <d v="2025-06-02T20:00:00"/>
    <x v="3"/>
    <s v="Lunes"/>
    <x v="5"/>
    <x v="2"/>
    <x v="0"/>
    <x v="0"/>
    <x v="0"/>
    <x v="0"/>
    <n v="26000"/>
    <x v="267"/>
    <n v="60.7"/>
    <n v="74.2"/>
    <n v="159"/>
    <n v="1"/>
    <x v="3"/>
    <n v="253.15"/>
    <n v="19.07"/>
    <x v="2"/>
    <n v="53"/>
    <n v="9.7370000000000001"/>
    <n v="234.08"/>
  </r>
  <r>
    <n v="524"/>
    <d v="2025-06-02T20:00:00"/>
    <x v="3"/>
    <s v="Lunes"/>
    <x v="5"/>
    <x v="2"/>
    <x v="0"/>
    <x v="5"/>
    <x v="5"/>
    <x v="5"/>
    <n v="8600"/>
    <x v="189"/>
    <n v="91.7"/>
    <n v="39.700000000000003"/>
    <n v="114"/>
    <n v="0"/>
    <x v="0"/>
    <n v="24.82"/>
    <n v="2.87"/>
    <x v="2"/>
    <n v="4.84"/>
    <n v="2.8860000000000001"/>
    <n v="21.95"/>
  </r>
  <r>
    <n v="892"/>
    <d v="2025-06-02T20:00:00"/>
    <x v="3"/>
    <s v="Lunes"/>
    <x v="5"/>
    <x v="2"/>
    <x v="0"/>
    <x v="1"/>
    <x v="1"/>
    <x v="1"/>
    <n v="21000"/>
    <x v="269"/>
    <n v="56.9"/>
    <n v="53.1"/>
    <n v="444"/>
    <n v="1"/>
    <x v="3"/>
    <n v="308.17"/>
    <n v="9.9499999999999993"/>
    <x v="2"/>
    <n v="64.739999999999995"/>
    <n v="14.675000000000001"/>
    <n v="298.22000000000003"/>
  </r>
  <r>
    <n v="156"/>
    <d v="2025-06-02T20:00:00"/>
    <x v="3"/>
    <s v="Lunes"/>
    <x v="5"/>
    <x v="2"/>
    <x v="0"/>
    <x v="4"/>
    <x v="4"/>
    <x v="4"/>
    <n v="12500"/>
    <x v="121"/>
    <n v="45.2"/>
    <n v="105"/>
    <n v="33"/>
    <n v="0"/>
    <x v="0"/>
    <n v="37.130000000000003"/>
    <n v="16.3"/>
    <x v="2"/>
    <n v="4.71"/>
    <n v="2.97"/>
    <n v="20.83"/>
  </r>
  <r>
    <n v="1260"/>
    <d v="2025-06-02T20:00:00"/>
    <x v="3"/>
    <s v="Lunes"/>
    <x v="5"/>
    <x v="2"/>
    <x v="0"/>
    <x v="2"/>
    <x v="2"/>
    <x v="2"/>
    <n v="17400"/>
    <x v="270"/>
    <n v="57.3"/>
    <n v="73.400000000000006"/>
    <n v="1352"/>
    <n v="1"/>
    <x v="3"/>
    <n v="284.97000000000003"/>
    <n v="9.39"/>
    <x v="2"/>
    <n v="59.39"/>
    <n v="16.378"/>
    <n v="275.58"/>
  </r>
  <r>
    <n v="1996"/>
    <d v="2025-06-02T20:00:00"/>
    <x v="3"/>
    <s v="Lunes"/>
    <x v="5"/>
    <x v="2"/>
    <x v="0"/>
    <x v="3"/>
    <x v="3"/>
    <x v="3"/>
    <n v="9800"/>
    <x v="271"/>
    <n v="75.099999999999994"/>
    <n v="57.1"/>
    <n v="304"/>
    <n v="0"/>
    <x v="0"/>
    <n v="94.4"/>
    <n v="0"/>
    <x v="2"/>
    <n v="20.87"/>
    <n v="9.6329999999999991"/>
    <n v="94.4"/>
  </r>
  <r>
    <n v="157"/>
    <d v="2025-06-06T00:00:00"/>
    <x v="0"/>
    <s v="Viernes"/>
    <x v="5"/>
    <x v="2"/>
    <x v="0"/>
    <x v="4"/>
    <x v="4"/>
    <x v="4"/>
    <n v="12500"/>
    <x v="182"/>
    <n v="58.1"/>
    <n v="0"/>
    <n v="0"/>
    <n v="0"/>
    <x v="0"/>
    <n v="22.62"/>
    <n v="0"/>
    <x v="0"/>
    <n v="2.0699999999999998"/>
    <n v="1.81"/>
    <n v="22.62"/>
  </r>
  <r>
    <n v="525"/>
    <d v="2025-06-06T00:00:00"/>
    <x v="0"/>
    <s v="Viernes"/>
    <x v="5"/>
    <x v="2"/>
    <x v="0"/>
    <x v="5"/>
    <x v="5"/>
    <x v="5"/>
    <n v="8600"/>
    <x v="182"/>
    <n v="83.9"/>
    <n v="0"/>
    <n v="123"/>
    <n v="0"/>
    <x v="0"/>
    <n v="24.88"/>
    <n v="0"/>
    <x v="0"/>
    <n v="2.2999999999999998"/>
    <n v="2.8929999999999998"/>
    <n v="24.88"/>
  </r>
  <r>
    <n v="1997"/>
    <d v="2025-06-06T00:00:00"/>
    <x v="0"/>
    <s v="Viernes"/>
    <x v="5"/>
    <x v="2"/>
    <x v="0"/>
    <x v="3"/>
    <x v="3"/>
    <x v="3"/>
    <n v="9800"/>
    <x v="208"/>
    <m/>
    <n v="0"/>
    <n v="289"/>
    <n v="0"/>
    <x v="0"/>
    <n v="89.61"/>
    <n v="0"/>
    <x v="0"/>
    <n v="7.96"/>
    <n v="9.1440000000000001"/>
    <n v="89.61"/>
  </r>
  <r>
    <n v="893"/>
    <d v="2025-06-06T00:00:00"/>
    <x v="0"/>
    <s v="Viernes"/>
    <x v="5"/>
    <x v="2"/>
    <x v="0"/>
    <x v="1"/>
    <x v="1"/>
    <x v="1"/>
    <n v="21000"/>
    <x v="247"/>
    <n v="52"/>
    <n v="0"/>
    <n v="197"/>
    <n v="1"/>
    <x v="2"/>
    <n v="173.36"/>
    <n v="0"/>
    <x v="0"/>
    <n v="15.95"/>
    <n v="8.2550000000000008"/>
    <n v="173.36"/>
  </r>
  <r>
    <n v="1261"/>
    <d v="2025-06-06T00:00:00"/>
    <x v="0"/>
    <s v="Viernes"/>
    <x v="5"/>
    <x v="2"/>
    <x v="0"/>
    <x v="2"/>
    <x v="2"/>
    <x v="2"/>
    <n v="17400"/>
    <x v="174"/>
    <n v="78.2"/>
    <n v="0"/>
    <m/>
    <n v="0"/>
    <x v="0"/>
    <n v="46.39"/>
    <n v="0"/>
    <x v="0"/>
    <n v="4.16"/>
    <n v="2.6659999999999999"/>
    <n v="46.39"/>
  </r>
  <r>
    <n v="1629"/>
    <d v="2025-06-06T00:00:00"/>
    <x v="0"/>
    <s v="Viernes"/>
    <x v="5"/>
    <x v="2"/>
    <x v="0"/>
    <x v="0"/>
    <x v="0"/>
    <x v="0"/>
    <n v="26000"/>
    <x v="43"/>
    <n v="56"/>
    <n v="0"/>
    <n v="60"/>
    <n v="0"/>
    <x v="0"/>
    <n v="111.15"/>
    <n v="0"/>
    <x v="0"/>
    <n v="10.15"/>
    <n v="4.2750000000000004"/>
    <n v="111.15"/>
  </r>
  <r>
    <n v="894"/>
    <d v="2025-06-06T08:00:00"/>
    <x v="1"/>
    <s v="Viernes"/>
    <x v="5"/>
    <x v="2"/>
    <x v="0"/>
    <x v="1"/>
    <x v="1"/>
    <x v="1"/>
    <n v="21000"/>
    <x v="272"/>
    <n v="49.9"/>
    <n v="410.1"/>
    <n v="422"/>
    <n v="1"/>
    <x v="3"/>
    <n v="210.51"/>
    <n v="73.31"/>
    <x v="1"/>
    <n v="19.78"/>
    <n v="10.023999999999999"/>
    <n v="137.19999999999999"/>
  </r>
  <r>
    <n v="1630"/>
    <d v="2025-06-06T08:00:00"/>
    <x v="1"/>
    <s v="Viernes"/>
    <x v="5"/>
    <x v="2"/>
    <x v="0"/>
    <x v="0"/>
    <x v="0"/>
    <x v="0"/>
    <n v="26000"/>
    <x v="254"/>
    <n v="56.8"/>
    <n v="391.1"/>
    <n v="169"/>
    <n v="1"/>
    <x v="2"/>
    <n v="147.94999999999999"/>
    <n v="103.08"/>
    <x v="1"/>
    <n v="6.26"/>
    <n v="5.69"/>
    <n v="44.87"/>
  </r>
  <r>
    <n v="158"/>
    <d v="2025-06-06T08:00:00"/>
    <x v="1"/>
    <s v="Viernes"/>
    <x v="5"/>
    <x v="2"/>
    <x v="0"/>
    <x v="4"/>
    <x v="4"/>
    <x v="4"/>
    <n v="12500"/>
    <x v="193"/>
    <n v="58.7"/>
    <n v="397.2"/>
    <n v="333"/>
    <n v="0"/>
    <x v="0"/>
    <n v="64.44"/>
    <n v="58.11"/>
    <x v="1"/>
    <n v="0.91"/>
    <n v="5.1550000000000002"/>
    <n v="6.33"/>
  </r>
  <r>
    <n v="1998"/>
    <d v="2025-06-06T08:00:00"/>
    <x v="1"/>
    <s v="Viernes"/>
    <x v="5"/>
    <x v="2"/>
    <x v="0"/>
    <x v="3"/>
    <x v="3"/>
    <x v="3"/>
    <n v="9800"/>
    <x v="158"/>
    <n v="84"/>
    <n v="292"/>
    <n v="23"/>
    <n v="0"/>
    <x v="0"/>
    <n v="16.21"/>
    <n v="0"/>
    <x v="1"/>
    <n v="2.34"/>
    <n v="1.6539999999999999"/>
    <n v="16.21"/>
  </r>
  <r>
    <n v="526"/>
    <d v="2025-06-06T08:00:00"/>
    <x v="1"/>
    <s v="Viernes"/>
    <x v="5"/>
    <x v="2"/>
    <x v="0"/>
    <x v="5"/>
    <x v="5"/>
    <x v="5"/>
    <n v="8600"/>
    <x v="53"/>
    <n v="76.5"/>
    <n v="419.1"/>
    <n v="735"/>
    <n v="0"/>
    <x v="0"/>
    <n v="78.95"/>
    <n v="29.55"/>
    <x v="1"/>
    <n v="7.41"/>
    <n v="9.18"/>
    <n v="49.4"/>
  </r>
  <r>
    <n v="1262"/>
    <d v="2025-06-06T08:00:00"/>
    <x v="1"/>
    <s v="Viernes"/>
    <x v="5"/>
    <x v="2"/>
    <x v="0"/>
    <x v="2"/>
    <x v="2"/>
    <x v="2"/>
    <n v="17400"/>
    <x v="208"/>
    <n v="62.4"/>
    <n v="408.3"/>
    <n v="0"/>
    <n v="0"/>
    <x v="0"/>
    <n v="32.22"/>
    <n v="53.76"/>
    <x v="1"/>
    <n v="-1.27"/>
    <n v="1.8520000000000001"/>
    <n v="0"/>
  </r>
  <r>
    <n v="527"/>
    <d v="2025-06-06T14:00:00"/>
    <x v="2"/>
    <s v="Viernes"/>
    <x v="5"/>
    <x v="2"/>
    <x v="0"/>
    <x v="5"/>
    <x v="5"/>
    <x v="5"/>
    <n v="8600"/>
    <x v="209"/>
    <n v="79"/>
    <n v="730.9"/>
    <n v="866"/>
    <n v="1"/>
    <x v="2"/>
    <n v="85.91"/>
    <n v="59.9"/>
    <x v="1"/>
    <n v="3.77"/>
    <n v="9.99"/>
    <n v="26.01"/>
  </r>
  <r>
    <n v="1263"/>
    <d v="2025-06-06T14:00:00"/>
    <x v="2"/>
    <s v="Viernes"/>
    <x v="5"/>
    <x v="2"/>
    <x v="0"/>
    <x v="2"/>
    <x v="2"/>
    <x v="2"/>
    <n v="17400"/>
    <x v="257"/>
    <n v="56.3"/>
    <n v="728.3"/>
    <n v="1392"/>
    <n v="1"/>
    <x v="3"/>
    <n v="214.95"/>
    <n v="86.51"/>
    <x v="1"/>
    <n v="18.05"/>
    <n v="12.353"/>
    <n v="128.44"/>
  </r>
  <r>
    <n v="1999"/>
    <d v="2025-06-06T14:00:00"/>
    <x v="2"/>
    <s v="Viernes"/>
    <x v="5"/>
    <x v="2"/>
    <x v="0"/>
    <x v="3"/>
    <x v="3"/>
    <x v="3"/>
    <n v="9800"/>
    <x v="273"/>
    <n v="74.2"/>
    <n v="698"/>
    <n v="97"/>
    <n v="1"/>
    <x v="3"/>
    <n v="25.02"/>
    <n v="0"/>
    <x v="1"/>
    <n v="3.58"/>
    <n v="2.5529999999999999"/>
    <n v="25.02"/>
  </r>
  <r>
    <n v="1631"/>
    <d v="2025-06-06T14:00:00"/>
    <x v="2"/>
    <s v="Viernes"/>
    <x v="5"/>
    <x v="2"/>
    <x v="0"/>
    <x v="0"/>
    <x v="0"/>
    <x v="0"/>
    <n v="26000"/>
    <x v="264"/>
    <n v="39.9"/>
    <n v="879.7"/>
    <n v="159"/>
    <n v="1"/>
    <x v="3"/>
    <n v="163.04"/>
    <n v="226.54"/>
    <x v="1"/>
    <n v="-3.58"/>
    <n v="6.2709999999999999"/>
    <n v="0"/>
  </r>
  <r>
    <n v="895"/>
    <d v="2025-06-06T14:00:00"/>
    <x v="2"/>
    <s v="Viernes"/>
    <x v="5"/>
    <x v="2"/>
    <x v="0"/>
    <x v="1"/>
    <x v="1"/>
    <x v="1"/>
    <n v="21000"/>
    <x v="274"/>
    <n v="40.6"/>
    <n v="828.6"/>
    <n v="437"/>
    <n v="1"/>
    <x v="3"/>
    <n v="209.12"/>
    <n v="158.55000000000001"/>
    <x v="1"/>
    <n v="7.33"/>
    <n v="9.9580000000000002"/>
    <n v="50.57"/>
  </r>
  <r>
    <n v="159"/>
    <d v="2025-06-06T14:00:00"/>
    <x v="2"/>
    <s v="Viernes"/>
    <x v="5"/>
    <x v="2"/>
    <x v="0"/>
    <x v="4"/>
    <x v="4"/>
    <x v="4"/>
    <n v="12500"/>
    <x v="275"/>
    <n v="53.7"/>
    <n v="529.70000000000005"/>
    <n v="608"/>
    <n v="1"/>
    <x v="3"/>
    <n v="110.06"/>
    <n v="82.19"/>
    <x v="1"/>
    <n v="3.92"/>
    <n v="8.8049999999999997"/>
    <n v="27.87"/>
  </r>
  <r>
    <n v="896"/>
    <d v="2025-06-06T20:00:00"/>
    <x v="3"/>
    <s v="Viernes"/>
    <x v="5"/>
    <x v="2"/>
    <x v="0"/>
    <x v="1"/>
    <x v="1"/>
    <x v="1"/>
    <n v="21000"/>
    <x v="276"/>
    <n v="54"/>
    <n v="77.599999999999994"/>
    <n v="376"/>
    <n v="1"/>
    <x v="3"/>
    <n v="305.35000000000002"/>
    <n v="15"/>
    <x v="2"/>
    <n v="64.569999999999993"/>
    <n v="14.54"/>
    <n v="290.35000000000002"/>
  </r>
  <r>
    <n v="160"/>
    <d v="2025-06-06T20:00:00"/>
    <x v="3"/>
    <s v="Viernes"/>
    <x v="5"/>
    <x v="2"/>
    <x v="0"/>
    <x v="4"/>
    <x v="4"/>
    <x v="4"/>
    <n v="12500"/>
    <x v="177"/>
    <n v="64.3"/>
    <n v="55.1"/>
    <n v="54"/>
    <n v="1"/>
    <x v="3"/>
    <n v="41.63"/>
    <n v="8.5500000000000007"/>
    <x v="2"/>
    <n v="7.18"/>
    <n v="3.33"/>
    <n v="33.08"/>
  </r>
  <r>
    <n v="528"/>
    <d v="2025-06-06T20:00:00"/>
    <x v="3"/>
    <s v="Viernes"/>
    <x v="5"/>
    <x v="2"/>
    <x v="0"/>
    <x v="5"/>
    <x v="5"/>
    <x v="5"/>
    <n v="8600"/>
    <x v="215"/>
    <n v="82.4"/>
    <n v="68.099999999999994"/>
    <n v="62"/>
    <n v="0"/>
    <x v="0"/>
    <n v="21.69"/>
    <n v="5.22"/>
    <x v="2"/>
    <n v="3.81"/>
    <n v="2.5219999999999998"/>
    <n v="16.47"/>
  </r>
  <r>
    <n v="1632"/>
    <d v="2025-06-06T20:00:00"/>
    <x v="3"/>
    <s v="Viernes"/>
    <x v="5"/>
    <x v="2"/>
    <x v="0"/>
    <x v="0"/>
    <x v="0"/>
    <x v="0"/>
    <n v="26000"/>
    <x v="187"/>
    <n v="42.6"/>
    <n v="92.6"/>
    <n v="164"/>
    <n v="1"/>
    <x v="2"/>
    <n v="250.82"/>
    <n v="24.53"/>
    <x v="2"/>
    <n v="49.49"/>
    <n v="9.6470000000000002"/>
    <n v="226.29"/>
  </r>
  <r>
    <n v="1264"/>
    <d v="2025-06-06T20:00:00"/>
    <x v="3"/>
    <s v="Viernes"/>
    <x v="5"/>
    <x v="2"/>
    <x v="0"/>
    <x v="2"/>
    <x v="2"/>
    <x v="2"/>
    <n v="17400"/>
    <x v="212"/>
    <n v="69.7"/>
    <m/>
    <n v="1332"/>
    <n v="1"/>
    <x v="3"/>
    <n v="307.89999999999998"/>
    <n v="5.45"/>
    <x v="2"/>
    <n v="67.45"/>
    <n v="17.695"/>
    <n v="302.45"/>
  </r>
  <r>
    <n v="2000"/>
    <d v="2025-06-06T20:00:00"/>
    <x v="3"/>
    <s v="Viernes"/>
    <x v="5"/>
    <x v="2"/>
    <x v="0"/>
    <x v="3"/>
    <x v="3"/>
    <x v="3"/>
    <n v="9800"/>
    <x v="273"/>
    <n v="66.599999999999994"/>
    <n v="74.099999999999994"/>
    <n v="294"/>
    <n v="1"/>
    <x v="3"/>
    <n v="99.76"/>
    <n v="0"/>
    <x v="2"/>
    <n v="21.86"/>
    <n v="10.18"/>
    <n v="99.76"/>
  </r>
  <r>
    <n v="1633"/>
    <d v="2025-06-10T00:00:00"/>
    <x v="0"/>
    <s v="Martes"/>
    <x v="5"/>
    <x v="2"/>
    <x v="0"/>
    <x v="0"/>
    <x v="0"/>
    <x v="0"/>
    <n v="26000"/>
    <x v="70"/>
    <n v="58.9"/>
    <n v="0"/>
    <n v="60"/>
    <n v="0"/>
    <x v="0"/>
    <n v="114.65"/>
    <n v="0"/>
    <x v="0"/>
    <n v="10.43"/>
    <n v="4.41"/>
    <n v="114.65"/>
  </r>
  <r>
    <n v="2001"/>
    <d v="2025-06-10T00:00:00"/>
    <x v="0"/>
    <s v="Martes"/>
    <x v="5"/>
    <x v="2"/>
    <x v="0"/>
    <x v="3"/>
    <x v="3"/>
    <x v="3"/>
    <n v="9800"/>
    <x v="43"/>
    <n v="75.7"/>
    <n v="0"/>
    <n v="312"/>
    <n v="0"/>
    <x v="0"/>
    <n v="99.35"/>
    <n v="0"/>
    <x v="0"/>
    <n v="9.0500000000000007"/>
    <n v="10.138"/>
    <n v="99.35"/>
  </r>
  <r>
    <n v="1265"/>
    <d v="2025-06-10T00:00:00"/>
    <x v="0"/>
    <s v="Martes"/>
    <x v="5"/>
    <x v="2"/>
    <x v="0"/>
    <x v="2"/>
    <x v="2"/>
    <x v="2"/>
    <n v="17400"/>
    <x v="116"/>
    <n v="73.2"/>
    <n v="0"/>
    <m/>
    <n v="0"/>
    <x v="0"/>
    <n v="55.4"/>
    <n v="0"/>
    <x v="0"/>
    <n v="4.84"/>
    <n v="3.1840000000000002"/>
    <n v="55.4"/>
  </r>
  <r>
    <n v="897"/>
    <d v="2025-06-10T00:00:00"/>
    <x v="0"/>
    <s v="Martes"/>
    <x v="5"/>
    <x v="2"/>
    <x v="0"/>
    <x v="1"/>
    <x v="1"/>
    <x v="1"/>
    <n v="21000"/>
    <x v="271"/>
    <n v="46.1"/>
    <n v="0"/>
    <n v="190"/>
    <n v="0"/>
    <x v="0"/>
    <n v="169.67"/>
    <n v="0"/>
    <x v="0"/>
    <n v="15.59"/>
    <n v="8.08"/>
    <n v="169.67"/>
  </r>
  <r>
    <n v="529"/>
    <d v="2025-06-10T00:00:00"/>
    <x v="0"/>
    <s v="Martes"/>
    <x v="5"/>
    <x v="2"/>
    <x v="0"/>
    <x v="5"/>
    <x v="5"/>
    <x v="5"/>
    <n v="8600"/>
    <x v="116"/>
    <n v="90"/>
    <n v="0"/>
    <n v="106"/>
    <n v="0"/>
    <x v="0"/>
    <n v="22.33"/>
    <n v="0"/>
    <x v="0"/>
    <n v="1.98"/>
    <n v="2.597"/>
    <n v="22.33"/>
  </r>
  <r>
    <n v="161"/>
    <d v="2025-06-10T00:00:00"/>
    <x v="0"/>
    <s v="Martes"/>
    <x v="5"/>
    <x v="2"/>
    <x v="0"/>
    <x v="4"/>
    <x v="4"/>
    <x v="4"/>
    <n v="12500"/>
    <x v="135"/>
    <n v="44.9"/>
    <n v="0"/>
    <n v="3"/>
    <n v="0"/>
    <x v="0"/>
    <n v="22.4"/>
    <n v="0"/>
    <x v="0"/>
    <n v="2.02"/>
    <n v="1.792"/>
    <n v="22.4"/>
  </r>
  <r>
    <n v="530"/>
    <d v="2025-06-10T08:00:00"/>
    <x v="1"/>
    <s v="Martes"/>
    <x v="5"/>
    <x v="2"/>
    <x v="0"/>
    <x v="5"/>
    <x v="5"/>
    <x v="5"/>
    <n v="8600"/>
    <x v="193"/>
    <n v="78.8"/>
    <n v="297.10000000000002"/>
    <n v="768"/>
    <n v="0"/>
    <x v="0"/>
    <n v="75.84"/>
    <n v="21.34"/>
    <x v="1"/>
    <n v="7.82"/>
    <n v="8.8190000000000008"/>
    <n v="54.5"/>
  </r>
  <r>
    <n v="162"/>
    <d v="2025-06-10T08:00:00"/>
    <x v="1"/>
    <s v="Martes"/>
    <x v="5"/>
    <x v="2"/>
    <x v="0"/>
    <x v="4"/>
    <x v="4"/>
    <x v="4"/>
    <n v="12500"/>
    <x v="190"/>
    <n v="54.9"/>
    <n v="399.1"/>
    <n v="352"/>
    <n v="0"/>
    <x v="0"/>
    <n v="69.44"/>
    <n v="65.08"/>
    <x v="1"/>
    <n v="0.62"/>
    <n v="5.5549999999999997"/>
    <n v="4.3600000000000003"/>
  </r>
  <r>
    <n v="1634"/>
    <d v="2025-06-10T08:00:00"/>
    <x v="1"/>
    <s v="Martes"/>
    <x v="5"/>
    <x v="2"/>
    <x v="0"/>
    <x v="0"/>
    <x v="0"/>
    <x v="0"/>
    <n v="26000"/>
    <x v="204"/>
    <n v="62.6"/>
    <n v="392.8"/>
    <n v="160"/>
    <n v="0"/>
    <x v="0"/>
    <n v="151.52000000000001"/>
    <n v="103.04"/>
    <x v="1"/>
    <n v="6.8"/>
    <n v="5.8280000000000003"/>
    <n v="48.48"/>
  </r>
  <r>
    <n v="898"/>
    <d v="2025-06-10T08:00:00"/>
    <x v="1"/>
    <s v="Martes"/>
    <x v="5"/>
    <x v="2"/>
    <x v="0"/>
    <x v="1"/>
    <x v="1"/>
    <x v="1"/>
    <n v="21000"/>
    <x v="264"/>
    <n v="50.2"/>
    <n v="382.9"/>
    <n v="381"/>
    <n v="1"/>
    <x v="3"/>
    <n v="217.08"/>
    <n v="85.6"/>
    <x v="1"/>
    <n v="19.27"/>
    <n v="10.337"/>
    <n v="131.47999999999999"/>
  </r>
  <r>
    <n v="2002"/>
    <d v="2025-06-10T08:00:00"/>
    <x v="1"/>
    <s v="Martes"/>
    <x v="5"/>
    <x v="2"/>
    <x v="0"/>
    <x v="3"/>
    <x v="3"/>
    <x v="3"/>
    <n v="9800"/>
    <x v="231"/>
    <n v="67.099999999999994"/>
    <n v="377.4"/>
    <n v="51"/>
    <n v="1"/>
    <x v="3"/>
    <n v="20.5"/>
    <n v="0"/>
    <x v="1"/>
    <n v="2.94"/>
    <n v="2.0920000000000001"/>
    <n v="20.5"/>
  </r>
  <r>
    <n v="1266"/>
    <d v="2025-06-10T08:00:00"/>
    <x v="1"/>
    <s v="Martes"/>
    <x v="5"/>
    <x v="2"/>
    <x v="0"/>
    <x v="2"/>
    <x v="2"/>
    <x v="2"/>
    <n v="17400"/>
    <x v="247"/>
    <m/>
    <n v="419.8"/>
    <n v="126"/>
    <n v="0"/>
    <x v="0"/>
    <n v="40.76"/>
    <n v="49.53"/>
    <x v="1"/>
    <n v="-0.51"/>
    <n v="2.343"/>
    <n v="0"/>
  </r>
  <r>
    <n v="2003"/>
    <d v="2025-06-10T14:00:00"/>
    <x v="2"/>
    <s v="Martes"/>
    <x v="5"/>
    <x v="2"/>
    <x v="0"/>
    <x v="3"/>
    <x v="3"/>
    <x v="3"/>
    <n v="9800"/>
    <x v="277"/>
    <m/>
    <n v="647.6"/>
    <n v="82"/>
    <n v="1"/>
    <x v="3"/>
    <n v="24.39"/>
    <n v="0"/>
    <x v="1"/>
    <n v="3.52"/>
    <n v="2.4889999999999999"/>
    <n v="24.39"/>
  </r>
  <r>
    <n v="1635"/>
    <d v="2025-06-10T14:00:00"/>
    <x v="2"/>
    <s v="Martes"/>
    <x v="5"/>
    <x v="2"/>
    <x v="0"/>
    <x v="0"/>
    <x v="0"/>
    <x v="0"/>
    <n v="26000"/>
    <x v="202"/>
    <n v="56.8"/>
    <n v="862.7"/>
    <n v="164"/>
    <n v="1"/>
    <x v="3"/>
    <n v="150.82"/>
    <n v="240.23"/>
    <x v="1"/>
    <n v="-5.15"/>
    <n v="5.8010000000000002"/>
    <n v="0"/>
  </r>
  <r>
    <n v="899"/>
    <d v="2025-06-10T14:00:00"/>
    <x v="2"/>
    <s v="Martes"/>
    <x v="5"/>
    <x v="2"/>
    <x v="0"/>
    <x v="1"/>
    <x v="1"/>
    <x v="1"/>
    <n v="21000"/>
    <x v="278"/>
    <n v="52.7"/>
    <n v="809.7"/>
    <n v="417"/>
    <n v="1"/>
    <x v="3"/>
    <n v="213.68"/>
    <n v="165.46"/>
    <x v="1"/>
    <n v="7.22"/>
    <n v="10.175000000000001"/>
    <n v="48.22"/>
  </r>
  <r>
    <n v="1267"/>
    <d v="2025-06-10T14:00:00"/>
    <x v="2"/>
    <s v="Martes"/>
    <x v="5"/>
    <x v="2"/>
    <x v="0"/>
    <x v="2"/>
    <x v="2"/>
    <x v="2"/>
    <n v="17400"/>
    <x v="276"/>
    <n v="65.5"/>
    <n v="733.1"/>
    <n v="1175"/>
    <n v="1"/>
    <x v="3"/>
    <n v="216.58"/>
    <n v="100.95"/>
    <x v="1"/>
    <n v="16.52"/>
    <n v="12.446999999999999"/>
    <n v="115.63"/>
  </r>
  <r>
    <n v="531"/>
    <d v="2025-06-10T14:00:00"/>
    <x v="2"/>
    <s v="Martes"/>
    <x v="5"/>
    <x v="2"/>
    <x v="0"/>
    <x v="5"/>
    <x v="5"/>
    <x v="5"/>
    <n v="8600"/>
    <x v="279"/>
    <n v="71.3"/>
    <n v="644.79999999999995"/>
    <n v="818"/>
    <n v="1"/>
    <x v="3"/>
    <n v="85.35"/>
    <n v="46.52"/>
    <x v="1"/>
    <n v="5.8"/>
    <n v="9.9239999999999995"/>
    <n v="38.83"/>
  </r>
  <r>
    <n v="163"/>
    <d v="2025-06-10T14:00:00"/>
    <x v="2"/>
    <s v="Martes"/>
    <x v="5"/>
    <x v="2"/>
    <x v="0"/>
    <x v="4"/>
    <x v="4"/>
    <x v="4"/>
    <n v="12500"/>
    <x v="262"/>
    <n v="46.9"/>
    <n v="577"/>
    <n v="588"/>
    <n v="1"/>
    <x v="3"/>
    <n v="119.7"/>
    <n v="82.07"/>
    <x v="1"/>
    <n v="5.6"/>
    <n v="9.5760000000000005"/>
    <n v="37.630000000000003"/>
  </r>
  <r>
    <n v="164"/>
    <d v="2025-06-10T20:00:00"/>
    <x v="3"/>
    <s v="Martes"/>
    <x v="5"/>
    <x v="2"/>
    <x v="0"/>
    <x v="4"/>
    <x v="4"/>
    <x v="4"/>
    <n v="12500"/>
    <x v="264"/>
    <n v="45"/>
    <n v="66.099999999999994"/>
    <n v="48"/>
    <n v="1"/>
    <x v="3"/>
    <n v="40.520000000000003"/>
    <n v="9.9"/>
    <x v="2"/>
    <n v="7.17"/>
    <n v="3.242"/>
    <n v="30.62"/>
  </r>
  <r>
    <n v="2004"/>
    <d v="2025-06-10T20:00:00"/>
    <x v="3"/>
    <s v="Martes"/>
    <x v="5"/>
    <x v="2"/>
    <x v="0"/>
    <x v="3"/>
    <x v="3"/>
    <x v="3"/>
    <n v="9800"/>
    <x v="263"/>
    <n v="52.7"/>
    <n v="79.599999999999994"/>
    <n v="306"/>
    <n v="1"/>
    <x v="3"/>
    <n v="100.2"/>
    <n v="0"/>
    <x v="2"/>
    <n v="21.57"/>
    <n v="10.224"/>
    <n v="100.2"/>
  </r>
  <r>
    <n v="1636"/>
    <d v="2025-06-10T20:00:00"/>
    <x v="3"/>
    <s v="Martes"/>
    <x v="5"/>
    <x v="2"/>
    <x v="0"/>
    <x v="0"/>
    <x v="0"/>
    <x v="0"/>
    <n v="26000"/>
    <x v="280"/>
    <n v="51"/>
    <n v="76.5"/>
    <n v="178"/>
    <n v="1"/>
    <x v="3"/>
    <n v="286.08999999999997"/>
    <n v="20.64"/>
    <x v="2"/>
    <n v="57.79"/>
    <n v="11.003"/>
    <n v="265.45"/>
  </r>
  <r>
    <n v="900"/>
    <d v="2025-06-10T20:00:00"/>
    <x v="3"/>
    <s v="Martes"/>
    <x v="5"/>
    <x v="2"/>
    <x v="0"/>
    <x v="1"/>
    <x v="1"/>
    <x v="1"/>
    <n v="21000"/>
    <x v="280"/>
    <n v="63.3"/>
    <n v="86.4"/>
    <n v="421"/>
    <n v="1"/>
    <x v="3"/>
    <n v="320.63"/>
    <n v="17.53"/>
    <x v="2"/>
    <n v="67.02"/>
    <n v="15.268000000000001"/>
    <n v="303.10000000000002"/>
  </r>
  <r>
    <n v="532"/>
    <d v="2025-06-10T20:00:00"/>
    <x v="3"/>
    <s v="Martes"/>
    <x v="5"/>
    <x v="2"/>
    <x v="0"/>
    <x v="5"/>
    <x v="5"/>
    <x v="5"/>
    <n v="8600"/>
    <x v="193"/>
    <n v="91.1"/>
    <n v="15"/>
    <n v="112"/>
    <n v="0"/>
    <x v="0"/>
    <n v="22.33"/>
    <n v="1.02"/>
    <x v="2"/>
    <n v="4.68"/>
    <n v="2.597"/>
    <n v="21.31"/>
  </r>
  <r>
    <n v="1268"/>
    <d v="2025-06-10T20:00:00"/>
    <x v="3"/>
    <s v="Martes"/>
    <x v="5"/>
    <x v="2"/>
    <x v="0"/>
    <x v="2"/>
    <x v="2"/>
    <x v="2"/>
    <n v="17400"/>
    <x v="281"/>
    <n v="61.5"/>
    <n v="0"/>
    <n v="1418"/>
    <n v="1"/>
    <x v="2"/>
    <n v="261.39"/>
    <n v="0"/>
    <x v="2"/>
    <n v="58.53"/>
    <n v="15.022"/>
    <n v="261.39"/>
  </r>
  <r>
    <n v="2005"/>
    <d v="2025-06-14T00:00:00"/>
    <x v="0"/>
    <s v="Sabado"/>
    <x v="5"/>
    <x v="2"/>
    <x v="1"/>
    <x v="3"/>
    <x v="3"/>
    <x v="3"/>
    <n v="9800"/>
    <x v="206"/>
    <n v="67"/>
    <n v="0"/>
    <n v="333"/>
    <n v="0"/>
    <x v="0"/>
    <n v="97.35"/>
    <n v="0"/>
    <x v="0"/>
    <n v="8.74"/>
    <n v="9.9339999999999993"/>
    <n v="97.35"/>
  </r>
  <r>
    <n v="533"/>
    <d v="2025-06-14T00:00:00"/>
    <x v="0"/>
    <s v="Sabado"/>
    <x v="5"/>
    <x v="2"/>
    <x v="1"/>
    <x v="5"/>
    <x v="5"/>
    <x v="5"/>
    <n v="8600"/>
    <x v="180"/>
    <n v="72.7"/>
    <n v="0"/>
    <n v="36"/>
    <n v="0"/>
    <x v="0"/>
    <n v="13.84"/>
    <n v="0"/>
    <x v="0"/>
    <n v="1.26"/>
    <n v="1.609"/>
    <n v="13.84"/>
  </r>
  <r>
    <n v="901"/>
    <d v="2025-06-14T00:00:00"/>
    <x v="0"/>
    <s v="Sabado"/>
    <x v="5"/>
    <x v="2"/>
    <x v="1"/>
    <x v="1"/>
    <x v="1"/>
    <x v="1"/>
    <n v="21000"/>
    <x v="192"/>
    <n v="57.2"/>
    <n v="0"/>
    <n v="252"/>
    <n v="0"/>
    <x v="0"/>
    <n v="178.42"/>
    <n v="0"/>
    <x v="0"/>
    <n v="16.18"/>
    <n v="8.4960000000000004"/>
    <n v="178.42"/>
  </r>
  <r>
    <n v="165"/>
    <d v="2025-06-14T00:00:00"/>
    <x v="0"/>
    <s v="Sabado"/>
    <x v="5"/>
    <x v="2"/>
    <x v="1"/>
    <x v="4"/>
    <x v="4"/>
    <x v="4"/>
    <n v="12500"/>
    <x v="227"/>
    <n v="62.8"/>
    <n v="0"/>
    <n v="6"/>
    <n v="0"/>
    <x v="0"/>
    <n v="22.71"/>
    <n v="0"/>
    <x v="0"/>
    <n v="1.98"/>
    <n v="1.8169999999999999"/>
    <n v="22.71"/>
  </r>
  <r>
    <n v="1637"/>
    <d v="2025-06-14T00:00:00"/>
    <x v="0"/>
    <s v="Sabado"/>
    <x v="5"/>
    <x v="2"/>
    <x v="1"/>
    <x v="0"/>
    <x v="0"/>
    <x v="0"/>
    <n v="26000"/>
    <x v="245"/>
    <n v="65.900000000000006"/>
    <n v="0"/>
    <n v="33"/>
    <n v="1"/>
    <x v="3"/>
    <n v="80.11"/>
    <n v="0"/>
    <x v="0"/>
    <n v="7.36"/>
    <n v="3.081"/>
    <n v="80.11"/>
  </r>
  <r>
    <n v="1269"/>
    <d v="2025-06-14T00:00:00"/>
    <x v="0"/>
    <s v="Sabado"/>
    <x v="5"/>
    <x v="2"/>
    <x v="1"/>
    <x v="2"/>
    <x v="2"/>
    <x v="2"/>
    <n v="17400"/>
    <x v="210"/>
    <n v="64.8"/>
    <n v="0"/>
    <n v="64"/>
    <n v="0"/>
    <x v="0"/>
    <n v="51.94"/>
    <n v="0"/>
    <x v="0"/>
    <n v="4.84"/>
    <n v="2.9849999999999999"/>
    <n v="51.94"/>
  </r>
  <r>
    <n v="902"/>
    <d v="2025-06-14T08:00:00"/>
    <x v="1"/>
    <s v="Sabado"/>
    <x v="5"/>
    <x v="2"/>
    <x v="1"/>
    <x v="1"/>
    <x v="1"/>
    <x v="1"/>
    <n v="21000"/>
    <x v="247"/>
    <n v="48.7"/>
    <n v="400.3"/>
    <n v="447"/>
    <n v="1"/>
    <x v="2"/>
    <n v="192.64"/>
    <n v="81.099999999999994"/>
    <x v="0"/>
    <n v="10.08"/>
    <n v="9.173"/>
    <n v="111.54"/>
  </r>
  <r>
    <n v="1638"/>
    <d v="2025-06-14T08:00:00"/>
    <x v="1"/>
    <s v="Sabado"/>
    <x v="5"/>
    <x v="2"/>
    <x v="1"/>
    <x v="0"/>
    <x v="0"/>
    <x v="0"/>
    <n v="26000"/>
    <x v="43"/>
    <n v="55.8"/>
    <n v="423.9"/>
    <n v="65"/>
    <n v="0"/>
    <x v="0"/>
    <n v="82.22"/>
    <n v="111.11"/>
    <x v="0"/>
    <n v="-1.04"/>
    <n v="3.1619999999999999"/>
    <n v="0"/>
  </r>
  <r>
    <n v="2006"/>
    <d v="2025-06-14T08:00:00"/>
    <x v="1"/>
    <s v="Sabado"/>
    <x v="5"/>
    <x v="2"/>
    <x v="1"/>
    <x v="3"/>
    <x v="3"/>
    <x v="3"/>
    <n v="9800"/>
    <x v="249"/>
    <n v="61.6"/>
    <n v="447.7"/>
    <n v="125"/>
    <n v="0"/>
    <x v="0"/>
    <n v="26.4"/>
    <n v="0"/>
    <x v="0"/>
    <n v="2.46"/>
    <n v="2.694"/>
    <n v="26.4"/>
  </r>
  <r>
    <n v="166"/>
    <d v="2025-06-14T08:00:00"/>
    <x v="1"/>
    <s v="Sabado"/>
    <x v="5"/>
    <x v="2"/>
    <x v="1"/>
    <x v="4"/>
    <x v="4"/>
    <x v="4"/>
    <n v="12500"/>
    <x v="221"/>
    <n v="58.2"/>
    <n v="466.4"/>
    <n v="52"/>
    <n v="0"/>
    <x v="0"/>
    <n v="19.010000000000002"/>
    <n v="75.459999999999994"/>
    <x v="0"/>
    <n v="-2.12"/>
    <n v="1.5209999999999999"/>
    <n v="0"/>
  </r>
  <r>
    <n v="1270"/>
    <d v="2025-06-14T08:00:00"/>
    <x v="1"/>
    <s v="Sabado"/>
    <x v="5"/>
    <x v="2"/>
    <x v="1"/>
    <x v="2"/>
    <x v="2"/>
    <x v="2"/>
    <n v="17400"/>
    <x v="196"/>
    <n v="62.8"/>
    <n v="363.5"/>
    <n v="297"/>
    <n v="1"/>
    <x v="3"/>
    <n v="237.85"/>
    <n v="43.93"/>
    <x v="0"/>
    <n v="1.29"/>
    <n v="13.67"/>
    <n v="193.92"/>
  </r>
  <r>
    <n v="534"/>
    <d v="2025-06-14T08:00:00"/>
    <x v="1"/>
    <s v="Sabado"/>
    <x v="5"/>
    <x v="2"/>
    <x v="1"/>
    <x v="5"/>
    <x v="5"/>
    <x v="5"/>
    <n v="8600"/>
    <x v="155"/>
    <n v="78.8"/>
    <n v="275.3"/>
    <n v="0"/>
    <n v="0"/>
    <x v="0"/>
    <n v="7.88"/>
    <n v="21.58"/>
    <x v="0"/>
    <n v="-0.49"/>
    <n v="0.91600000000000004"/>
    <n v="0"/>
  </r>
  <r>
    <n v="1639"/>
    <d v="2025-06-14T14:00:00"/>
    <x v="2"/>
    <s v="Sabado"/>
    <x v="5"/>
    <x v="2"/>
    <x v="1"/>
    <x v="0"/>
    <x v="0"/>
    <x v="0"/>
    <n v="26000"/>
    <x v="282"/>
    <n v="50.7"/>
    <n v="810.8"/>
    <n v="88"/>
    <n v="1"/>
    <x v="3"/>
    <n v="101.1"/>
    <n v="212.82"/>
    <x v="0"/>
    <n v="-3.95"/>
    <n v="3.8879999999999999"/>
    <n v="0"/>
  </r>
  <r>
    <n v="903"/>
    <d v="2025-06-14T14:00:00"/>
    <x v="2"/>
    <s v="Sabado"/>
    <x v="5"/>
    <x v="2"/>
    <x v="1"/>
    <x v="1"/>
    <x v="1"/>
    <x v="1"/>
    <n v="21000"/>
    <x v="258"/>
    <n v="49"/>
    <n v="808.6"/>
    <n v="436"/>
    <n v="1"/>
    <x v="3"/>
    <n v="236.34"/>
    <n v="161.55000000000001"/>
    <x v="0"/>
    <n v="6.92"/>
    <n v="11.254"/>
    <n v="74.790000000000006"/>
  </r>
  <r>
    <n v="535"/>
    <d v="2025-06-14T14:00:00"/>
    <x v="2"/>
    <s v="Sabado"/>
    <x v="5"/>
    <x v="2"/>
    <x v="1"/>
    <x v="5"/>
    <x v="5"/>
    <x v="5"/>
    <n v="8600"/>
    <x v="201"/>
    <n v="70.2"/>
    <n v="755.7"/>
    <n v="35"/>
    <n v="0"/>
    <x v="0"/>
    <n v="10.56"/>
    <n v="52.46"/>
    <x v="0"/>
    <n v="-1.54"/>
    <n v="1.228"/>
    <n v="0"/>
  </r>
  <r>
    <n v="2007"/>
    <d v="2025-06-14T14:00:00"/>
    <x v="2"/>
    <s v="Sabado"/>
    <x v="5"/>
    <x v="2"/>
    <x v="1"/>
    <x v="3"/>
    <x v="3"/>
    <x v="3"/>
    <n v="9800"/>
    <x v="283"/>
    <n v="49.9"/>
    <n v="875"/>
    <n v="111"/>
    <n v="1"/>
    <x v="3"/>
    <n v="33.520000000000003"/>
    <n v="0"/>
    <x v="0"/>
    <n v="3.06"/>
    <n v="3.42"/>
    <n v="33.520000000000003"/>
  </r>
  <r>
    <n v="167"/>
    <d v="2025-06-14T14:00:00"/>
    <x v="2"/>
    <s v="Sabado"/>
    <x v="5"/>
    <x v="2"/>
    <x v="1"/>
    <x v="4"/>
    <x v="4"/>
    <x v="4"/>
    <n v="12500"/>
    <x v="224"/>
    <n v="50.4"/>
    <n v="761.2"/>
    <n v="0"/>
    <n v="0"/>
    <x v="0"/>
    <n v="14.36"/>
    <n v="114.34"/>
    <x v="0"/>
    <n v="-3.63"/>
    <n v="1.149"/>
    <n v="0"/>
  </r>
  <r>
    <n v="1271"/>
    <d v="2025-06-14T14:00:00"/>
    <x v="2"/>
    <s v="Sabado"/>
    <x v="5"/>
    <x v="2"/>
    <x v="1"/>
    <x v="2"/>
    <x v="2"/>
    <x v="2"/>
    <n v="17400"/>
    <x v="241"/>
    <n v="54.7"/>
    <n v="904"/>
    <n v="1580"/>
    <n v="1"/>
    <x v="3"/>
    <n v="259.37"/>
    <n v="119.5"/>
    <x v="0"/>
    <n v="12.85"/>
    <n v="14.906000000000001"/>
    <n v="139.87"/>
  </r>
  <r>
    <n v="1272"/>
    <d v="2025-06-14T20:00:00"/>
    <x v="3"/>
    <s v="Sabado"/>
    <x v="5"/>
    <x v="2"/>
    <x v="1"/>
    <x v="2"/>
    <x v="2"/>
    <x v="2"/>
    <n v="17400"/>
    <x v="43"/>
    <n v="61.7"/>
    <n v="81"/>
    <n v="1620"/>
    <n v="1"/>
    <x v="3"/>
    <n v="357.38"/>
    <n v="10.02"/>
    <x v="0"/>
    <n v="31.64"/>
    <n v="20.539000000000001"/>
    <n v="347.36"/>
  </r>
  <r>
    <n v="168"/>
    <d v="2025-06-14T20:00:00"/>
    <x v="3"/>
    <s v="Sabado"/>
    <x v="5"/>
    <x v="2"/>
    <x v="1"/>
    <x v="4"/>
    <x v="4"/>
    <x v="4"/>
    <n v="12500"/>
    <x v="240"/>
    <n v="40.5"/>
    <n v="57.5"/>
    <n v="14"/>
    <n v="0"/>
    <x v="0"/>
    <n v="24.07"/>
    <n v="8.75"/>
    <x v="0"/>
    <n v="1.37"/>
    <n v="1.9259999999999999"/>
    <n v="15.32"/>
  </r>
  <r>
    <n v="2008"/>
    <d v="2025-06-14T20:00:00"/>
    <x v="3"/>
    <s v="Sabado"/>
    <x v="5"/>
    <x v="2"/>
    <x v="1"/>
    <x v="3"/>
    <x v="3"/>
    <x v="3"/>
    <n v="9800"/>
    <x v="203"/>
    <n v="69.5"/>
    <n v="56.2"/>
    <n v="322"/>
    <n v="1"/>
    <x v="3"/>
    <n v="92.38"/>
    <n v="0"/>
    <x v="0"/>
    <m/>
    <n v="9.4269999999999996"/>
    <n v="92.38"/>
  </r>
  <r>
    <n v="1640"/>
    <d v="2025-06-14T20:00:00"/>
    <x v="3"/>
    <s v="Sabado"/>
    <x v="5"/>
    <x v="2"/>
    <x v="1"/>
    <x v="0"/>
    <x v="0"/>
    <x v="0"/>
    <n v="26000"/>
    <x v="214"/>
    <n v="64.8"/>
    <n v="64"/>
    <n v="45"/>
    <n v="1"/>
    <x v="2"/>
    <n v="134.87"/>
    <n v="16.64"/>
    <x v="0"/>
    <n v="10.91"/>
    <n v="5.1870000000000003"/>
    <n v="118.23"/>
  </r>
  <r>
    <n v="536"/>
    <d v="2025-06-14T20:00:00"/>
    <x v="3"/>
    <s v="Sabado"/>
    <x v="5"/>
    <x v="2"/>
    <x v="1"/>
    <x v="5"/>
    <x v="5"/>
    <x v="5"/>
    <n v="8600"/>
    <x v="206"/>
    <n v="91.7"/>
    <n v="82.8"/>
    <n v="0"/>
    <n v="0"/>
    <x v="0"/>
    <n v="11.94"/>
    <n v="6.24"/>
    <x v="0"/>
    <n v="0.53"/>
    <n v="1.3879999999999999"/>
    <n v="5.7"/>
  </r>
  <r>
    <n v="904"/>
    <d v="2025-06-14T20:00:00"/>
    <x v="3"/>
    <s v="Sabado"/>
    <x v="5"/>
    <x v="2"/>
    <x v="1"/>
    <x v="1"/>
    <x v="1"/>
    <x v="1"/>
    <n v="21000"/>
    <x v="265"/>
    <n v="43.9"/>
    <n v="79.400000000000006"/>
    <n v="420"/>
    <n v="1"/>
    <x v="3"/>
    <n v="309.48"/>
    <n v="16.61"/>
    <x v="0"/>
    <n v="27.32"/>
    <n v="14.737"/>
    <n v="292.87"/>
  </r>
  <r>
    <n v="1641"/>
    <d v="2025-06-18T00:00:00"/>
    <x v="0"/>
    <s v="Miercoles"/>
    <x v="5"/>
    <x v="2"/>
    <x v="0"/>
    <x v="0"/>
    <x v="0"/>
    <x v="0"/>
    <n v="26000"/>
    <x v="211"/>
    <n v="54.4"/>
    <m/>
    <n v="42"/>
    <n v="0"/>
    <x v="0"/>
    <n v="102.53"/>
    <n v="0"/>
    <x v="0"/>
    <n v="9.3800000000000008"/>
    <n v="3.9430000000000001"/>
    <n v="102.53"/>
  </r>
  <r>
    <n v="905"/>
    <d v="2025-06-18T00:00:00"/>
    <x v="0"/>
    <s v="Miercoles"/>
    <x v="5"/>
    <x v="2"/>
    <x v="0"/>
    <x v="1"/>
    <x v="1"/>
    <x v="1"/>
    <n v="21000"/>
    <x v="245"/>
    <n v="52.3"/>
    <n v="0"/>
    <n v="221"/>
    <n v="1"/>
    <x v="3"/>
    <n v="183.14"/>
    <n v="0"/>
    <x v="0"/>
    <n v="17.03"/>
    <n v="8.7210000000000001"/>
    <n v="183.14"/>
  </r>
  <r>
    <n v="169"/>
    <d v="2025-06-18T00:00:00"/>
    <x v="0"/>
    <s v="Miercoles"/>
    <x v="5"/>
    <x v="2"/>
    <x v="0"/>
    <x v="4"/>
    <x v="4"/>
    <x v="4"/>
    <n v="12500"/>
    <x v="195"/>
    <n v="55.6"/>
    <n v="0"/>
    <n v="0"/>
    <n v="0"/>
    <x v="0"/>
    <n v="23.74"/>
    <n v="0"/>
    <x v="0"/>
    <n v="2.14"/>
    <n v="1.899"/>
    <n v="23.74"/>
  </r>
  <r>
    <n v="2009"/>
    <d v="2025-06-18T00:00:00"/>
    <x v="0"/>
    <s v="Miercoles"/>
    <x v="5"/>
    <x v="2"/>
    <x v="0"/>
    <x v="3"/>
    <x v="3"/>
    <x v="3"/>
    <n v="9800"/>
    <x v="158"/>
    <n v="78.400000000000006"/>
    <n v="0"/>
    <n v="341"/>
    <n v="0"/>
    <x v="0"/>
    <n v="93.61"/>
    <n v="0"/>
    <x v="0"/>
    <n v="8.83"/>
    <n v="9.5519999999999996"/>
    <n v="93.61"/>
  </r>
  <r>
    <n v="1273"/>
    <d v="2025-06-18T00:00:00"/>
    <x v="0"/>
    <s v="Miercoles"/>
    <x v="5"/>
    <x v="2"/>
    <x v="0"/>
    <x v="2"/>
    <x v="2"/>
    <x v="2"/>
    <n v="17400"/>
    <x v="227"/>
    <n v="68.3"/>
    <n v="0"/>
    <n v="112"/>
    <n v="0"/>
    <x v="0"/>
    <n v="52.45"/>
    <n v="0"/>
    <x v="0"/>
    <n v="4.87"/>
    <n v="3.0139999999999998"/>
    <n v="52.45"/>
  </r>
  <r>
    <n v="537"/>
    <d v="2025-06-18T00:00:00"/>
    <x v="0"/>
    <s v="Miercoles"/>
    <x v="5"/>
    <x v="2"/>
    <x v="0"/>
    <x v="5"/>
    <x v="5"/>
    <x v="5"/>
    <n v="8600"/>
    <x v="53"/>
    <n v="79.8"/>
    <n v="0"/>
    <n v="60"/>
    <n v="0"/>
    <x v="0"/>
    <n v="21.05"/>
    <n v="0"/>
    <x v="0"/>
    <n v="1.95"/>
    <n v="2.448"/>
    <n v="21.05"/>
  </r>
  <r>
    <n v="906"/>
    <d v="2025-06-18T08:00:00"/>
    <x v="1"/>
    <s v="Miercoles"/>
    <x v="5"/>
    <x v="2"/>
    <x v="0"/>
    <x v="1"/>
    <x v="1"/>
    <x v="1"/>
    <n v="21000"/>
    <x v="43"/>
    <n v="46.8"/>
    <n v="371.2"/>
    <n v="414"/>
    <n v="1"/>
    <x v="3"/>
    <n v="212.31"/>
    <n v="77.650000000000006"/>
    <x v="1"/>
    <n v="19.670000000000002"/>
    <n v="10.11"/>
    <n v="134.66"/>
  </r>
  <r>
    <n v="1274"/>
    <d v="2025-06-18T08:00:00"/>
    <x v="1"/>
    <s v="Miercoles"/>
    <x v="5"/>
    <x v="2"/>
    <x v="0"/>
    <x v="2"/>
    <x v="2"/>
    <x v="2"/>
    <n v="17400"/>
    <x v="236"/>
    <n v="59.6"/>
    <n v="415"/>
    <n v="3"/>
    <n v="0"/>
    <x v="0"/>
    <n v="34.659999999999997"/>
    <n v="52.25"/>
    <x v="1"/>
    <n v="-1.02"/>
    <n v="1.992"/>
    <n v="0"/>
  </r>
  <r>
    <n v="1642"/>
    <d v="2025-06-18T08:00:00"/>
    <x v="1"/>
    <s v="Miercoles"/>
    <x v="5"/>
    <x v="2"/>
    <x v="0"/>
    <x v="0"/>
    <x v="0"/>
    <x v="0"/>
    <n v="26000"/>
    <x v="191"/>
    <n v="59.9"/>
    <n v="480.7"/>
    <n v="176"/>
    <n v="1"/>
    <x v="2"/>
    <n v="152.94999999999999"/>
    <n v="122.27"/>
    <x v="1"/>
    <n v="4.57"/>
    <n v="5.883"/>
    <n v="30.68"/>
  </r>
  <r>
    <n v="2010"/>
    <d v="2025-06-18T08:00:00"/>
    <x v="1"/>
    <s v="Miercoles"/>
    <x v="5"/>
    <x v="2"/>
    <x v="0"/>
    <x v="3"/>
    <x v="3"/>
    <x v="3"/>
    <n v="9800"/>
    <x v="181"/>
    <n v="70.400000000000006"/>
    <n v="386.1"/>
    <n v="76"/>
    <n v="0"/>
    <x v="0"/>
    <n v="19.36"/>
    <n v="0"/>
    <x v="1"/>
    <n v="2.78"/>
    <n v="1.976"/>
    <n v="19.36"/>
  </r>
  <r>
    <n v="538"/>
    <d v="2025-06-18T08:00:00"/>
    <x v="1"/>
    <s v="Miercoles"/>
    <x v="5"/>
    <x v="2"/>
    <x v="0"/>
    <x v="5"/>
    <x v="5"/>
    <x v="5"/>
    <n v="8600"/>
    <x v="144"/>
    <m/>
    <m/>
    <n v="782"/>
    <n v="0"/>
    <x v="0"/>
    <n v="82.41"/>
    <n v="31.88"/>
    <x v="1"/>
    <n v="7.41"/>
    <n v="9.5830000000000002"/>
    <n v="50.53"/>
  </r>
  <r>
    <n v="170"/>
    <d v="2025-06-18T08:00:00"/>
    <x v="1"/>
    <s v="Miercoles"/>
    <x v="5"/>
    <x v="2"/>
    <x v="0"/>
    <x v="4"/>
    <x v="4"/>
    <x v="4"/>
    <n v="12500"/>
    <x v="247"/>
    <n v="50.6"/>
    <m/>
    <n v="375"/>
    <n v="1"/>
    <x v="2"/>
    <n v="70.930000000000007"/>
    <n v="62.92"/>
    <x v="1"/>
    <n v="1.2"/>
    <n v="5.6740000000000004"/>
    <n v="8.01"/>
  </r>
  <r>
    <n v="171"/>
    <d v="2025-06-18T14:00:00"/>
    <x v="2"/>
    <s v="Miercoles"/>
    <x v="5"/>
    <x v="2"/>
    <x v="0"/>
    <x v="4"/>
    <x v="4"/>
    <x v="4"/>
    <n v="12500"/>
    <x v="284"/>
    <n v="38.1"/>
    <n v="811.8"/>
    <n v="566"/>
    <n v="1"/>
    <x v="3"/>
    <n v="119.93"/>
    <n v="108.64"/>
    <x v="1"/>
    <n v="1.66"/>
    <n v="9.5939999999999994"/>
    <n v="11.29"/>
  </r>
  <r>
    <n v="1643"/>
    <d v="2025-06-18T14:00:00"/>
    <x v="2"/>
    <s v="Miercoles"/>
    <x v="5"/>
    <x v="2"/>
    <x v="0"/>
    <x v="0"/>
    <x v="0"/>
    <x v="0"/>
    <n v="26000"/>
    <x v="285"/>
    <n v="59"/>
    <n v="748"/>
    <n v="161"/>
    <n v="1"/>
    <x v="3"/>
    <n v="183.76"/>
    <n v="199.47"/>
    <x v="1"/>
    <n v="-0.93"/>
    <n v="7.0679999999999996"/>
    <n v="0"/>
  </r>
  <r>
    <n v="1275"/>
    <d v="2025-06-18T14:00:00"/>
    <x v="2"/>
    <s v="Miercoles"/>
    <x v="5"/>
    <x v="2"/>
    <x v="0"/>
    <x v="2"/>
    <x v="2"/>
    <x v="2"/>
    <n v="17400"/>
    <x v="286"/>
    <n v="77.2"/>
    <n v="491.1"/>
    <n v="1357"/>
    <n v="1"/>
    <x v="3"/>
    <n v="220.28"/>
    <n v="60.07"/>
    <x v="1"/>
    <n v="24.61"/>
    <n v="12.66"/>
    <n v="160.21"/>
  </r>
  <r>
    <n v="539"/>
    <d v="2025-06-18T14:00:00"/>
    <x v="2"/>
    <s v="Miercoles"/>
    <x v="5"/>
    <x v="2"/>
    <x v="0"/>
    <x v="5"/>
    <x v="5"/>
    <x v="5"/>
    <n v="8600"/>
    <x v="236"/>
    <n v="72.599999999999994"/>
    <n v="811.2"/>
    <n v="780"/>
    <n v="0"/>
    <x v="0"/>
    <n v="82.25"/>
    <n v="66.209999999999994"/>
    <x v="1"/>
    <n v="2.4"/>
    <n v="9.5640000000000001"/>
    <n v="16.04"/>
  </r>
  <r>
    <n v="2011"/>
    <d v="2025-06-18T14:00:00"/>
    <x v="2"/>
    <s v="Miercoles"/>
    <x v="5"/>
    <x v="2"/>
    <x v="0"/>
    <x v="3"/>
    <x v="3"/>
    <x v="3"/>
    <n v="9800"/>
    <x v="253"/>
    <m/>
    <n v="862.6"/>
    <n v="83"/>
    <n v="1"/>
    <x v="3"/>
    <n v="184.48"/>
    <n v="0"/>
    <x v="1"/>
    <n v="3.6"/>
    <n v="18.824000000000002"/>
    <n v="184.48"/>
  </r>
  <r>
    <n v="907"/>
    <d v="2025-06-18T14:00:00"/>
    <x v="2"/>
    <s v="Miercoles"/>
    <x v="5"/>
    <x v="2"/>
    <x v="0"/>
    <x v="1"/>
    <x v="1"/>
    <x v="1"/>
    <n v="21000"/>
    <x v="287"/>
    <n v="39.299999999999997"/>
    <n v="903.4"/>
    <n v="395"/>
    <n v="1"/>
    <x v="3"/>
    <n v="248.67"/>
    <n v="156.11000000000001"/>
    <x v="1"/>
    <n v="14.12"/>
    <n v="11.840999999999999"/>
    <n v="92.56"/>
  </r>
  <r>
    <n v="1276"/>
    <d v="2025-06-18T20:00:00"/>
    <x v="3"/>
    <s v="Miercoles"/>
    <x v="5"/>
    <x v="2"/>
    <x v="0"/>
    <x v="2"/>
    <x v="2"/>
    <x v="2"/>
    <n v="17400"/>
    <x v="267"/>
    <n v="62.1"/>
    <n v="72.5"/>
    <n v="1286"/>
    <n v="1"/>
    <x v="3"/>
    <n v="280.42"/>
    <n v="9.4"/>
    <x v="2"/>
    <n v="61.14"/>
    <n v="16.116"/>
    <n v="271.02"/>
  </r>
  <r>
    <n v="1644"/>
    <d v="2025-06-18T20:00:00"/>
    <x v="3"/>
    <s v="Miercoles"/>
    <x v="5"/>
    <x v="2"/>
    <x v="0"/>
    <x v="0"/>
    <x v="0"/>
    <x v="0"/>
    <n v="26000"/>
    <x v="241"/>
    <m/>
    <n v="32.4"/>
    <n v="176"/>
    <n v="1"/>
    <x v="3"/>
    <n v="283.11"/>
    <n v="8.5299999999999994"/>
    <x v="2"/>
    <n v="63.1"/>
    <n v="10.888999999999999"/>
    <n v="274.58"/>
  </r>
  <r>
    <n v="2012"/>
    <d v="2025-06-18T20:00:00"/>
    <x v="3"/>
    <s v="Miercoles"/>
    <x v="5"/>
    <x v="2"/>
    <x v="0"/>
    <x v="3"/>
    <x v="3"/>
    <x v="3"/>
    <n v="9800"/>
    <x v="279"/>
    <n v="79.599999999999994"/>
    <n v="61.7"/>
    <n v="306"/>
    <n v="1"/>
    <x v="3"/>
    <n v="96.93"/>
    <n v="0"/>
    <x v="2"/>
    <n v="21.37"/>
    <n v="9.891"/>
    <n v="96.93"/>
  </r>
  <r>
    <n v="172"/>
    <d v="2025-06-18T20:00:00"/>
    <x v="3"/>
    <s v="Miercoles"/>
    <x v="5"/>
    <x v="2"/>
    <x v="0"/>
    <x v="4"/>
    <x v="4"/>
    <x v="4"/>
    <n v="12500"/>
    <x v="194"/>
    <n v="48.4"/>
    <n v="76.8"/>
    <n v="68"/>
    <n v="1"/>
    <x v="3"/>
    <n v="43.48"/>
    <n v="11.69"/>
    <x v="2"/>
    <n v="7.06"/>
    <n v="3.4780000000000002"/>
    <n v="31.79"/>
  </r>
  <r>
    <n v="540"/>
    <d v="2025-06-18T20:00:00"/>
    <x v="3"/>
    <s v="Miercoles"/>
    <x v="5"/>
    <x v="2"/>
    <x v="0"/>
    <x v="5"/>
    <x v="5"/>
    <x v="5"/>
    <n v="8600"/>
    <x v="213"/>
    <n v="82.5"/>
    <n v="70.5"/>
    <n v="72"/>
    <n v="0"/>
    <x v="0"/>
    <n v="21.86"/>
    <n v="5.0199999999999996"/>
    <x v="2"/>
    <n v="3.61"/>
    <n v="2.5419999999999998"/>
    <n v="16.84"/>
  </r>
  <r>
    <n v="908"/>
    <d v="2025-06-18T20:00:00"/>
    <x v="3"/>
    <s v="Miercoles"/>
    <x v="5"/>
    <x v="2"/>
    <x v="0"/>
    <x v="1"/>
    <x v="1"/>
    <x v="1"/>
    <n v="21000"/>
    <x v="241"/>
    <n v="60.2"/>
    <n v="104.2"/>
    <n v="400"/>
    <n v="1"/>
    <x v="3"/>
    <n v="287.23"/>
    <n v="20.100000000000001"/>
    <x v="2"/>
    <n v="61.01"/>
    <n v="13.678000000000001"/>
    <n v="267.13"/>
  </r>
  <r>
    <n v="1277"/>
    <d v="2025-06-22T00:00:00"/>
    <x v="0"/>
    <s v="Domingo"/>
    <x v="5"/>
    <x v="2"/>
    <x v="1"/>
    <x v="2"/>
    <x v="2"/>
    <x v="2"/>
    <n v="17400"/>
    <x v="252"/>
    <n v="56.1"/>
    <n v="0"/>
    <n v="88"/>
    <n v="0"/>
    <x v="0"/>
    <n v="51.14"/>
    <n v="0"/>
    <x v="0"/>
    <n v="4.7699999999999996"/>
    <n v="2.9390000000000001"/>
    <n v="51.14"/>
  </r>
  <r>
    <n v="173"/>
    <d v="2025-06-22T00:00:00"/>
    <x v="0"/>
    <s v="Domingo"/>
    <x v="5"/>
    <x v="2"/>
    <x v="1"/>
    <x v="4"/>
    <x v="4"/>
    <x v="4"/>
    <n v="12500"/>
    <x v="43"/>
    <n v="62.1"/>
    <n v="0"/>
    <n v="40"/>
    <n v="0"/>
    <x v="0"/>
    <n v="25.23"/>
    <n v="0"/>
    <x v="0"/>
    <n v="2.38"/>
    <n v="2.0179999999999998"/>
    <n v="25.23"/>
  </r>
  <r>
    <n v="909"/>
    <d v="2025-06-22T00:00:00"/>
    <x v="0"/>
    <s v="Domingo"/>
    <x v="5"/>
    <x v="2"/>
    <x v="1"/>
    <x v="1"/>
    <x v="1"/>
    <x v="1"/>
    <n v="21000"/>
    <x v="43"/>
    <n v="42.5"/>
    <n v="0"/>
    <n v="217"/>
    <n v="1"/>
    <x v="2"/>
    <n v="165.96"/>
    <n v="0"/>
    <x v="0"/>
    <n v="15.8"/>
    <n v="7.9029999999999996"/>
    <n v="165.96"/>
  </r>
  <r>
    <n v="2013"/>
    <d v="2025-06-22T00:00:00"/>
    <x v="0"/>
    <s v="Domingo"/>
    <x v="5"/>
    <x v="2"/>
    <x v="1"/>
    <x v="3"/>
    <x v="3"/>
    <x v="3"/>
    <n v="9800"/>
    <x v="130"/>
    <n v="63.3"/>
    <n v="0"/>
    <n v="324"/>
    <n v="0"/>
    <x v="0"/>
    <n v="96.18"/>
    <n v="0"/>
    <x v="0"/>
    <n v="8.9499999999999993"/>
    <n v="9.8140000000000001"/>
    <n v="96.18"/>
  </r>
  <r>
    <n v="1645"/>
    <d v="2025-06-22T00:00:00"/>
    <x v="0"/>
    <s v="Domingo"/>
    <x v="5"/>
    <x v="2"/>
    <x v="1"/>
    <x v="0"/>
    <x v="0"/>
    <x v="0"/>
    <n v="26000"/>
    <x v="130"/>
    <n v="59.5"/>
    <n v="0"/>
    <n v="3"/>
    <n v="0"/>
    <x v="0"/>
    <n v="73.84"/>
    <n v="0"/>
    <x v="0"/>
    <n v="6.81"/>
    <n v="2.84"/>
    <n v="73.84"/>
  </r>
  <r>
    <n v="541"/>
    <d v="2025-06-22T00:00:00"/>
    <x v="0"/>
    <s v="Domingo"/>
    <x v="5"/>
    <x v="2"/>
    <x v="1"/>
    <x v="5"/>
    <x v="5"/>
    <x v="5"/>
    <n v="8600"/>
    <x v="162"/>
    <n v="74.3"/>
    <n v="0"/>
    <m/>
    <n v="0"/>
    <x v="0"/>
    <n v="12.49"/>
    <n v="0"/>
    <x v="0"/>
    <n v="1.1499999999999999"/>
    <n v="1.452"/>
    <n v="12.49"/>
  </r>
  <r>
    <n v="2014"/>
    <d v="2025-06-22T08:00:00"/>
    <x v="1"/>
    <s v="Domingo"/>
    <x v="5"/>
    <x v="2"/>
    <x v="1"/>
    <x v="3"/>
    <x v="3"/>
    <x v="3"/>
    <n v="9800"/>
    <x v="281"/>
    <n v="65.900000000000006"/>
    <n v="432.4"/>
    <n v="103"/>
    <n v="1"/>
    <x v="2"/>
    <n v="26.72"/>
    <n v="0"/>
    <x v="0"/>
    <n v="2.54"/>
    <n v="2.7269999999999999"/>
    <n v="26.72"/>
  </r>
  <r>
    <n v="1646"/>
    <d v="2025-06-22T08:00:00"/>
    <x v="1"/>
    <s v="Domingo"/>
    <x v="5"/>
    <x v="2"/>
    <x v="1"/>
    <x v="0"/>
    <x v="0"/>
    <x v="0"/>
    <n v="26000"/>
    <x v="196"/>
    <n v="43.7"/>
    <n v="446.6"/>
    <n v="57"/>
    <n v="1"/>
    <x v="3"/>
    <n v="87.2"/>
    <n v="120.42"/>
    <x v="0"/>
    <n v="-1.26"/>
    <n v="3.3540000000000001"/>
    <n v="0"/>
  </r>
  <r>
    <n v="910"/>
    <d v="2025-06-22T08:00:00"/>
    <x v="1"/>
    <s v="Domingo"/>
    <x v="5"/>
    <x v="2"/>
    <x v="1"/>
    <x v="1"/>
    <x v="1"/>
    <x v="1"/>
    <n v="21000"/>
    <x v="222"/>
    <n v="43.6"/>
    <n v="451.1"/>
    <n v="443"/>
    <n v="1"/>
    <x v="3"/>
    <n v="209.37"/>
    <n v="91.72"/>
    <x v="0"/>
    <n v="10.98"/>
    <n v="9.9700000000000006"/>
    <n v="117.65"/>
  </r>
  <r>
    <n v="542"/>
    <d v="2025-06-22T08:00:00"/>
    <x v="1"/>
    <s v="Domingo"/>
    <x v="5"/>
    <x v="2"/>
    <x v="1"/>
    <x v="5"/>
    <x v="5"/>
    <x v="5"/>
    <n v="8600"/>
    <x v="164"/>
    <n v="93.1"/>
    <n v="212.2"/>
    <n v="12"/>
    <n v="0"/>
    <x v="0"/>
    <n v="9.4600000000000009"/>
    <n v="17.059999999999999"/>
    <x v="0"/>
    <n v="-0.28000000000000003"/>
    <n v="1.1000000000000001"/>
    <n v="0"/>
  </r>
  <r>
    <n v="174"/>
    <d v="2025-06-22T08:00:00"/>
    <x v="1"/>
    <s v="Domingo"/>
    <x v="5"/>
    <x v="2"/>
    <x v="1"/>
    <x v="4"/>
    <x v="4"/>
    <x v="4"/>
    <n v="12500"/>
    <x v="288"/>
    <n v="58.9"/>
    <n v="426.5"/>
    <n v="74"/>
    <n v="0"/>
    <x v="0"/>
    <n v="20.97"/>
    <n v="69.05"/>
    <x v="0"/>
    <n v="-1.75"/>
    <n v="1.6779999999999999"/>
    <n v="0"/>
  </r>
  <r>
    <n v="1278"/>
    <d v="2025-06-22T08:00:00"/>
    <x v="1"/>
    <s v="Domingo"/>
    <x v="5"/>
    <x v="2"/>
    <x v="1"/>
    <x v="2"/>
    <x v="2"/>
    <x v="2"/>
    <n v="17400"/>
    <x v="177"/>
    <n v="75.099999999999994"/>
    <n v="367.7"/>
    <n v="30"/>
    <n v="1"/>
    <x v="3"/>
    <n v="37.840000000000003"/>
    <n v="46.24"/>
    <x v="0"/>
    <n v="-0.3"/>
    <n v="2.1749999999999998"/>
    <n v="0"/>
  </r>
  <r>
    <n v="543"/>
    <d v="2025-06-22T14:00:00"/>
    <x v="2"/>
    <s v="Domingo"/>
    <x v="5"/>
    <x v="2"/>
    <x v="1"/>
    <x v="5"/>
    <x v="5"/>
    <x v="5"/>
    <n v="8600"/>
    <x v="226"/>
    <n v="72.400000000000006"/>
    <n v="723.4"/>
    <n v="0"/>
    <n v="0"/>
    <x v="0"/>
    <n v="8.07"/>
    <n v="51.43"/>
    <x v="0"/>
    <n v="-1.59"/>
    <n v="0.93799999999999994"/>
    <n v="0"/>
  </r>
  <r>
    <n v="1279"/>
    <d v="2025-06-22T14:00:00"/>
    <x v="2"/>
    <s v="Domingo"/>
    <x v="5"/>
    <x v="2"/>
    <x v="1"/>
    <x v="2"/>
    <x v="2"/>
    <x v="2"/>
    <n v="17400"/>
    <x v="224"/>
    <n v="46.2"/>
    <n v="923.1"/>
    <n v="1555"/>
    <n v="1"/>
    <x v="3"/>
    <n v="255.8"/>
    <n v="120.02"/>
    <x v="0"/>
    <n v="12.36"/>
    <n v="14.701000000000001"/>
    <n v="135.78"/>
  </r>
  <r>
    <n v="911"/>
    <d v="2025-06-22T14:00:00"/>
    <x v="2"/>
    <s v="Domingo"/>
    <x v="5"/>
    <x v="2"/>
    <x v="1"/>
    <x v="1"/>
    <x v="1"/>
    <x v="1"/>
    <n v="21000"/>
    <x v="289"/>
    <n v="31.1"/>
    <n v="896.2"/>
    <n v="363"/>
    <n v="1"/>
    <x v="3"/>
    <n v="234.34"/>
    <n v="172.13"/>
    <x v="0"/>
    <n v="5.9"/>
    <n v="11.159000000000001"/>
    <n v="62.21"/>
  </r>
  <r>
    <n v="175"/>
    <d v="2025-06-22T14:00:00"/>
    <x v="2"/>
    <s v="Domingo"/>
    <x v="5"/>
    <x v="2"/>
    <x v="1"/>
    <x v="4"/>
    <x v="4"/>
    <x v="4"/>
    <n v="12500"/>
    <x v="283"/>
    <n v="36.200000000000003"/>
    <n v="903.6"/>
    <n v="49"/>
    <n v="0"/>
    <x v="0"/>
    <n v="17.989999999999998"/>
    <n v="133.51"/>
    <x v="0"/>
    <n v="-4.17"/>
    <n v="1.4390000000000001"/>
    <n v="0"/>
  </r>
  <r>
    <n v="1647"/>
    <d v="2025-06-22T14:00:00"/>
    <x v="2"/>
    <s v="Domingo"/>
    <x v="5"/>
    <x v="2"/>
    <x v="1"/>
    <x v="0"/>
    <x v="0"/>
    <x v="0"/>
    <n v="26000"/>
    <x v="290"/>
    <n v="58.5"/>
    <n v="867.9"/>
    <n v="66"/>
    <n v="1"/>
    <x v="3"/>
    <n v="109.21"/>
    <n v="233.6"/>
    <x v="0"/>
    <n v="-4.54"/>
    <n v="4.2"/>
    <n v="0"/>
  </r>
  <r>
    <n v="2015"/>
    <d v="2025-06-22T14:00:00"/>
    <x v="2"/>
    <s v="Domingo"/>
    <x v="5"/>
    <x v="2"/>
    <x v="1"/>
    <x v="3"/>
    <x v="3"/>
    <x v="3"/>
    <n v="9800"/>
    <x v="291"/>
    <n v="61.4"/>
    <n v="793.5"/>
    <n v="111"/>
    <n v="1"/>
    <x v="3"/>
    <n v="35.97"/>
    <n v="0"/>
    <x v="0"/>
    <n v="3.35"/>
    <n v="3.67"/>
    <n v="35.97"/>
  </r>
  <r>
    <n v="1648"/>
    <d v="2025-06-22T20:00:00"/>
    <x v="3"/>
    <s v="Domingo"/>
    <x v="5"/>
    <x v="2"/>
    <x v="1"/>
    <x v="0"/>
    <x v="0"/>
    <x v="0"/>
    <n v="26000"/>
    <x v="276"/>
    <n v="48"/>
    <n v="32.700000000000003"/>
    <n v="63"/>
    <n v="1"/>
    <x v="3"/>
    <n v="162.6"/>
    <n v="9.1"/>
    <x v="0"/>
    <n v="14.46"/>
    <n v="6.2539999999999996"/>
    <n v="153.5"/>
  </r>
  <r>
    <n v="912"/>
    <d v="2025-06-22T20:00:00"/>
    <x v="3"/>
    <s v="Domingo"/>
    <x v="5"/>
    <x v="2"/>
    <x v="1"/>
    <x v="1"/>
    <x v="1"/>
    <x v="1"/>
    <n v="21000"/>
    <x v="272"/>
    <n v="49.5"/>
    <n v="76.5"/>
    <n v="385"/>
    <n v="1"/>
    <x v="3"/>
    <n v="314.75"/>
    <n v="13.92"/>
    <x v="0"/>
    <n v="27.41"/>
    <n v="14.988"/>
    <n v="300.83"/>
  </r>
  <r>
    <n v="2016"/>
    <d v="2025-06-22T20:00:00"/>
    <x v="3"/>
    <s v="Domingo"/>
    <x v="5"/>
    <x v="2"/>
    <x v="1"/>
    <x v="3"/>
    <x v="3"/>
    <x v="3"/>
    <n v="9800"/>
    <x v="203"/>
    <n v="72.5"/>
    <n v="59.2"/>
    <n v="312"/>
    <n v="1"/>
    <x v="3"/>
    <n v="96.51"/>
    <n v="0"/>
    <x v="0"/>
    <n v="9.1199999999999992"/>
    <n v="9.8480000000000008"/>
    <n v="96.51"/>
  </r>
  <r>
    <n v="1280"/>
    <d v="2025-06-22T20:00:00"/>
    <x v="3"/>
    <s v="Domingo"/>
    <x v="5"/>
    <x v="2"/>
    <x v="1"/>
    <x v="2"/>
    <x v="2"/>
    <x v="2"/>
    <n v="17400"/>
    <x v="253"/>
    <n v="64.400000000000006"/>
    <n v="66.099999999999994"/>
    <n v="1440"/>
    <n v="1"/>
    <x v="3"/>
    <n v="297.85000000000002"/>
    <n v="8.61"/>
    <x v="0"/>
    <n v="26.38"/>
    <n v="17.117999999999999"/>
    <n v="289.24"/>
  </r>
  <r>
    <n v="176"/>
    <d v="2025-06-22T20:00:00"/>
    <x v="3"/>
    <s v="Domingo"/>
    <x v="5"/>
    <x v="2"/>
    <x v="1"/>
    <x v="4"/>
    <x v="4"/>
    <x v="4"/>
    <n v="12500"/>
    <x v="233"/>
    <n v="44.4"/>
    <n v="92.7"/>
    <n v="14"/>
    <n v="0"/>
    <x v="0"/>
    <n v="26.1"/>
    <n v="13.89"/>
    <x v="0"/>
    <n v="1.1299999999999999"/>
    <n v="2.0880000000000001"/>
    <n v="12.21"/>
  </r>
  <r>
    <n v="544"/>
    <d v="2025-06-22T20:00:00"/>
    <x v="3"/>
    <s v="Domingo"/>
    <x v="5"/>
    <x v="2"/>
    <x v="1"/>
    <x v="5"/>
    <x v="5"/>
    <x v="5"/>
    <n v="8600"/>
    <x v="169"/>
    <n v="78.400000000000006"/>
    <n v="80.5"/>
    <n v="46"/>
    <n v="0"/>
    <x v="0"/>
    <n v="14.8"/>
    <n v="6.21"/>
    <x v="0"/>
    <n v="0.79"/>
    <n v="1.7210000000000001"/>
    <n v="8.59"/>
  </r>
  <r>
    <n v="913"/>
    <d v="2025-06-26T00:00:00"/>
    <x v="0"/>
    <s v="Jueves"/>
    <x v="5"/>
    <x v="2"/>
    <x v="0"/>
    <x v="1"/>
    <x v="1"/>
    <x v="1"/>
    <n v="21000"/>
    <x v="273"/>
    <n v="52.9"/>
    <n v="0"/>
    <n v="223"/>
    <n v="1"/>
    <x v="3"/>
    <n v="191.7"/>
    <n v="0"/>
    <x v="0"/>
    <n v="17.48"/>
    <n v="9.1289999999999996"/>
    <n v="191.7"/>
  </r>
  <r>
    <n v="1649"/>
    <d v="2025-06-26T00:00:00"/>
    <x v="0"/>
    <s v="Jueves"/>
    <x v="5"/>
    <x v="2"/>
    <x v="0"/>
    <x v="0"/>
    <x v="0"/>
    <x v="0"/>
    <n v="26000"/>
    <x v="204"/>
    <n v="58.6"/>
    <n v="0"/>
    <n v="58"/>
    <n v="0"/>
    <x v="0"/>
    <n v="108.46"/>
    <n v="0"/>
    <x v="0"/>
    <n v="9.92"/>
    <n v="4.1719999999999997"/>
    <n v="108.46"/>
  </r>
  <r>
    <n v="2017"/>
    <d v="2025-06-26T00:00:00"/>
    <x v="0"/>
    <s v="Jueves"/>
    <x v="5"/>
    <x v="2"/>
    <x v="0"/>
    <x v="3"/>
    <x v="3"/>
    <x v="3"/>
    <n v="9800"/>
    <x v="135"/>
    <n v="75.599999999999994"/>
    <n v="0"/>
    <n v="350"/>
    <n v="0"/>
    <x v="0"/>
    <n v="100.73"/>
    <n v="0"/>
    <x v="0"/>
    <n v="9.5299999999999994"/>
    <n v="10.279"/>
    <n v="100.73"/>
  </r>
  <r>
    <n v="545"/>
    <d v="2025-06-26T00:00:00"/>
    <x v="0"/>
    <s v="Jueves"/>
    <x v="5"/>
    <x v="2"/>
    <x v="0"/>
    <x v="5"/>
    <x v="5"/>
    <x v="5"/>
    <n v="8600"/>
    <x v="185"/>
    <n v="88.5"/>
    <n v="0"/>
    <n v="9"/>
    <n v="0"/>
    <x v="0"/>
    <n v="19.11"/>
    <n v="0"/>
    <x v="0"/>
    <n v="1.79"/>
    <n v="2.222"/>
    <n v="19.11"/>
  </r>
  <r>
    <n v="177"/>
    <d v="2025-06-26T00:00:00"/>
    <x v="0"/>
    <s v="Jueves"/>
    <x v="5"/>
    <x v="2"/>
    <x v="0"/>
    <x v="4"/>
    <x v="4"/>
    <x v="4"/>
    <n v="12500"/>
    <x v="164"/>
    <n v="45.3"/>
    <n v="0"/>
    <n v="75"/>
    <n v="0"/>
    <x v="0"/>
    <n v="28.75"/>
    <n v="0"/>
    <x v="0"/>
    <n v="2.66"/>
    <n v="2.2999999999999998"/>
    <n v="28.75"/>
  </r>
  <r>
    <n v="1281"/>
    <d v="2025-06-26T00:00:00"/>
    <x v="0"/>
    <s v="Jueves"/>
    <x v="5"/>
    <x v="2"/>
    <x v="0"/>
    <x v="2"/>
    <x v="2"/>
    <x v="2"/>
    <n v="17400"/>
    <x v="190"/>
    <n v="78.099999999999994"/>
    <n v="0"/>
    <n v="67"/>
    <n v="0"/>
    <x v="0"/>
    <n v="46.75"/>
    <n v="0"/>
    <x v="0"/>
    <n v="4.4800000000000004"/>
    <n v="2.6869999999999998"/>
    <n v="46.75"/>
  </r>
  <r>
    <n v="1650"/>
    <d v="2025-06-26T08:00:00"/>
    <x v="1"/>
    <s v="Jueves"/>
    <x v="5"/>
    <x v="2"/>
    <x v="0"/>
    <x v="0"/>
    <x v="0"/>
    <x v="0"/>
    <n v="26000"/>
    <x v="264"/>
    <n v="57.9"/>
    <n v="362.9"/>
    <n v="169"/>
    <n v="1"/>
    <x v="3"/>
    <n v="164.88"/>
    <n v="99.41"/>
    <x v="1"/>
    <n v="10.14"/>
    <n v="6.3419999999999996"/>
    <n v="65.47"/>
  </r>
  <r>
    <n v="1282"/>
    <d v="2025-06-26T08:00:00"/>
    <x v="1"/>
    <s v="Jueves"/>
    <x v="5"/>
    <x v="2"/>
    <x v="0"/>
    <x v="2"/>
    <x v="2"/>
    <x v="2"/>
    <n v="17400"/>
    <x v="252"/>
    <n v="61.6"/>
    <n v="446.4"/>
    <n v="91"/>
    <n v="0"/>
    <x v="0"/>
    <n v="38.299999999999997"/>
    <n v="56.44"/>
    <x v="1"/>
    <n v="-1.1299999999999999"/>
    <n v="2.2010000000000001"/>
    <n v="0"/>
  </r>
  <r>
    <n v="914"/>
    <d v="2025-06-26T08:00:00"/>
    <x v="1"/>
    <s v="Jueves"/>
    <x v="5"/>
    <x v="2"/>
    <x v="0"/>
    <x v="1"/>
    <x v="1"/>
    <x v="1"/>
    <n v="21000"/>
    <x v="264"/>
    <n v="59.8"/>
    <n v="373.9"/>
    <n v="424"/>
    <n v="1"/>
    <x v="3"/>
    <n v="205.3"/>
    <n v="74.81"/>
    <x v="1"/>
    <n v="19.77"/>
    <n v="9.7759999999999998"/>
    <n v="130.49"/>
  </r>
  <r>
    <n v="546"/>
    <d v="2025-06-26T08:00:00"/>
    <x v="1"/>
    <s v="Jueves"/>
    <x v="5"/>
    <x v="2"/>
    <x v="0"/>
    <x v="5"/>
    <x v="5"/>
    <x v="5"/>
    <n v="8600"/>
    <x v="101"/>
    <m/>
    <n v="339.9"/>
    <n v="822"/>
    <n v="1"/>
    <x v="2"/>
    <n v="80.31"/>
    <n v="25.91"/>
    <x v="1"/>
    <n v="8.1999999999999993"/>
    <n v="9.3379999999999992"/>
    <n v="54.4"/>
  </r>
  <r>
    <n v="2018"/>
    <d v="2025-06-26T08:00:00"/>
    <x v="1"/>
    <s v="Jueves"/>
    <x v="5"/>
    <x v="2"/>
    <x v="0"/>
    <x v="3"/>
    <x v="3"/>
    <x v="3"/>
    <n v="9800"/>
    <x v="210"/>
    <n v="67.2"/>
    <n v="382.3"/>
    <n v="86"/>
    <n v="0"/>
    <x v="0"/>
    <n v="18.329999999999998"/>
    <n v="0"/>
    <x v="1"/>
    <n v="2.73"/>
    <n v="1.87"/>
    <n v="18.329999999999998"/>
  </r>
  <r>
    <n v="178"/>
    <d v="2025-06-26T08:00:00"/>
    <x v="1"/>
    <s v="Jueves"/>
    <x v="5"/>
    <x v="2"/>
    <x v="0"/>
    <x v="4"/>
    <x v="4"/>
    <x v="4"/>
    <n v="12500"/>
    <x v="252"/>
    <n v="50.3"/>
    <m/>
    <n v="370"/>
    <n v="0"/>
    <x v="0"/>
    <n v="69.010000000000005"/>
    <n v="65.13"/>
    <x v="1"/>
    <n v="0.56999999999999995"/>
    <n v="5.5209999999999999"/>
    <n v="3.88"/>
  </r>
  <r>
    <n v="915"/>
    <d v="2025-06-26T14:00:00"/>
    <x v="2"/>
    <s v="Jueves"/>
    <x v="5"/>
    <x v="2"/>
    <x v="0"/>
    <x v="1"/>
    <x v="1"/>
    <x v="1"/>
    <n v="21000"/>
    <x v="289"/>
    <n v="50.4"/>
    <n v="828.8"/>
    <n v="420"/>
    <n v="1"/>
    <x v="3"/>
    <n v="226.82"/>
    <n v="173.74"/>
    <x v="1"/>
    <n v="7.91"/>
    <n v="10.801"/>
    <n v="53.08"/>
  </r>
  <r>
    <n v="2019"/>
    <d v="2025-06-26T14:00:00"/>
    <x v="2"/>
    <s v="Jueves"/>
    <x v="5"/>
    <x v="2"/>
    <x v="0"/>
    <x v="3"/>
    <x v="3"/>
    <x v="3"/>
    <n v="9800"/>
    <x v="222"/>
    <n v="58.1"/>
    <n v="806.1"/>
    <n v="46"/>
    <n v="1"/>
    <x v="3"/>
    <n v="22.24"/>
    <n v="0"/>
    <x v="1"/>
    <n v="3.33"/>
    <n v="2.2690000000000001"/>
    <n v="22.24"/>
  </r>
  <r>
    <n v="179"/>
    <d v="2025-06-26T14:00:00"/>
    <x v="2"/>
    <s v="Jueves"/>
    <x v="5"/>
    <x v="2"/>
    <x v="0"/>
    <x v="4"/>
    <x v="4"/>
    <x v="4"/>
    <n v="12500"/>
    <x v="267"/>
    <n v="48.5"/>
    <m/>
    <n v="579"/>
    <n v="1"/>
    <x v="3"/>
    <n v="113.29"/>
    <n v="109.2"/>
    <x v="1"/>
    <n v="0.61"/>
    <n v="9.0630000000000006"/>
    <n v="4.09"/>
  </r>
  <r>
    <n v="547"/>
    <d v="2025-06-26T14:00:00"/>
    <x v="2"/>
    <s v="Jueves"/>
    <x v="5"/>
    <x v="2"/>
    <x v="0"/>
    <x v="5"/>
    <x v="5"/>
    <x v="5"/>
    <n v="8600"/>
    <x v="231"/>
    <n v="76.099999999999994"/>
    <n v="659.7"/>
    <n v="783"/>
    <n v="1"/>
    <x v="3"/>
    <n v="78.58"/>
    <n v="50.85"/>
    <x v="1"/>
    <n v="4.22"/>
    <n v="9.1370000000000005"/>
    <n v="27.73"/>
  </r>
  <r>
    <n v="1283"/>
    <d v="2025-06-26T14:00:00"/>
    <x v="2"/>
    <s v="Jueves"/>
    <x v="5"/>
    <x v="2"/>
    <x v="0"/>
    <x v="2"/>
    <x v="2"/>
    <x v="2"/>
    <n v="17400"/>
    <x v="269"/>
    <n v="67"/>
    <n v="900.5"/>
    <n v="1429"/>
    <n v="1"/>
    <x v="3"/>
    <n v="234.95"/>
    <n v="115.06"/>
    <x v="1"/>
    <n v="17.420000000000002"/>
    <n v="13.503"/>
    <n v="119.89"/>
  </r>
  <r>
    <n v="1651"/>
    <d v="2025-06-26T14:00:00"/>
    <x v="2"/>
    <s v="Jueves"/>
    <x v="5"/>
    <x v="2"/>
    <x v="0"/>
    <x v="0"/>
    <x v="0"/>
    <x v="0"/>
    <n v="26000"/>
    <x v="292"/>
    <n v="51.6"/>
    <n v="714.4"/>
    <m/>
    <n v="1"/>
    <x v="3"/>
    <n v="177.29"/>
    <n v="186.33"/>
    <x v="1"/>
    <n v="-0.52"/>
    <n v="6.819"/>
    <n v="0"/>
  </r>
  <r>
    <n v="1652"/>
    <d v="2025-06-26T20:00:00"/>
    <x v="3"/>
    <s v="Jueves"/>
    <x v="5"/>
    <x v="2"/>
    <x v="0"/>
    <x v="0"/>
    <x v="0"/>
    <x v="0"/>
    <n v="26000"/>
    <x v="276"/>
    <n v="50.6"/>
    <n v="61"/>
    <m/>
    <n v="1"/>
    <x v="3"/>
    <n v="269.93"/>
    <n v="16.11"/>
    <x v="2"/>
    <n v="56.37"/>
    <n v="10.382"/>
    <n v="253.82"/>
  </r>
  <r>
    <n v="916"/>
    <d v="2025-06-26T20:00:00"/>
    <x v="3"/>
    <s v="Jueves"/>
    <x v="5"/>
    <x v="2"/>
    <x v="0"/>
    <x v="1"/>
    <x v="1"/>
    <x v="1"/>
    <n v="21000"/>
    <x v="278"/>
    <n v="43.7"/>
    <n v="97.8"/>
    <n v="417"/>
    <n v="1"/>
    <x v="3"/>
    <n v="294.33999999999997"/>
    <n v="18.78"/>
    <x v="2"/>
    <n v="64.37"/>
    <n v="14.016"/>
    <n v="275.56"/>
  </r>
  <r>
    <n v="548"/>
    <d v="2025-06-26T20:00:00"/>
    <x v="3"/>
    <s v="Jueves"/>
    <x v="5"/>
    <x v="2"/>
    <x v="0"/>
    <x v="5"/>
    <x v="5"/>
    <x v="5"/>
    <n v="8600"/>
    <x v="121"/>
    <n v="70.400000000000006"/>
    <n v="51.3"/>
    <n v="21"/>
    <n v="0"/>
    <x v="0"/>
    <n v="18.559999999999999"/>
    <n v="3.88"/>
    <x v="2"/>
    <n v="3.35"/>
    <n v="2.1579999999999999"/>
    <n v="14.68"/>
  </r>
  <r>
    <n v="180"/>
    <d v="2025-06-26T20:00:00"/>
    <x v="3"/>
    <s v="Jueves"/>
    <x v="5"/>
    <x v="2"/>
    <x v="0"/>
    <x v="4"/>
    <x v="4"/>
    <x v="4"/>
    <n v="12500"/>
    <x v="293"/>
    <n v="39.1"/>
    <n v="90.2"/>
    <n v="60"/>
    <n v="1"/>
    <x v="3"/>
    <n v="45.12"/>
    <n v="12.99"/>
    <x v="2"/>
    <n v="7.45"/>
    <n v="3.61"/>
    <n v="32.130000000000003"/>
  </r>
  <r>
    <n v="1284"/>
    <d v="2025-06-26T20:00:00"/>
    <x v="3"/>
    <s v="Jueves"/>
    <x v="5"/>
    <x v="2"/>
    <x v="0"/>
    <x v="2"/>
    <x v="2"/>
    <x v="2"/>
    <n v="17400"/>
    <x v="187"/>
    <n v="65.7"/>
    <n v="100.3"/>
    <n v="1320"/>
    <n v="1"/>
    <x v="2"/>
    <n v="275.67"/>
    <n v="12.26"/>
    <x v="2"/>
    <n v="61.03"/>
    <n v="15.843"/>
    <n v="263.41000000000003"/>
  </r>
  <r>
    <n v="2020"/>
    <d v="2025-06-26T20:00:00"/>
    <x v="3"/>
    <s v="Jueves"/>
    <x v="5"/>
    <x v="2"/>
    <x v="0"/>
    <x v="3"/>
    <x v="3"/>
    <x v="3"/>
    <n v="9800"/>
    <x v="162"/>
    <n v="66.2"/>
    <n v="97.1"/>
    <n v="285"/>
    <n v="0"/>
    <x v="0"/>
    <n v="91.34"/>
    <n v="0"/>
    <x v="2"/>
    <n v="20.87"/>
    <n v="9.32"/>
    <n v="91.34"/>
  </r>
  <r>
    <n v="1285"/>
    <d v="2025-06-30T00:00:00"/>
    <x v="0"/>
    <s v="Lunes"/>
    <x v="5"/>
    <x v="2"/>
    <x v="0"/>
    <x v="2"/>
    <x v="2"/>
    <x v="2"/>
    <n v="17400"/>
    <x v="185"/>
    <n v="66.7"/>
    <n v="0"/>
    <n v="0"/>
    <n v="0"/>
    <x v="0"/>
    <n v="44.54"/>
    <n v="0"/>
    <x v="0"/>
    <n v="4.0199999999999996"/>
    <n v="2.56"/>
    <n v="44.54"/>
  </r>
  <r>
    <n v="1653"/>
    <d v="2025-06-30T00:00:00"/>
    <x v="0"/>
    <s v="Lunes"/>
    <x v="5"/>
    <x v="2"/>
    <x v="0"/>
    <x v="0"/>
    <x v="0"/>
    <x v="0"/>
    <n v="26000"/>
    <x v="181"/>
    <n v="58.2"/>
    <n v="0"/>
    <n v="68"/>
    <n v="0"/>
    <x v="0"/>
    <n v="110.14"/>
    <n v="0"/>
    <x v="0"/>
    <n v="10.61"/>
    <n v="4.2359999999999998"/>
    <n v="110.14"/>
  </r>
  <r>
    <n v="2021"/>
    <d v="2025-06-30T00:00:00"/>
    <x v="0"/>
    <s v="Lunes"/>
    <x v="5"/>
    <x v="2"/>
    <x v="0"/>
    <x v="3"/>
    <x v="3"/>
    <x v="3"/>
    <n v="9800"/>
    <x v="179"/>
    <n v="77.7"/>
    <n v="0"/>
    <n v="304"/>
    <n v="0"/>
    <x v="0"/>
    <n v="97.27"/>
    <n v="0"/>
    <x v="0"/>
    <n v="9.2100000000000009"/>
    <n v="9.9260000000000002"/>
    <n v="97.27"/>
  </r>
  <r>
    <n v="917"/>
    <d v="2025-06-30T00:00:00"/>
    <x v="0"/>
    <s v="Lunes"/>
    <x v="5"/>
    <x v="2"/>
    <x v="0"/>
    <x v="1"/>
    <x v="1"/>
    <x v="1"/>
    <n v="21000"/>
    <x v="230"/>
    <n v="51.9"/>
    <n v="0"/>
    <n v="202"/>
    <n v="1"/>
    <x v="3"/>
    <n v="199.22"/>
    <n v="0"/>
    <x v="0"/>
    <n v="19.18"/>
    <n v="9.4870000000000001"/>
    <n v="199.22"/>
  </r>
  <r>
    <n v="549"/>
    <d v="2025-06-30T00:00:00"/>
    <x v="0"/>
    <s v="Lunes"/>
    <x v="5"/>
    <x v="2"/>
    <x v="0"/>
    <x v="5"/>
    <x v="5"/>
    <x v="5"/>
    <n v="8600"/>
    <x v="71"/>
    <n v="74.5"/>
    <n v="0"/>
    <n v="43"/>
    <n v="0"/>
    <x v="0"/>
    <n v="20.239999999999998"/>
    <n v="0"/>
    <x v="0"/>
    <n v="1.93"/>
    <n v="2.3530000000000002"/>
    <n v="20.239999999999998"/>
  </r>
  <r>
    <n v="181"/>
    <d v="2025-06-30T00:00:00"/>
    <x v="0"/>
    <s v="Lunes"/>
    <x v="5"/>
    <x v="2"/>
    <x v="0"/>
    <x v="4"/>
    <x v="4"/>
    <x v="4"/>
    <n v="12500"/>
    <x v="155"/>
    <n v="47"/>
    <n v="0"/>
    <n v="5"/>
    <n v="0"/>
    <x v="0"/>
    <n v="23.27"/>
    <n v="0"/>
    <x v="0"/>
    <n v="2.1800000000000002"/>
    <n v="1.8620000000000001"/>
    <n v="23.27"/>
  </r>
  <r>
    <n v="918"/>
    <d v="2025-06-30T08:00:00"/>
    <x v="1"/>
    <s v="Lunes"/>
    <x v="5"/>
    <x v="2"/>
    <x v="0"/>
    <x v="1"/>
    <x v="1"/>
    <x v="1"/>
    <n v="21000"/>
    <x v="247"/>
    <n v="44.2"/>
    <n v="414.7"/>
    <n v="404"/>
    <n v="1"/>
    <x v="2"/>
    <n v="190.96"/>
    <n v="84.98"/>
    <x v="1"/>
    <n v="15.81"/>
    <n v="9.093"/>
    <n v="105.98"/>
  </r>
  <r>
    <n v="550"/>
    <d v="2025-06-30T08:00:00"/>
    <x v="1"/>
    <s v="Lunes"/>
    <x v="5"/>
    <x v="2"/>
    <x v="0"/>
    <x v="5"/>
    <x v="5"/>
    <x v="5"/>
    <n v="8600"/>
    <x v="181"/>
    <n v="77.8"/>
    <n v="340.9"/>
    <n v="694"/>
    <n v="0"/>
    <x v="0"/>
    <n v="76.290000000000006"/>
    <n v="26.54"/>
    <x v="1"/>
    <n v="7.57"/>
    <n v="8.8710000000000004"/>
    <n v="49.75"/>
  </r>
  <r>
    <n v="182"/>
    <d v="2025-06-30T08:00:00"/>
    <x v="1"/>
    <s v="Lunes"/>
    <x v="5"/>
    <x v="2"/>
    <x v="0"/>
    <x v="4"/>
    <x v="4"/>
    <x v="4"/>
    <n v="12500"/>
    <x v="210"/>
    <n v="62.6"/>
    <n v="388.8"/>
    <n v="311"/>
    <n v="0"/>
    <x v="0"/>
    <n v="64.44"/>
    <n v="58.71"/>
    <x v="1"/>
    <n v="0.89"/>
    <n v="5.1550000000000002"/>
    <n v="5.73"/>
  </r>
  <r>
    <n v="1654"/>
    <d v="2025-06-30T08:00:00"/>
    <x v="1"/>
    <s v="Lunes"/>
    <x v="5"/>
    <x v="2"/>
    <x v="0"/>
    <x v="0"/>
    <x v="0"/>
    <x v="0"/>
    <n v="26000"/>
    <x v="281"/>
    <m/>
    <n v="387.9"/>
    <n v="167"/>
    <n v="1"/>
    <x v="2"/>
    <n v="136.15"/>
    <n v="99.65"/>
    <x v="1"/>
    <n v="5.32"/>
    <n v="5.2370000000000001"/>
    <n v="36.5"/>
  </r>
  <r>
    <n v="2022"/>
    <d v="2025-06-30T08:00:00"/>
    <x v="1"/>
    <s v="Lunes"/>
    <x v="5"/>
    <x v="2"/>
    <x v="0"/>
    <x v="3"/>
    <x v="3"/>
    <x v="3"/>
    <n v="9800"/>
    <x v="221"/>
    <n v="66.599999999999994"/>
    <n v="393.5"/>
    <n v="66"/>
    <n v="0"/>
    <x v="0"/>
    <n v="18.41"/>
    <n v="0"/>
    <x v="1"/>
    <n v="2.72"/>
    <n v="1.879"/>
    <n v="18.41"/>
  </r>
  <r>
    <n v="1286"/>
    <d v="2025-06-30T08:00:00"/>
    <x v="1"/>
    <s v="Lunes"/>
    <x v="5"/>
    <x v="2"/>
    <x v="0"/>
    <x v="2"/>
    <x v="2"/>
    <x v="2"/>
    <n v="17400"/>
    <x v="177"/>
    <n v="70"/>
    <n v="465.1"/>
    <n v="91"/>
    <n v="0"/>
    <x v="0"/>
    <n v="34.22"/>
    <n v="55.96"/>
    <x v="1"/>
    <n v="-1.37"/>
    <n v="1.9670000000000001"/>
    <n v="0"/>
  </r>
  <r>
    <n v="919"/>
    <d v="2025-06-30T14:00:00"/>
    <x v="2"/>
    <s v="Lunes"/>
    <x v="5"/>
    <x v="2"/>
    <x v="0"/>
    <x v="1"/>
    <x v="1"/>
    <x v="1"/>
    <n v="21000"/>
    <x v="294"/>
    <n v="48.3"/>
    <n v="721.8"/>
    <n v="420"/>
    <n v="1"/>
    <x v="3"/>
    <n v="239.33"/>
    <n v="145.22999999999999"/>
    <x v="1"/>
    <n v="13.6"/>
    <n v="11.397"/>
    <n v="94.1"/>
  </r>
  <r>
    <n v="551"/>
    <d v="2025-06-30T14:00:00"/>
    <x v="2"/>
    <s v="Lunes"/>
    <x v="5"/>
    <x v="2"/>
    <x v="0"/>
    <x v="5"/>
    <x v="5"/>
    <x v="5"/>
    <n v="8600"/>
    <x v="121"/>
    <n v="86.5"/>
    <n v="518.4"/>
    <n v="787"/>
    <n v="0"/>
    <x v="0"/>
    <n v="75.69"/>
    <n v="38.67"/>
    <x v="1"/>
    <n v="5.41"/>
    <n v="8.8010000000000002"/>
    <n v="37.020000000000003"/>
  </r>
  <r>
    <n v="1287"/>
    <d v="2025-06-30T14:00:00"/>
    <x v="2"/>
    <s v="Lunes"/>
    <x v="5"/>
    <x v="2"/>
    <x v="0"/>
    <x v="2"/>
    <x v="2"/>
    <x v="2"/>
    <n v="17400"/>
    <x v="288"/>
    <n v="42.9"/>
    <n v="916"/>
    <n v="1298"/>
    <n v="1"/>
    <x v="3"/>
    <n v="217.18"/>
    <n v="122.21"/>
    <x v="1"/>
    <n v="14.17"/>
    <n v="12.481999999999999"/>
    <n v="94.97"/>
  </r>
  <r>
    <n v="183"/>
    <d v="2025-06-30T14:00:00"/>
    <x v="2"/>
    <s v="Lunes"/>
    <x v="5"/>
    <x v="2"/>
    <x v="0"/>
    <x v="4"/>
    <x v="4"/>
    <x v="4"/>
    <n v="12500"/>
    <x v="265"/>
    <n v="54.9"/>
    <n v="860.1"/>
    <n v="601"/>
    <n v="1"/>
    <x v="3"/>
    <n v="115.03"/>
    <n v="130.57"/>
    <x v="1"/>
    <n v="-0.95"/>
    <n v="9.202"/>
    <n v="0"/>
  </r>
  <r>
    <n v="2023"/>
    <d v="2025-06-30T14:00:00"/>
    <x v="2"/>
    <s v="Lunes"/>
    <x v="5"/>
    <x v="2"/>
    <x v="0"/>
    <x v="3"/>
    <x v="3"/>
    <x v="3"/>
    <n v="9800"/>
    <x v="277"/>
    <n v="74.5"/>
    <n v="758"/>
    <n v="48"/>
    <n v="1"/>
    <x v="3"/>
    <n v="21.11"/>
    <n v="0"/>
    <x v="1"/>
    <n v="3.2"/>
    <n v="2.1539999999999999"/>
    <n v="21.11"/>
  </r>
  <r>
    <n v="1655"/>
    <d v="2025-06-30T14:00:00"/>
    <x v="2"/>
    <s v="Lunes"/>
    <x v="5"/>
    <x v="2"/>
    <x v="0"/>
    <x v="0"/>
    <x v="0"/>
    <x v="0"/>
    <n v="26000"/>
    <x v="295"/>
    <n v="33.700000000000003"/>
    <n v="857.6"/>
    <n v="153"/>
    <n v="1"/>
    <x v="3"/>
    <n v="191.65"/>
    <n v="232.79"/>
    <x v="1"/>
    <n v="-2.46"/>
    <n v="7.3710000000000004"/>
    <n v="0"/>
  </r>
  <r>
    <n v="1288"/>
    <d v="2025-06-30T20:00:00"/>
    <x v="3"/>
    <s v="Lunes"/>
    <x v="5"/>
    <x v="2"/>
    <x v="0"/>
    <x v="2"/>
    <x v="2"/>
    <x v="2"/>
    <n v="17400"/>
    <x v="230"/>
    <n v="72.900000000000006"/>
    <n v="47.1"/>
    <n v="1205"/>
    <n v="1"/>
    <x v="3"/>
    <n v="289.58"/>
    <n v="5.68"/>
    <x v="2"/>
    <n v="65.84"/>
    <n v="16.643000000000001"/>
    <n v="283.89999999999998"/>
  </r>
  <r>
    <n v="1656"/>
    <d v="2025-06-30T20:00:00"/>
    <x v="3"/>
    <s v="Lunes"/>
    <x v="5"/>
    <x v="2"/>
    <x v="0"/>
    <x v="0"/>
    <x v="0"/>
    <x v="0"/>
    <n v="26000"/>
    <x v="233"/>
    <n v="52.3"/>
    <n v="72.8"/>
    <n v="159"/>
    <n v="1"/>
    <x v="3"/>
    <n v="258.39"/>
    <n v="18.170000000000002"/>
    <x v="2"/>
    <n v="58.06"/>
    <n v="9.9380000000000006"/>
    <n v="240.22"/>
  </r>
  <r>
    <n v="552"/>
    <d v="2025-06-30T20:00:00"/>
    <x v="3"/>
    <s v="Lunes"/>
    <x v="5"/>
    <x v="2"/>
    <x v="0"/>
    <x v="5"/>
    <x v="5"/>
    <x v="5"/>
    <n v="8600"/>
    <x v="247"/>
    <n v="74.5"/>
    <n v="68.599999999999994"/>
    <n v="34"/>
    <n v="1"/>
    <x v="2"/>
    <n v="18.420000000000002"/>
    <n v="4.92"/>
    <x v="2"/>
    <n v="3.15"/>
    <n v="2.1419999999999999"/>
    <n v="13.5"/>
  </r>
  <r>
    <n v="920"/>
    <d v="2025-06-30T20:00:00"/>
    <x v="3"/>
    <s v="Lunes"/>
    <x v="5"/>
    <x v="2"/>
    <x v="0"/>
    <x v="1"/>
    <x v="1"/>
    <x v="1"/>
    <n v="21000"/>
    <x v="296"/>
    <n v="54"/>
    <n v="63.8"/>
    <n v="423"/>
    <n v="1"/>
    <x v="3"/>
    <n v="311.73"/>
    <n v="12.48"/>
    <x v="2"/>
    <n v="69.13"/>
    <n v="14.843999999999999"/>
    <n v="299.25"/>
  </r>
  <r>
    <n v="2024"/>
    <d v="2025-06-30T20:00:00"/>
    <x v="3"/>
    <s v="Lunes"/>
    <x v="5"/>
    <x v="2"/>
    <x v="0"/>
    <x v="3"/>
    <x v="3"/>
    <x v="3"/>
    <n v="9800"/>
    <x v="183"/>
    <n v="74.400000000000006"/>
    <n v="85.8"/>
    <m/>
    <n v="1"/>
    <x v="2"/>
    <n v="102.78"/>
    <n v="0"/>
    <x v="2"/>
    <n v="22.68"/>
    <n v="10.488"/>
    <n v="102.78"/>
  </r>
  <r>
    <n v="184"/>
    <d v="2025-06-30T20:00:00"/>
    <x v="3"/>
    <s v="Lunes"/>
    <x v="5"/>
    <x v="2"/>
    <x v="0"/>
    <x v="4"/>
    <x v="4"/>
    <x v="4"/>
    <n v="12500"/>
    <x v="216"/>
    <n v="48.7"/>
    <n v="10"/>
    <n v="72"/>
    <n v="1"/>
    <x v="3"/>
    <n v="43.13"/>
    <n v="1.44"/>
    <x v="2"/>
    <n v="9.67"/>
    <n v="3.45"/>
    <n v="41.69"/>
  </r>
  <r>
    <n v="2025"/>
    <d v="2025-07-04T00:00:00"/>
    <x v="0"/>
    <s v="Viernes"/>
    <x v="6"/>
    <x v="2"/>
    <x v="0"/>
    <x v="3"/>
    <x v="3"/>
    <x v="3"/>
    <n v="9800"/>
    <x v="162"/>
    <n v="74"/>
    <n v="0"/>
    <n v="294"/>
    <n v="0"/>
    <x v="0"/>
    <n v="92.45"/>
    <n v="0"/>
    <x v="0"/>
    <n v="8.9"/>
    <n v="9.4339999999999993"/>
    <n v="92.45"/>
  </r>
  <r>
    <n v="1657"/>
    <d v="2025-07-04T00:00:00"/>
    <x v="0"/>
    <s v="Viernes"/>
    <x v="6"/>
    <x v="2"/>
    <x v="0"/>
    <x v="0"/>
    <x v="0"/>
    <x v="0"/>
    <n v="26000"/>
    <x v="159"/>
    <n v="61.5"/>
    <n v="0"/>
    <n v="63"/>
    <n v="0"/>
    <x v="0"/>
    <n v="110.85"/>
    <n v="0"/>
    <x v="0"/>
    <n v="10.49"/>
    <n v="4.2629999999999999"/>
    <n v="110.85"/>
  </r>
  <r>
    <n v="553"/>
    <d v="2025-07-04T00:00:00"/>
    <x v="0"/>
    <s v="Viernes"/>
    <x v="6"/>
    <x v="2"/>
    <x v="0"/>
    <x v="5"/>
    <x v="5"/>
    <x v="5"/>
    <n v="8600"/>
    <x v="147"/>
    <n v="69.7"/>
    <n v="0"/>
    <n v="0"/>
    <n v="0"/>
    <x v="0"/>
    <n v="11.49"/>
    <n v="0"/>
    <x v="0"/>
    <n v="1.03"/>
    <n v="1.3360000000000001"/>
    <n v="11.49"/>
  </r>
  <r>
    <n v="1289"/>
    <d v="2025-07-04T00:00:00"/>
    <x v="0"/>
    <s v="Viernes"/>
    <x v="6"/>
    <x v="2"/>
    <x v="0"/>
    <x v="2"/>
    <x v="2"/>
    <x v="2"/>
    <n v="17400"/>
    <x v="211"/>
    <n v="69"/>
    <n v="0"/>
    <m/>
    <n v="0"/>
    <x v="0"/>
    <n v="49.54"/>
    <n v="0"/>
    <x v="0"/>
    <n v="4.82"/>
    <n v="2.847"/>
    <n v="49.54"/>
  </r>
  <r>
    <n v="185"/>
    <d v="2025-07-04T00:00:00"/>
    <x v="0"/>
    <s v="Viernes"/>
    <x v="6"/>
    <x v="2"/>
    <x v="0"/>
    <x v="4"/>
    <x v="4"/>
    <x v="4"/>
    <n v="12500"/>
    <x v="209"/>
    <n v="45.6"/>
    <n v="0"/>
    <n v="23"/>
    <n v="0"/>
    <x v="0"/>
    <n v="24.43"/>
    <n v="0"/>
    <x v="0"/>
    <n v="2.35"/>
    <n v="1.954"/>
    <n v="24.43"/>
  </r>
  <r>
    <n v="921"/>
    <d v="2025-07-04T00:00:00"/>
    <x v="0"/>
    <s v="Viernes"/>
    <x v="6"/>
    <x v="2"/>
    <x v="0"/>
    <x v="1"/>
    <x v="1"/>
    <x v="1"/>
    <n v="21000"/>
    <x v="176"/>
    <m/>
    <n v="0"/>
    <n v="160"/>
    <n v="0"/>
    <x v="0"/>
    <n v="171.44"/>
    <n v="0"/>
    <x v="0"/>
    <n v="15.89"/>
    <n v="8.1639999999999997"/>
    <n v="171.44"/>
  </r>
  <r>
    <n v="922"/>
    <d v="2025-07-04T08:00:00"/>
    <x v="1"/>
    <s v="Viernes"/>
    <x v="6"/>
    <x v="2"/>
    <x v="0"/>
    <x v="1"/>
    <x v="1"/>
    <x v="1"/>
    <n v="21000"/>
    <x v="277"/>
    <n v="54.7"/>
    <n v="467.4"/>
    <n v="391"/>
    <n v="1"/>
    <x v="3"/>
    <n v="214.53"/>
    <n v="91.38"/>
    <x v="1"/>
    <n v="18.89"/>
    <n v="10.215999999999999"/>
    <n v="123.15"/>
  </r>
  <r>
    <n v="1658"/>
    <d v="2025-07-04T08:00:00"/>
    <x v="1"/>
    <s v="Viernes"/>
    <x v="6"/>
    <x v="2"/>
    <x v="0"/>
    <x v="0"/>
    <x v="0"/>
    <x v="0"/>
    <n v="26000"/>
    <x v="297"/>
    <n v="60.5"/>
    <n v="430.1"/>
    <n v="168"/>
    <n v="1"/>
    <x v="3"/>
    <n v="150.53"/>
    <n v="114.26"/>
    <x v="1"/>
    <n v="5.38"/>
    <n v="5.79"/>
    <n v="36.270000000000003"/>
  </r>
  <r>
    <n v="186"/>
    <d v="2025-07-04T08:00:00"/>
    <x v="1"/>
    <s v="Viernes"/>
    <x v="6"/>
    <x v="2"/>
    <x v="0"/>
    <x v="4"/>
    <x v="4"/>
    <x v="4"/>
    <n v="12500"/>
    <x v="164"/>
    <n v="46.5"/>
    <n v="459.3"/>
    <n v="331"/>
    <n v="0"/>
    <x v="0"/>
    <n v="69.39"/>
    <n v="69.77"/>
    <x v="1"/>
    <n v="-0.02"/>
    <n v="5.5510000000000002"/>
    <n v="0"/>
  </r>
  <r>
    <n v="554"/>
    <d v="2025-07-04T08:00:00"/>
    <x v="1"/>
    <s v="Viernes"/>
    <x v="6"/>
    <x v="2"/>
    <x v="0"/>
    <x v="5"/>
    <x v="5"/>
    <x v="5"/>
    <n v="8600"/>
    <x v="106"/>
    <n v="83.6"/>
    <n v="196.7"/>
    <n v="0"/>
    <n v="0"/>
    <x v="0"/>
    <n v="8.09"/>
    <n v="15.31"/>
    <x v="1"/>
    <n v="-0.46"/>
    <n v="0.94099999999999995"/>
    <n v="0"/>
  </r>
  <r>
    <n v="1290"/>
    <d v="2025-07-04T08:00:00"/>
    <x v="1"/>
    <s v="Viernes"/>
    <x v="6"/>
    <x v="2"/>
    <x v="0"/>
    <x v="2"/>
    <x v="2"/>
    <x v="2"/>
    <n v="17400"/>
    <x v="298"/>
    <n v="50.5"/>
    <n v="485.7"/>
    <n v="225"/>
    <n v="0"/>
    <x v="0"/>
    <n v="43.52"/>
    <n v="55.68"/>
    <x v="1"/>
    <n v="-0.75"/>
    <n v="2.5009999999999999"/>
    <n v="0"/>
  </r>
  <r>
    <n v="2026"/>
    <d v="2025-07-04T08:00:00"/>
    <x v="1"/>
    <s v="Viernes"/>
    <x v="6"/>
    <x v="2"/>
    <x v="0"/>
    <x v="3"/>
    <x v="3"/>
    <x v="3"/>
    <n v="9800"/>
    <x v="169"/>
    <n v="65.099999999999994"/>
    <n v="432.6"/>
    <n v="81"/>
    <n v="0"/>
    <x v="0"/>
    <n v="18.66"/>
    <n v="0"/>
    <x v="1"/>
    <n v="2.85"/>
    <n v="1.9039999999999999"/>
    <n v="18.66"/>
  </r>
  <r>
    <n v="1659"/>
    <d v="2025-07-04T14:00:00"/>
    <x v="2"/>
    <s v="Viernes"/>
    <x v="6"/>
    <x v="2"/>
    <x v="0"/>
    <x v="0"/>
    <x v="0"/>
    <x v="0"/>
    <n v="26000"/>
    <x v="299"/>
    <n v="60.2"/>
    <n v="740.2"/>
    <n v="158"/>
    <n v="1"/>
    <x v="3"/>
    <n v="169.23"/>
    <n v="205.44"/>
    <x v="1"/>
    <n v="-2.2999999999999998"/>
    <n v="6.5090000000000003"/>
    <n v="0"/>
  </r>
  <r>
    <n v="923"/>
    <d v="2025-07-04T14:00:00"/>
    <x v="2"/>
    <s v="Viernes"/>
    <x v="6"/>
    <x v="2"/>
    <x v="0"/>
    <x v="1"/>
    <x v="1"/>
    <x v="1"/>
    <n v="21000"/>
    <x v="300"/>
    <n v="47.3"/>
    <n v="922.3"/>
    <n v="407"/>
    <n v="1"/>
    <x v="3"/>
    <n v="240.84"/>
    <n v="177.18"/>
    <x v="1"/>
    <n v="9.52"/>
    <n v="11.468999999999999"/>
    <n v="63.66"/>
  </r>
  <r>
    <n v="555"/>
    <d v="2025-07-04T14:00:00"/>
    <x v="2"/>
    <s v="Viernes"/>
    <x v="6"/>
    <x v="2"/>
    <x v="0"/>
    <x v="5"/>
    <x v="5"/>
    <x v="5"/>
    <n v="8600"/>
    <x v="259"/>
    <n v="79"/>
    <n v="519.79999999999995"/>
    <n v="33"/>
    <n v="0"/>
    <x v="0"/>
    <n v="9.1300000000000008"/>
    <n v="38.25"/>
    <x v="1"/>
    <n v="-1.78"/>
    <n v="1.0620000000000001"/>
    <n v="0"/>
  </r>
  <r>
    <n v="2027"/>
    <d v="2025-07-04T14:00:00"/>
    <x v="2"/>
    <s v="Viernes"/>
    <x v="6"/>
    <x v="2"/>
    <x v="0"/>
    <x v="3"/>
    <x v="3"/>
    <x v="3"/>
    <n v="9800"/>
    <x v="301"/>
    <n v="65.400000000000006"/>
    <n v="717.2"/>
    <n v="33"/>
    <n v="1"/>
    <x v="3"/>
    <n v="21.79"/>
    <n v="0"/>
    <x v="1"/>
    <n v="3.38"/>
    <n v="2.2229999999999999"/>
    <n v="21.79"/>
  </r>
  <r>
    <n v="187"/>
    <d v="2025-07-04T14:00:00"/>
    <x v="2"/>
    <s v="Viernes"/>
    <x v="6"/>
    <x v="2"/>
    <x v="0"/>
    <x v="4"/>
    <x v="4"/>
    <x v="4"/>
    <n v="12500"/>
    <x v="302"/>
    <n v="48"/>
    <n v="895"/>
    <n v="620"/>
    <n v="1"/>
    <x v="3"/>
    <n v="115.88"/>
    <n v="127.45"/>
    <x v="1"/>
    <n v="-0.71"/>
    <n v="9.27"/>
    <n v="0"/>
  </r>
  <r>
    <n v="1291"/>
    <d v="2025-07-04T14:00:00"/>
    <x v="2"/>
    <s v="Viernes"/>
    <x v="6"/>
    <x v="2"/>
    <x v="0"/>
    <x v="2"/>
    <x v="2"/>
    <x v="2"/>
    <n v="17400"/>
    <x v="288"/>
    <n v="63.1"/>
    <n v="903.7"/>
    <n v="1399"/>
    <n v="1"/>
    <x v="3"/>
    <n v="207.18"/>
    <n v="108.53"/>
    <x v="1"/>
    <n v="14.63"/>
    <n v="11.907"/>
    <n v="98.65"/>
  </r>
  <r>
    <n v="2028"/>
    <d v="2025-07-04T20:00:00"/>
    <x v="3"/>
    <s v="Viernes"/>
    <x v="6"/>
    <x v="2"/>
    <x v="0"/>
    <x v="3"/>
    <x v="3"/>
    <x v="3"/>
    <n v="9800"/>
    <x v="271"/>
    <n v="75.400000000000006"/>
    <n v="100.5"/>
    <n v="322"/>
    <n v="0"/>
    <x v="0"/>
    <n v="91.8"/>
    <n v="0"/>
    <x v="2"/>
    <n v="21.13"/>
    <n v="9.3670000000000009"/>
    <n v="91.8"/>
  </r>
  <r>
    <n v="1292"/>
    <d v="2025-07-04T20:00:00"/>
    <x v="3"/>
    <s v="Viernes"/>
    <x v="6"/>
    <x v="2"/>
    <x v="0"/>
    <x v="2"/>
    <x v="2"/>
    <x v="2"/>
    <n v="17400"/>
    <x v="263"/>
    <n v="54.1"/>
    <n v="78.3"/>
    <n v="1348"/>
    <n v="1"/>
    <x v="3"/>
    <n v="268.10000000000002"/>
    <n v="11.03"/>
    <x v="2"/>
    <n v="56.71"/>
    <n v="15.407999999999999"/>
    <n v="257.07"/>
  </r>
  <r>
    <n v="188"/>
    <d v="2025-07-04T20:00:00"/>
    <x v="3"/>
    <s v="Viernes"/>
    <x v="6"/>
    <x v="2"/>
    <x v="0"/>
    <x v="4"/>
    <x v="4"/>
    <x v="4"/>
    <n v="12500"/>
    <x v="222"/>
    <n v="56.1"/>
    <n v="49.8"/>
    <n v="68"/>
    <n v="1"/>
    <x v="3"/>
    <n v="47.87"/>
    <n v="7.34"/>
    <x v="2"/>
    <n v="9.3699999999999992"/>
    <n v="3.83"/>
    <n v="40.53"/>
  </r>
  <r>
    <n v="924"/>
    <d v="2025-07-04T20:00:00"/>
    <x v="3"/>
    <s v="Viernes"/>
    <x v="6"/>
    <x v="2"/>
    <x v="0"/>
    <x v="1"/>
    <x v="1"/>
    <x v="1"/>
    <n v="21000"/>
    <x v="286"/>
    <n v="36"/>
    <n v="73.400000000000006"/>
    <n v="402"/>
    <n v="1"/>
    <x v="3"/>
    <n v="308.26"/>
    <n v="14.81"/>
    <x v="2"/>
    <n v="71.66"/>
    <n v="14.679"/>
    <n v="293.45"/>
  </r>
  <r>
    <n v="1660"/>
    <d v="2025-07-04T20:00:00"/>
    <x v="3"/>
    <s v="Viernes"/>
    <x v="6"/>
    <x v="2"/>
    <x v="0"/>
    <x v="0"/>
    <x v="0"/>
    <x v="0"/>
    <n v="26000"/>
    <x v="303"/>
    <n v="53.4"/>
    <n v="88.1"/>
    <n v="186"/>
    <n v="1"/>
    <x v="3"/>
    <n v="245.57"/>
    <n v="23.52"/>
    <x v="2"/>
    <n v="52.89"/>
    <n v="9.4450000000000003"/>
    <n v="222.05"/>
  </r>
  <r>
    <n v="556"/>
    <d v="2025-07-04T20:00:00"/>
    <x v="3"/>
    <s v="Viernes"/>
    <x v="6"/>
    <x v="2"/>
    <x v="0"/>
    <x v="5"/>
    <x v="5"/>
    <x v="5"/>
    <n v="8600"/>
    <x v="253"/>
    <n v="65.599999999999994"/>
    <n v="92.5"/>
    <n v="31"/>
    <n v="0"/>
    <x v="0"/>
    <n v="15.44"/>
    <n v="7.81"/>
    <x v="2"/>
    <n v="1.8"/>
    <n v="1.7949999999999999"/>
    <n v="7.63"/>
  </r>
  <r>
    <n v="1661"/>
    <d v="2025-07-08T00:00:00"/>
    <x v="0"/>
    <s v="Martes"/>
    <x v="6"/>
    <x v="2"/>
    <x v="0"/>
    <x v="0"/>
    <x v="0"/>
    <x v="0"/>
    <n v="26000"/>
    <x v="210"/>
    <n v="64.599999999999994"/>
    <m/>
    <n v="44"/>
    <n v="0"/>
    <x v="0"/>
    <n v="106.24"/>
    <n v="0"/>
    <x v="0"/>
    <n v="9.99"/>
    <n v="4.0860000000000003"/>
    <n v="106.24"/>
  </r>
  <r>
    <n v="557"/>
    <d v="2025-07-08T00:00:00"/>
    <x v="0"/>
    <s v="Martes"/>
    <x v="6"/>
    <x v="2"/>
    <x v="0"/>
    <x v="5"/>
    <x v="5"/>
    <x v="5"/>
    <n v="8600"/>
    <x v="242"/>
    <n v="84.6"/>
    <n v="0"/>
    <n v="0"/>
    <n v="0"/>
    <x v="0"/>
    <n v="12.08"/>
    <n v="0"/>
    <x v="0"/>
    <n v="1.1499999999999999"/>
    <n v="1.405"/>
    <n v="12.08"/>
  </r>
  <r>
    <n v="925"/>
    <d v="2025-07-08T00:00:00"/>
    <x v="0"/>
    <s v="Martes"/>
    <x v="6"/>
    <x v="2"/>
    <x v="0"/>
    <x v="1"/>
    <x v="1"/>
    <x v="1"/>
    <n v="21000"/>
    <x v="190"/>
    <n v="44.1"/>
    <n v="0"/>
    <n v="243"/>
    <n v="0"/>
    <x v="0"/>
    <n v="178.95"/>
    <n v="0"/>
    <x v="0"/>
    <n v="17.41"/>
    <n v="8.5210000000000008"/>
    <n v="178.95"/>
  </r>
  <r>
    <n v="1293"/>
    <d v="2025-07-08T00:00:00"/>
    <x v="0"/>
    <s v="Martes"/>
    <x v="6"/>
    <x v="2"/>
    <x v="0"/>
    <x v="2"/>
    <x v="2"/>
    <x v="2"/>
    <n v="17400"/>
    <x v="43"/>
    <n v="72.5"/>
    <n v="0"/>
    <n v="188"/>
    <n v="0"/>
    <x v="0"/>
    <n v="56.28"/>
    <n v="0"/>
    <x v="0"/>
    <n v="5.16"/>
    <n v="3.234"/>
    <n v="56.28"/>
  </r>
  <r>
    <n v="2029"/>
    <d v="2025-07-08T00:00:00"/>
    <x v="0"/>
    <s v="Martes"/>
    <x v="6"/>
    <x v="2"/>
    <x v="0"/>
    <x v="3"/>
    <x v="3"/>
    <x v="3"/>
    <n v="9800"/>
    <x v="185"/>
    <n v="85.9"/>
    <n v="0"/>
    <n v="279"/>
    <n v="0"/>
    <x v="0"/>
    <n v="95.08"/>
    <n v="0"/>
    <x v="0"/>
    <m/>
    <n v="9.702"/>
    <n v="95.08"/>
  </r>
  <r>
    <n v="189"/>
    <d v="2025-07-08T00:00:00"/>
    <x v="0"/>
    <s v="Martes"/>
    <x v="6"/>
    <x v="2"/>
    <x v="0"/>
    <x v="4"/>
    <x v="4"/>
    <x v="4"/>
    <n v="12500"/>
    <x v="169"/>
    <n v="54.6"/>
    <n v="0"/>
    <n v="3"/>
    <n v="0"/>
    <x v="0"/>
    <n v="24.21"/>
    <n v="0"/>
    <x v="0"/>
    <n v="2.4"/>
    <n v="1.9370000000000001"/>
    <n v="24.21"/>
  </r>
  <r>
    <n v="190"/>
    <d v="2025-07-08T08:00:00"/>
    <x v="1"/>
    <s v="Martes"/>
    <x v="6"/>
    <x v="2"/>
    <x v="0"/>
    <x v="4"/>
    <x v="4"/>
    <x v="4"/>
    <n v="12500"/>
    <x v="271"/>
    <n v="53.8"/>
    <n v="427.8"/>
    <n v="420"/>
    <n v="0"/>
    <x v="0"/>
    <n v="67.47"/>
    <n v="70.19"/>
    <x v="1"/>
    <n v="-0.17"/>
    <n v="5.3979999999999997"/>
    <n v="0"/>
  </r>
  <r>
    <n v="2030"/>
    <d v="2025-07-08T08:00:00"/>
    <x v="1"/>
    <s v="Martes"/>
    <x v="6"/>
    <x v="2"/>
    <x v="0"/>
    <x v="3"/>
    <x v="3"/>
    <x v="3"/>
    <n v="9800"/>
    <x v="180"/>
    <n v="52.1"/>
    <n v="477.4"/>
    <n v="43"/>
    <n v="0"/>
    <x v="0"/>
    <n v="17.41"/>
    <n v="0"/>
    <x v="1"/>
    <n v="2.71"/>
    <n v="1.7769999999999999"/>
    <n v="17.41"/>
  </r>
  <r>
    <n v="926"/>
    <d v="2025-07-08T08:00:00"/>
    <x v="1"/>
    <s v="Martes"/>
    <x v="6"/>
    <x v="2"/>
    <x v="0"/>
    <x v="1"/>
    <x v="1"/>
    <x v="1"/>
    <n v="21000"/>
    <x v="288"/>
    <n v="52.2"/>
    <n v="378.7"/>
    <n v="393"/>
    <n v="1"/>
    <x v="3"/>
    <n v="217.85"/>
    <n v="73.66"/>
    <x v="1"/>
    <n v="22.12"/>
    <n v="10.374000000000001"/>
    <n v="144.19"/>
  </r>
  <r>
    <n v="1294"/>
    <d v="2025-07-08T08:00:00"/>
    <x v="1"/>
    <s v="Martes"/>
    <x v="6"/>
    <x v="2"/>
    <x v="0"/>
    <x v="2"/>
    <x v="2"/>
    <x v="2"/>
    <n v="17400"/>
    <x v="288"/>
    <n v="57.8"/>
    <n v="423.8"/>
    <n v="11"/>
    <n v="0"/>
    <x v="0"/>
    <n v="30.9"/>
    <n v="45.67"/>
    <x v="1"/>
    <n v="-0.9"/>
    <n v="1.776"/>
    <n v="0"/>
  </r>
  <r>
    <n v="558"/>
    <d v="2025-07-08T08:00:00"/>
    <x v="1"/>
    <s v="Martes"/>
    <x v="6"/>
    <x v="2"/>
    <x v="0"/>
    <x v="5"/>
    <x v="5"/>
    <x v="5"/>
    <n v="8600"/>
    <x v="189"/>
    <n v="58.5"/>
    <n v="441.5"/>
    <n v="0"/>
    <n v="0"/>
    <x v="0"/>
    <n v="7.57"/>
    <n v="33.380000000000003"/>
    <x v="1"/>
    <n v="-1.55"/>
    <n v="0.88"/>
    <n v="0"/>
  </r>
  <r>
    <n v="1662"/>
    <d v="2025-07-08T08:00:00"/>
    <x v="1"/>
    <s v="Martes"/>
    <x v="6"/>
    <x v="2"/>
    <x v="0"/>
    <x v="0"/>
    <x v="0"/>
    <x v="0"/>
    <n v="26000"/>
    <x v="273"/>
    <n v="66.400000000000006"/>
    <n v="363.8"/>
    <n v="163"/>
    <n v="1"/>
    <x v="3"/>
    <n v="164.56"/>
    <n v="94.25"/>
    <x v="1"/>
    <n v="11.05"/>
    <n v="6.3289999999999997"/>
    <n v="70.31"/>
  </r>
  <r>
    <n v="559"/>
    <d v="2025-07-08T14:00:00"/>
    <x v="2"/>
    <s v="Martes"/>
    <x v="6"/>
    <x v="2"/>
    <x v="0"/>
    <x v="5"/>
    <x v="5"/>
    <x v="5"/>
    <n v="8600"/>
    <x v="177"/>
    <n v="81.099999999999994"/>
    <n v="576.4"/>
    <n v="48"/>
    <n v="0"/>
    <x v="0"/>
    <n v="10.48"/>
    <n v="42.63"/>
    <x v="1"/>
    <n v="-1.95"/>
    <n v="1.2190000000000001"/>
    <n v="0"/>
  </r>
  <r>
    <n v="2031"/>
    <d v="2025-07-08T14:00:00"/>
    <x v="2"/>
    <s v="Martes"/>
    <x v="6"/>
    <x v="2"/>
    <x v="0"/>
    <x v="3"/>
    <x v="3"/>
    <x v="3"/>
    <n v="9800"/>
    <x v="301"/>
    <n v="66"/>
    <n v="956.5"/>
    <n v="71"/>
    <n v="1"/>
    <x v="3"/>
    <n v="21.18"/>
    <n v="0"/>
    <x v="1"/>
    <n v="3.26"/>
    <n v="2.161"/>
    <n v="21.18"/>
  </r>
  <r>
    <n v="927"/>
    <d v="2025-07-08T14:00:00"/>
    <x v="2"/>
    <s v="Martes"/>
    <x v="6"/>
    <x v="2"/>
    <x v="0"/>
    <x v="1"/>
    <x v="1"/>
    <x v="1"/>
    <n v="21000"/>
    <x v="304"/>
    <n v="38.299999999999997"/>
    <n v="910.1"/>
    <n v="426"/>
    <n v="1"/>
    <x v="3"/>
    <n v="228.76"/>
    <n v="180.74"/>
    <x v="1"/>
    <n v="7.45"/>
    <n v="10.893000000000001"/>
    <n v="48.02"/>
  </r>
  <r>
    <n v="1663"/>
    <d v="2025-07-08T14:00:00"/>
    <x v="2"/>
    <s v="Martes"/>
    <x v="6"/>
    <x v="2"/>
    <x v="0"/>
    <x v="0"/>
    <x v="0"/>
    <x v="0"/>
    <n v="26000"/>
    <x v="43"/>
    <n v="49.5"/>
    <n v="872.9"/>
    <n v="180"/>
    <n v="1"/>
    <x v="3"/>
    <n v="171.99"/>
    <n v="243.95"/>
    <x v="1"/>
    <n v="-4.38"/>
    <n v="6.6150000000000002"/>
    <n v="0"/>
  </r>
  <r>
    <n v="1295"/>
    <d v="2025-07-08T14:00:00"/>
    <x v="2"/>
    <s v="Martes"/>
    <x v="6"/>
    <x v="2"/>
    <x v="0"/>
    <x v="2"/>
    <x v="2"/>
    <x v="2"/>
    <n v="17400"/>
    <x v="229"/>
    <n v="57.4"/>
    <m/>
    <n v="1360"/>
    <n v="1"/>
    <x v="3"/>
    <n v="229.93"/>
    <n v="111.79"/>
    <x v="1"/>
    <n v="17.93"/>
    <n v="13.214"/>
    <n v="118.14"/>
  </r>
  <r>
    <n v="191"/>
    <d v="2025-07-08T14:00:00"/>
    <x v="2"/>
    <s v="Martes"/>
    <x v="6"/>
    <x v="2"/>
    <x v="0"/>
    <x v="4"/>
    <x v="4"/>
    <x v="4"/>
    <n v="12500"/>
    <x v="305"/>
    <n v="34.700000000000003"/>
    <n v="950"/>
    <n v="587"/>
    <n v="1"/>
    <x v="3"/>
    <n v="123.43"/>
    <n v="141.72999999999999"/>
    <x v="1"/>
    <n v="-1.1299999999999999"/>
    <n v="9.8740000000000006"/>
    <n v="0"/>
  </r>
  <r>
    <n v="192"/>
    <d v="2025-07-08T20:00:00"/>
    <x v="3"/>
    <s v="Martes"/>
    <x v="6"/>
    <x v="2"/>
    <x v="0"/>
    <x v="4"/>
    <x v="4"/>
    <x v="4"/>
    <n v="12500"/>
    <x v="234"/>
    <n v="46.1"/>
    <n v="50.1"/>
    <n v="42"/>
    <n v="1"/>
    <x v="3"/>
    <n v="42.51"/>
    <n v="7.4"/>
    <x v="2"/>
    <n v="8.09"/>
    <n v="3.4009999999999998"/>
    <n v="35.11"/>
  </r>
  <r>
    <n v="1296"/>
    <d v="2025-07-08T20:00:00"/>
    <x v="3"/>
    <s v="Martes"/>
    <x v="6"/>
    <x v="2"/>
    <x v="0"/>
    <x v="2"/>
    <x v="2"/>
    <x v="2"/>
    <n v="17400"/>
    <x v="248"/>
    <n v="64.400000000000006"/>
    <n v="68.099999999999994"/>
    <n v="1466"/>
    <n v="1"/>
    <x v="3"/>
    <n v="300.27999999999997"/>
    <n v="8.98"/>
    <x v="2"/>
    <n v="69.97"/>
    <n v="17.257000000000001"/>
    <n v="291.3"/>
  </r>
  <r>
    <n v="1664"/>
    <d v="2025-07-08T20:00:00"/>
    <x v="3"/>
    <s v="Martes"/>
    <x v="6"/>
    <x v="2"/>
    <x v="0"/>
    <x v="0"/>
    <x v="0"/>
    <x v="0"/>
    <n v="26000"/>
    <x v="196"/>
    <n v="49.1"/>
    <n v="28"/>
    <n v="174"/>
    <n v="1"/>
    <x v="3"/>
    <n v="269.66000000000003"/>
    <n v="7.62"/>
    <x v="2"/>
    <n v="65.12"/>
    <n v="10.372"/>
    <n v="262.04000000000002"/>
  </r>
  <r>
    <n v="560"/>
    <d v="2025-07-08T20:00:00"/>
    <x v="3"/>
    <s v="Martes"/>
    <x v="6"/>
    <x v="2"/>
    <x v="0"/>
    <x v="5"/>
    <x v="5"/>
    <x v="5"/>
    <n v="8600"/>
    <x v="214"/>
    <n v="57.7"/>
    <n v="86.8"/>
    <n v="10"/>
    <n v="0"/>
    <x v="0"/>
    <n v="12.42"/>
    <n v="6.6"/>
    <x v="2"/>
    <n v="1.42"/>
    <n v="1.444"/>
    <n v="5.82"/>
  </r>
  <r>
    <n v="928"/>
    <d v="2025-07-08T20:00:00"/>
    <x v="3"/>
    <s v="Martes"/>
    <x v="6"/>
    <x v="2"/>
    <x v="0"/>
    <x v="1"/>
    <x v="1"/>
    <x v="1"/>
    <n v="21000"/>
    <x v="243"/>
    <n v="65.5"/>
    <n v="27.1"/>
    <n v="459"/>
    <n v="1"/>
    <x v="3"/>
    <n v="286.23"/>
    <n v="5.43"/>
    <x v="2"/>
    <n v="66.13"/>
    <n v="13.63"/>
    <n v="280.8"/>
  </r>
  <r>
    <n v="2032"/>
    <d v="2025-07-08T20:00:00"/>
    <x v="3"/>
    <s v="Martes"/>
    <x v="6"/>
    <x v="2"/>
    <x v="0"/>
    <x v="3"/>
    <x v="3"/>
    <x v="3"/>
    <n v="9800"/>
    <x v="166"/>
    <n v="70.3"/>
    <n v="65.3"/>
    <n v="302"/>
    <n v="0"/>
    <x v="0"/>
    <n v="95.74"/>
    <n v="0"/>
    <x v="2"/>
    <n v="23.18"/>
    <n v="9.7690000000000001"/>
    <n v="95.74"/>
  </r>
  <r>
    <n v="1297"/>
    <d v="2025-07-12T00:00:00"/>
    <x v="0"/>
    <s v="Sabado"/>
    <x v="6"/>
    <x v="2"/>
    <x v="1"/>
    <x v="2"/>
    <x v="2"/>
    <x v="2"/>
    <n v="17400"/>
    <x v="181"/>
    <n v="62.1"/>
    <n v="0"/>
    <n v="68"/>
    <n v="0"/>
    <x v="0"/>
    <n v="53.14"/>
    <n v="0"/>
    <x v="0"/>
    <n v="5.18"/>
    <n v="3.0539999999999998"/>
    <n v="53.14"/>
  </r>
  <r>
    <n v="561"/>
    <d v="2025-07-12T00:00:00"/>
    <x v="0"/>
    <s v="Sabado"/>
    <x v="6"/>
    <x v="2"/>
    <x v="1"/>
    <x v="5"/>
    <x v="5"/>
    <x v="5"/>
    <n v="8600"/>
    <x v="189"/>
    <n v="76.3"/>
    <n v="0"/>
    <n v="0"/>
    <n v="0"/>
    <x v="0"/>
    <n v="12.33"/>
    <n v="0"/>
    <x v="0"/>
    <n v="1.17"/>
    <n v="1.4339999999999999"/>
    <n v="12.33"/>
  </r>
  <r>
    <n v="929"/>
    <d v="2025-07-12T00:00:00"/>
    <x v="0"/>
    <s v="Sabado"/>
    <x v="6"/>
    <x v="2"/>
    <x v="1"/>
    <x v="1"/>
    <x v="1"/>
    <x v="1"/>
    <n v="21000"/>
    <x v="276"/>
    <n v="43.1"/>
    <n v="0"/>
    <n v="193"/>
    <n v="1"/>
    <x v="3"/>
    <n v="180.61"/>
    <n v="0"/>
    <x v="0"/>
    <n v="17.61"/>
    <n v="8.6"/>
    <n v="180.61"/>
  </r>
  <r>
    <n v="1665"/>
    <d v="2025-07-12T00:00:00"/>
    <x v="0"/>
    <s v="Sabado"/>
    <x v="6"/>
    <x v="2"/>
    <x v="1"/>
    <x v="0"/>
    <x v="0"/>
    <x v="0"/>
    <n v="26000"/>
    <x v="176"/>
    <n v="54.4"/>
    <n v="0"/>
    <n v="25"/>
    <n v="0"/>
    <x v="0"/>
    <n v="70.31"/>
    <n v="0"/>
    <x v="0"/>
    <n v="6.72"/>
    <n v="2.7040000000000002"/>
    <n v="70.31"/>
  </r>
  <r>
    <n v="2033"/>
    <d v="2025-07-12T00:00:00"/>
    <x v="0"/>
    <s v="Sabado"/>
    <x v="6"/>
    <x v="2"/>
    <x v="1"/>
    <x v="3"/>
    <x v="3"/>
    <x v="3"/>
    <n v="9800"/>
    <x v="193"/>
    <n v="52.5"/>
    <n v="0"/>
    <n v="303"/>
    <n v="0"/>
    <x v="0"/>
    <n v="94.93"/>
    <n v="0"/>
    <x v="0"/>
    <m/>
    <n v="9.6869999999999994"/>
    <n v="94.93"/>
  </r>
  <r>
    <n v="193"/>
    <d v="2025-07-12T00:00:00"/>
    <x v="0"/>
    <s v="Sabado"/>
    <x v="6"/>
    <x v="2"/>
    <x v="1"/>
    <x v="4"/>
    <x v="4"/>
    <x v="4"/>
    <n v="12500"/>
    <x v="271"/>
    <n v="56.5"/>
    <n v="0"/>
    <n v="3"/>
    <n v="0"/>
    <x v="0"/>
    <n v="24.19"/>
    <n v="0"/>
    <x v="0"/>
    <n v="2.3199999999999998"/>
    <n v="1.9350000000000001"/>
    <n v="24.19"/>
  </r>
  <r>
    <n v="194"/>
    <d v="2025-07-12T08:00:00"/>
    <x v="1"/>
    <s v="Sabado"/>
    <x v="6"/>
    <x v="2"/>
    <x v="1"/>
    <x v="4"/>
    <x v="4"/>
    <x v="4"/>
    <n v="12500"/>
    <x v="245"/>
    <n v="50"/>
    <n v="436.4"/>
    <n v="9"/>
    <n v="0"/>
    <x v="0"/>
    <m/>
    <n v="67.900000000000006"/>
    <x v="0"/>
    <n v="-2"/>
    <m/>
    <m/>
  </r>
  <r>
    <n v="930"/>
    <d v="2025-07-12T08:00:00"/>
    <x v="1"/>
    <s v="Sabado"/>
    <x v="6"/>
    <x v="2"/>
    <x v="1"/>
    <x v="1"/>
    <x v="1"/>
    <x v="1"/>
    <n v="21000"/>
    <x v="212"/>
    <n v="48.1"/>
    <n v="468.9"/>
    <n v="396"/>
    <n v="1"/>
    <x v="3"/>
    <n v="213.54"/>
    <n v="87.59"/>
    <x v="0"/>
    <n v="12.31"/>
    <n v="10.169"/>
    <n v="125.95"/>
  </r>
  <r>
    <n v="562"/>
    <d v="2025-07-12T08:00:00"/>
    <x v="1"/>
    <s v="Sabado"/>
    <x v="6"/>
    <x v="2"/>
    <x v="1"/>
    <x v="5"/>
    <x v="5"/>
    <x v="5"/>
    <n v="8600"/>
    <x v="163"/>
    <n v="73"/>
    <n v="335.2"/>
    <n v="81"/>
    <n v="0"/>
    <x v="0"/>
    <n v="11.6"/>
    <n v="25.85"/>
    <x v="0"/>
    <n v="-0.56000000000000005"/>
    <n v="1.349"/>
    <n v="0"/>
  </r>
  <r>
    <n v="1298"/>
    <d v="2025-07-12T08:00:00"/>
    <x v="1"/>
    <s v="Sabado"/>
    <x v="6"/>
    <x v="2"/>
    <x v="1"/>
    <x v="2"/>
    <x v="2"/>
    <x v="2"/>
    <n v="17400"/>
    <x v="176"/>
    <n v="79.7"/>
    <n v="339.1"/>
    <n v="90"/>
    <n v="0"/>
    <x v="0"/>
    <n v="38.33"/>
    <n v="44.54"/>
    <x v="0"/>
    <n v="-0.25"/>
    <n v="2.2029999999999998"/>
    <n v="0"/>
  </r>
  <r>
    <n v="1666"/>
    <d v="2025-07-12T08:00:00"/>
    <x v="1"/>
    <s v="Sabado"/>
    <x v="6"/>
    <x v="2"/>
    <x v="1"/>
    <x v="0"/>
    <x v="0"/>
    <x v="0"/>
    <n v="26000"/>
    <x v="246"/>
    <n v="67.400000000000006"/>
    <n v="328.9"/>
    <n v="73"/>
    <n v="1"/>
    <x v="3"/>
    <n v="87.4"/>
    <n v="88.8"/>
    <x v="0"/>
    <n v="-0.06"/>
    <n v="3.3620000000000001"/>
    <n v="0"/>
  </r>
  <r>
    <n v="2034"/>
    <d v="2025-07-12T08:00:00"/>
    <x v="1"/>
    <s v="Sabado"/>
    <x v="6"/>
    <x v="2"/>
    <x v="1"/>
    <x v="3"/>
    <x v="3"/>
    <x v="3"/>
    <n v="9800"/>
    <x v="249"/>
    <n v="70.400000000000006"/>
    <n v="388.9"/>
    <n v="129"/>
    <n v="0"/>
    <x v="0"/>
    <n v="25.81"/>
    <n v="0"/>
    <x v="0"/>
    <n v="2.59"/>
    <n v="2.6339999999999999"/>
    <n v="25.81"/>
  </r>
  <r>
    <n v="1667"/>
    <d v="2025-07-12T14:00:00"/>
    <x v="2"/>
    <s v="Sabado"/>
    <x v="6"/>
    <x v="2"/>
    <x v="1"/>
    <x v="0"/>
    <x v="0"/>
    <x v="0"/>
    <n v="26000"/>
    <x v="282"/>
    <n v="38.6"/>
    <n v="829.9"/>
    <n v="72"/>
    <n v="1"/>
    <x v="3"/>
    <n v="101.78"/>
    <n v="220.57"/>
    <x v="0"/>
    <n v="-4.6500000000000004"/>
    <n v="3.915"/>
    <n v="0"/>
  </r>
  <r>
    <n v="931"/>
    <d v="2025-07-12T14:00:00"/>
    <x v="2"/>
    <s v="Sabado"/>
    <x v="6"/>
    <x v="2"/>
    <x v="1"/>
    <x v="1"/>
    <x v="1"/>
    <x v="1"/>
    <n v="21000"/>
    <x v="284"/>
    <n v="44.2"/>
    <n v="904.1"/>
    <n v="415"/>
    <n v="1"/>
    <x v="3"/>
    <n v="231.33"/>
    <n v="182.83"/>
    <x v="0"/>
    <n v="4.66"/>
    <n v="11.016"/>
    <n v="48.5"/>
  </r>
  <r>
    <n v="2035"/>
    <d v="2025-07-12T14:00:00"/>
    <x v="2"/>
    <s v="Sabado"/>
    <x v="6"/>
    <x v="2"/>
    <x v="1"/>
    <x v="3"/>
    <x v="3"/>
    <x v="3"/>
    <n v="9800"/>
    <x v="303"/>
    <n v="66.099999999999994"/>
    <n v="758.8"/>
    <n v="111"/>
    <n v="1"/>
    <x v="3"/>
    <n v="31.38"/>
    <n v="0"/>
    <x v="0"/>
    <n v="3"/>
    <n v="3.202"/>
    <n v="31.38"/>
  </r>
  <r>
    <n v="563"/>
    <d v="2025-07-12T14:00:00"/>
    <x v="2"/>
    <s v="Sabado"/>
    <x v="6"/>
    <x v="2"/>
    <x v="1"/>
    <x v="5"/>
    <x v="5"/>
    <x v="5"/>
    <n v="8600"/>
    <x v="306"/>
    <n v="67"/>
    <n v="716.9"/>
    <n v="70"/>
    <n v="0"/>
    <x v="0"/>
    <n v="10.36"/>
    <n v="55.5"/>
    <x v="0"/>
    <n v="-1.74"/>
    <n v="1.2050000000000001"/>
    <n v="0"/>
  </r>
  <r>
    <n v="195"/>
    <d v="2025-07-12T14:00:00"/>
    <x v="2"/>
    <s v="Sabado"/>
    <x v="6"/>
    <x v="2"/>
    <x v="1"/>
    <x v="4"/>
    <x v="4"/>
    <x v="4"/>
    <n v="12500"/>
    <x v="299"/>
    <n v="42"/>
    <n v="934.5"/>
    <n v="34"/>
    <n v="0"/>
    <x v="0"/>
    <n v="16.399999999999999"/>
    <n v="139"/>
    <x v="0"/>
    <n v="-4.72"/>
    <n v="1.3120000000000001"/>
    <n v="0"/>
  </r>
  <r>
    <n v="1299"/>
    <d v="2025-07-12T14:00:00"/>
    <x v="2"/>
    <s v="Sabado"/>
    <x v="6"/>
    <x v="2"/>
    <x v="1"/>
    <x v="2"/>
    <x v="2"/>
    <x v="2"/>
    <n v="17400"/>
    <x v="241"/>
    <n v="63.6"/>
    <n v="852.1"/>
    <n v="1536"/>
    <n v="1"/>
    <x v="3"/>
    <n v="250.52"/>
    <n v="101.17"/>
    <x v="0"/>
    <n v="13.81"/>
    <n v="14.398"/>
    <n v="149.35"/>
  </r>
  <r>
    <n v="196"/>
    <d v="2025-07-12T20:00:00"/>
    <x v="3"/>
    <s v="Sabado"/>
    <x v="6"/>
    <x v="2"/>
    <x v="1"/>
    <x v="4"/>
    <x v="4"/>
    <x v="4"/>
    <n v="12500"/>
    <x v="196"/>
    <n v="46.4"/>
    <n v="102.4"/>
    <n v="0"/>
    <n v="0"/>
    <x v="0"/>
    <n v="23.9"/>
    <n v="14.85"/>
    <x v="0"/>
    <n v="0.88"/>
    <n v="1.9119999999999999"/>
    <n v="9.0500000000000007"/>
  </r>
  <r>
    <n v="932"/>
    <d v="2025-07-12T20:00:00"/>
    <x v="3"/>
    <s v="Sabado"/>
    <x v="6"/>
    <x v="2"/>
    <x v="1"/>
    <x v="1"/>
    <x v="1"/>
    <x v="1"/>
    <n v="21000"/>
    <x v="296"/>
    <n v="49.6"/>
    <n v="71"/>
    <n v="403"/>
    <n v="1"/>
    <x v="3"/>
    <n v="289.7"/>
    <n v="14.3"/>
    <x v="0"/>
    <n v="25.47"/>
    <n v="13.795"/>
    <n v="275.39999999999998"/>
  </r>
  <r>
    <n v="1300"/>
    <d v="2025-07-12T20:00:00"/>
    <x v="3"/>
    <s v="Sabado"/>
    <x v="6"/>
    <x v="2"/>
    <x v="1"/>
    <x v="2"/>
    <x v="2"/>
    <x v="2"/>
    <n v="17400"/>
    <x v="307"/>
    <m/>
    <n v="59.8"/>
    <n v="1564"/>
    <n v="1"/>
    <x v="3"/>
    <n v="308.20999999999998"/>
    <n v="7.16"/>
    <x v="0"/>
    <n v="29.89"/>
    <n v="17.713000000000001"/>
    <n v="301.05"/>
  </r>
  <r>
    <n v="564"/>
    <d v="2025-07-12T20:00:00"/>
    <x v="3"/>
    <s v="Sabado"/>
    <x v="6"/>
    <x v="2"/>
    <x v="1"/>
    <x v="5"/>
    <x v="5"/>
    <x v="5"/>
    <n v="8600"/>
    <x v="211"/>
    <n v="72.2"/>
    <n v="45.5"/>
    <n v="0"/>
    <n v="0"/>
    <x v="0"/>
    <n v="12.32"/>
    <n v="3.42"/>
    <x v="0"/>
    <n v="0.88"/>
    <n v="1.4330000000000001"/>
    <n v="8.9"/>
  </r>
  <r>
    <n v="1668"/>
    <d v="2025-07-12T20:00:00"/>
    <x v="3"/>
    <s v="Sabado"/>
    <x v="6"/>
    <x v="2"/>
    <x v="1"/>
    <x v="0"/>
    <x v="0"/>
    <x v="0"/>
    <n v="26000"/>
    <x v="308"/>
    <n v="41.1"/>
    <n v="61.5"/>
    <n v="55"/>
    <n v="1"/>
    <x v="3"/>
    <n v="154.06"/>
    <n v="14.97"/>
    <x v="0"/>
    <n v="13.6"/>
    <n v="5.9249999999999998"/>
    <n v="139.09"/>
  </r>
  <r>
    <n v="2036"/>
    <d v="2025-07-12T20:00:00"/>
    <x v="3"/>
    <s v="Sabado"/>
    <x v="6"/>
    <x v="2"/>
    <x v="1"/>
    <x v="3"/>
    <x v="3"/>
    <x v="3"/>
    <n v="9800"/>
    <x v="191"/>
    <n v="60.3"/>
    <n v="75.7"/>
    <n v="325"/>
    <n v="1"/>
    <x v="2"/>
    <n v="97.13"/>
    <n v="0"/>
    <x v="0"/>
    <n v="9.52"/>
    <n v="9.9109999999999996"/>
    <n v="97.13"/>
  </r>
  <r>
    <n v="2037"/>
    <d v="2025-07-16T00:00:00"/>
    <x v="0"/>
    <s v="Miercoles"/>
    <x v="6"/>
    <x v="2"/>
    <x v="0"/>
    <x v="3"/>
    <x v="3"/>
    <x v="3"/>
    <n v="9800"/>
    <x v="174"/>
    <n v="75.7"/>
    <n v="0"/>
    <n v="307"/>
    <n v="0"/>
    <x v="0"/>
    <n v="93.9"/>
    <n v="0"/>
    <x v="0"/>
    <n v="9.07"/>
    <n v="9.5820000000000007"/>
    <n v="93.9"/>
  </r>
  <r>
    <n v="933"/>
    <d v="2025-07-16T00:00:00"/>
    <x v="0"/>
    <s v="Miercoles"/>
    <x v="6"/>
    <x v="2"/>
    <x v="0"/>
    <x v="1"/>
    <x v="1"/>
    <x v="1"/>
    <n v="21000"/>
    <x v="176"/>
    <m/>
    <n v="0"/>
    <n v="220"/>
    <n v="0"/>
    <x v="0"/>
    <n v="161.96"/>
    <n v="0"/>
    <x v="0"/>
    <n v="15.87"/>
    <n v="7.7119999999999997"/>
    <n v="161.96"/>
  </r>
  <r>
    <n v="1669"/>
    <d v="2025-07-16T00:00:00"/>
    <x v="0"/>
    <s v="Miercoles"/>
    <x v="6"/>
    <x v="2"/>
    <x v="0"/>
    <x v="0"/>
    <x v="0"/>
    <x v="0"/>
    <n v="26000"/>
    <x v="221"/>
    <n v="69.900000000000006"/>
    <n v="0"/>
    <n v="34"/>
    <n v="0"/>
    <x v="0"/>
    <n v="102.07"/>
    <n v="0"/>
    <x v="0"/>
    <m/>
    <n v="3.9260000000000002"/>
    <n v="102.07"/>
  </r>
  <r>
    <n v="1301"/>
    <d v="2025-07-16T00:00:00"/>
    <x v="0"/>
    <s v="Miercoles"/>
    <x v="6"/>
    <x v="2"/>
    <x v="0"/>
    <x v="2"/>
    <x v="2"/>
    <x v="2"/>
    <n v="17400"/>
    <x v="264"/>
    <n v="71.8"/>
    <n v="0"/>
    <n v="23"/>
    <n v="0"/>
    <x v="0"/>
    <n v="48.2"/>
    <n v="0"/>
    <x v="0"/>
    <n v="4.67"/>
    <n v="2.77"/>
    <n v="48.2"/>
  </r>
  <r>
    <n v="565"/>
    <d v="2025-07-16T00:00:00"/>
    <x v="0"/>
    <s v="Miercoles"/>
    <x v="6"/>
    <x v="2"/>
    <x v="0"/>
    <x v="5"/>
    <x v="5"/>
    <x v="5"/>
    <n v="8600"/>
    <x v="15"/>
    <n v="86.7"/>
    <n v="0"/>
    <n v="0"/>
    <n v="0"/>
    <x v="0"/>
    <n v="11.42"/>
    <n v="0"/>
    <x v="0"/>
    <n v="1.1299999999999999"/>
    <n v="1.3280000000000001"/>
    <n v="11.42"/>
  </r>
  <r>
    <n v="197"/>
    <d v="2025-07-16T00:00:00"/>
    <x v="0"/>
    <s v="Miercoles"/>
    <x v="6"/>
    <x v="2"/>
    <x v="0"/>
    <x v="4"/>
    <x v="4"/>
    <x v="4"/>
    <n v="12500"/>
    <x v="56"/>
    <n v="64.599999999999994"/>
    <n v="0"/>
    <n v="49"/>
    <n v="0"/>
    <x v="0"/>
    <n v="25.66"/>
    <n v="0"/>
    <x v="0"/>
    <n v="2.4900000000000002"/>
    <n v="2.0529999999999999"/>
    <n v="25.66"/>
  </r>
  <r>
    <n v="566"/>
    <d v="2025-07-16T08:00:00"/>
    <x v="1"/>
    <s v="Miercoles"/>
    <x v="6"/>
    <x v="2"/>
    <x v="0"/>
    <x v="5"/>
    <x v="5"/>
    <x v="5"/>
    <n v="8600"/>
    <x v="191"/>
    <n v="92.1"/>
    <n v="350.1"/>
    <n v="22"/>
    <n v="0"/>
    <x v="0"/>
    <n v="8.74"/>
    <n v="24.74"/>
    <x v="1"/>
    <m/>
    <n v="1.016"/>
    <n v="0"/>
  </r>
  <r>
    <n v="198"/>
    <d v="2025-07-16T08:00:00"/>
    <x v="1"/>
    <s v="Miercoles"/>
    <x v="6"/>
    <x v="2"/>
    <x v="0"/>
    <x v="4"/>
    <x v="4"/>
    <x v="4"/>
    <n v="12500"/>
    <x v="238"/>
    <n v="48.9"/>
    <n v="384.5"/>
    <n v="315"/>
    <n v="1"/>
    <x v="3"/>
    <n v="73.290000000000006"/>
    <n v="54.35"/>
    <x v="1"/>
    <n v="3.01"/>
    <n v="5.8630000000000004"/>
    <n v="18.940000000000001"/>
  </r>
  <r>
    <n v="1302"/>
    <d v="2025-07-16T08:00:00"/>
    <x v="1"/>
    <s v="Miercoles"/>
    <x v="6"/>
    <x v="2"/>
    <x v="0"/>
    <x v="2"/>
    <x v="2"/>
    <x v="2"/>
    <n v="17400"/>
    <x v="218"/>
    <n v="61.3"/>
    <n v="456.9"/>
    <n v="76"/>
    <n v="0"/>
    <x v="0"/>
    <n v="35.68"/>
    <n v="61.85"/>
    <x v="1"/>
    <n v="-1.65"/>
    <n v="2.0510000000000002"/>
    <n v="0"/>
  </r>
  <r>
    <n v="934"/>
    <d v="2025-07-16T08:00:00"/>
    <x v="1"/>
    <s v="Miercoles"/>
    <x v="6"/>
    <x v="2"/>
    <x v="0"/>
    <x v="1"/>
    <x v="1"/>
    <x v="1"/>
    <n v="21000"/>
    <x v="246"/>
    <n v="45.4"/>
    <n v="417.1"/>
    <n v="380"/>
    <n v="1"/>
    <x v="3"/>
    <n v="181.01"/>
    <n v="85.8"/>
    <x v="1"/>
    <n v="15.24"/>
    <n v="8.6199999999999992"/>
    <n v="95.21"/>
  </r>
  <r>
    <n v="2038"/>
    <d v="2025-07-16T08:00:00"/>
    <x v="1"/>
    <s v="Miercoles"/>
    <x v="6"/>
    <x v="2"/>
    <x v="0"/>
    <x v="3"/>
    <x v="3"/>
    <x v="3"/>
    <n v="9800"/>
    <x v="201"/>
    <n v="65.2"/>
    <n v="412"/>
    <n v="58"/>
    <n v="1"/>
    <x v="2"/>
    <n v="17.649999999999999"/>
    <n v="0"/>
    <x v="1"/>
    <n v="2.76"/>
    <n v="1.8009999999999999"/>
    <n v="17.649999999999999"/>
  </r>
  <r>
    <n v="1670"/>
    <d v="2025-07-16T08:00:00"/>
    <x v="1"/>
    <s v="Miercoles"/>
    <x v="6"/>
    <x v="2"/>
    <x v="0"/>
    <x v="0"/>
    <x v="0"/>
    <x v="0"/>
    <n v="26000"/>
    <x v="209"/>
    <n v="53.3"/>
    <m/>
    <n v="166"/>
    <n v="1"/>
    <x v="2"/>
    <n v="152.86000000000001"/>
    <n v="104.56"/>
    <x v="1"/>
    <n v="7.54"/>
    <n v="5.8789999999999996"/>
    <n v="48.3"/>
  </r>
  <r>
    <n v="935"/>
    <d v="2025-07-16T14:00:00"/>
    <x v="2"/>
    <s v="Miercoles"/>
    <x v="6"/>
    <x v="2"/>
    <x v="0"/>
    <x v="1"/>
    <x v="1"/>
    <x v="1"/>
    <n v="21000"/>
    <x v="43"/>
    <n v="35.6"/>
    <n v="852.4"/>
    <n v="380"/>
    <n v="1"/>
    <x v="3"/>
    <n v="235.28"/>
    <n v="161.77000000000001"/>
    <x v="1"/>
    <n v="11.76"/>
    <n v="11.204000000000001"/>
    <n v="73.510000000000005"/>
  </r>
  <r>
    <n v="199"/>
    <d v="2025-07-16T14:00:00"/>
    <x v="2"/>
    <s v="Miercoles"/>
    <x v="6"/>
    <x v="2"/>
    <x v="0"/>
    <x v="4"/>
    <x v="4"/>
    <x v="4"/>
    <n v="12500"/>
    <x v="268"/>
    <n v="42.5"/>
    <n v="719.9"/>
    <n v="560"/>
    <n v="1"/>
    <x v="3"/>
    <n v="114.93"/>
    <n v="111.49"/>
    <x v="1"/>
    <n v="0.53"/>
    <n v="9.1940000000000008"/>
    <n v="3.44"/>
  </r>
  <r>
    <n v="567"/>
    <d v="2025-07-16T14:00:00"/>
    <x v="2"/>
    <s v="Miercoles"/>
    <x v="6"/>
    <x v="2"/>
    <x v="0"/>
    <x v="5"/>
    <x v="5"/>
    <x v="5"/>
    <n v="8600"/>
    <x v="202"/>
    <n v="74"/>
    <n v="779.7"/>
    <n v="41"/>
    <n v="0"/>
    <x v="0"/>
    <n v="10.11"/>
    <n v="63.22"/>
    <x v="1"/>
    <n v="-3.3"/>
    <n v="1.1759999999999999"/>
    <n v="0"/>
  </r>
  <r>
    <n v="1671"/>
    <d v="2025-07-16T14:00:00"/>
    <x v="2"/>
    <s v="Miercoles"/>
    <x v="6"/>
    <x v="2"/>
    <x v="0"/>
    <x v="0"/>
    <x v="0"/>
    <x v="0"/>
    <n v="26000"/>
    <x v="309"/>
    <n v="40.5"/>
    <n v="901"/>
    <n v="149"/>
    <n v="1"/>
    <x v="3"/>
    <n v="189.13"/>
    <n v="234.86"/>
    <x v="1"/>
    <n v="-2.79"/>
    <n v="7.274"/>
    <n v="0"/>
  </r>
  <r>
    <n v="2039"/>
    <d v="2025-07-16T14:00:00"/>
    <x v="2"/>
    <s v="Miercoles"/>
    <x v="6"/>
    <x v="2"/>
    <x v="0"/>
    <x v="3"/>
    <x v="3"/>
    <x v="3"/>
    <n v="9800"/>
    <x v="263"/>
    <n v="75.2"/>
    <n v="749.3"/>
    <n v="66"/>
    <n v="1"/>
    <x v="3"/>
    <n v="21.44"/>
    <n v="0"/>
    <x v="1"/>
    <n v="3.25"/>
    <n v="2.1880000000000002"/>
    <n v="21.44"/>
  </r>
  <r>
    <n v="1303"/>
    <d v="2025-07-16T14:00:00"/>
    <x v="2"/>
    <s v="Miercoles"/>
    <x v="6"/>
    <x v="2"/>
    <x v="0"/>
    <x v="2"/>
    <x v="2"/>
    <x v="2"/>
    <n v="17400"/>
    <x v="282"/>
    <n v="58.9"/>
    <n v="954"/>
    <n v="1293"/>
    <n v="1"/>
    <x v="3"/>
    <n v="215.19"/>
    <n v="120.89"/>
    <x v="1"/>
    <n v="14.57"/>
    <n v="12.367000000000001"/>
    <n v="94.3"/>
  </r>
  <r>
    <n v="1672"/>
    <d v="2025-07-16T20:00:00"/>
    <x v="3"/>
    <s v="Miercoles"/>
    <x v="6"/>
    <x v="2"/>
    <x v="0"/>
    <x v="0"/>
    <x v="0"/>
    <x v="0"/>
    <n v="26000"/>
    <x v="257"/>
    <n v="51.1"/>
    <n v="72"/>
    <n v="168"/>
    <n v="1"/>
    <x v="3"/>
    <n v="271.58"/>
    <n v="20.38"/>
    <x v="2"/>
    <n v="59.41"/>
    <n v="10.445"/>
    <n v="251.2"/>
  </r>
  <r>
    <n v="1304"/>
    <d v="2025-07-16T20:00:00"/>
    <x v="3"/>
    <s v="Miercoles"/>
    <x v="6"/>
    <x v="2"/>
    <x v="0"/>
    <x v="2"/>
    <x v="2"/>
    <x v="2"/>
    <n v="17400"/>
    <x v="234"/>
    <n v="61.2"/>
    <n v="73.599999999999994"/>
    <n v="1449"/>
    <n v="1"/>
    <x v="3"/>
    <m/>
    <n v="9.61"/>
    <x v="2"/>
    <n v="65.86"/>
    <m/>
    <m/>
  </r>
  <r>
    <n v="568"/>
    <d v="2025-07-16T20:00:00"/>
    <x v="3"/>
    <s v="Miercoles"/>
    <x v="6"/>
    <x v="2"/>
    <x v="0"/>
    <x v="5"/>
    <x v="5"/>
    <x v="5"/>
    <n v="8600"/>
    <x v="214"/>
    <n v="82.7"/>
    <n v="50.2"/>
    <n v="0"/>
    <n v="0"/>
    <x v="0"/>
    <n v="13.01"/>
    <n v="3.48"/>
    <x v="2"/>
    <n v="2.2400000000000002"/>
    <n v="1.5129999999999999"/>
    <n v="9.5299999999999994"/>
  </r>
  <r>
    <n v="200"/>
    <d v="2025-07-16T20:00:00"/>
    <x v="3"/>
    <s v="Miercoles"/>
    <x v="6"/>
    <x v="2"/>
    <x v="0"/>
    <x v="4"/>
    <x v="4"/>
    <x v="4"/>
    <n v="12500"/>
    <x v="277"/>
    <n v="61.6"/>
    <n v="68.900000000000006"/>
    <n v="70"/>
    <n v="1"/>
    <x v="3"/>
    <n v="44.63"/>
    <n v="11.19"/>
    <x v="2"/>
    <n v="7.89"/>
    <n v="3.57"/>
    <n v="33.44"/>
  </r>
  <r>
    <n v="936"/>
    <d v="2025-07-16T20:00:00"/>
    <x v="3"/>
    <s v="Miercoles"/>
    <x v="6"/>
    <x v="2"/>
    <x v="0"/>
    <x v="1"/>
    <x v="1"/>
    <x v="1"/>
    <n v="21000"/>
    <x v="243"/>
    <n v="44"/>
    <n v="53.5"/>
    <n v="407"/>
    <n v="1"/>
    <x v="3"/>
    <n v="287.83999999999997"/>
    <n v="10.27"/>
    <x v="2"/>
    <n v="67.31"/>
    <n v="13.707000000000001"/>
    <n v="277.57"/>
  </r>
  <r>
    <n v="2040"/>
    <d v="2025-07-16T20:00:00"/>
    <x v="3"/>
    <s v="Miercoles"/>
    <x v="6"/>
    <x v="2"/>
    <x v="0"/>
    <x v="3"/>
    <x v="3"/>
    <x v="3"/>
    <n v="9800"/>
    <x v="273"/>
    <n v="66.2"/>
    <n v="36.5"/>
    <n v="304"/>
    <n v="1"/>
    <x v="3"/>
    <n v="95.99"/>
    <n v="0"/>
    <x v="2"/>
    <n v="22.83"/>
    <n v="9.7949999999999999"/>
    <n v="95.99"/>
  </r>
  <r>
    <n v="1673"/>
    <d v="2025-07-20T00:00:00"/>
    <x v="0"/>
    <s v="Domingo"/>
    <x v="6"/>
    <x v="2"/>
    <x v="1"/>
    <x v="0"/>
    <x v="0"/>
    <x v="0"/>
    <n v="26000"/>
    <x v="196"/>
    <n v="57.6"/>
    <n v="0"/>
    <n v="20"/>
    <n v="1"/>
    <x v="3"/>
    <m/>
    <n v="0"/>
    <x v="0"/>
    <n v="8.19"/>
    <m/>
    <m/>
  </r>
  <r>
    <n v="2041"/>
    <d v="2025-07-20T00:00:00"/>
    <x v="0"/>
    <s v="Domingo"/>
    <x v="6"/>
    <x v="2"/>
    <x v="1"/>
    <x v="3"/>
    <x v="3"/>
    <x v="3"/>
    <n v="9800"/>
    <x v="171"/>
    <n v="74"/>
    <n v="0"/>
    <n v="299"/>
    <n v="0"/>
    <x v="0"/>
    <n v="96.02"/>
    <n v="0"/>
    <x v="0"/>
    <n v="9.66"/>
    <n v="9.798"/>
    <n v="96.02"/>
  </r>
  <r>
    <n v="201"/>
    <d v="2025-07-20T00:00:00"/>
    <x v="0"/>
    <s v="Domingo"/>
    <x v="6"/>
    <x v="2"/>
    <x v="1"/>
    <x v="4"/>
    <x v="4"/>
    <x v="4"/>
    <n v="12500"/>
    <x v="70"/>
    <n v="53.8"/>
    <n v="0"/>
    <n v="1"/>
    <n v="0"/>
    <x v="0"/>
    <n v="23.81"/>
    <n v="0"/>
    <x v="0"/>
    <n v="2.36"/>
    <n v="1.905"/>
    <n v="23.81"/>
  </r>
  <r>
    <n v="569"/>
    <d v="2025-07-20T00:00:00"/>
    <x v="0"/>
    <s v="Domingo"/>
    <x v="6"/>
    <x v="2"/>
    <x v="1"/>
    <x v="5"/>
    <x v="5"/>
    <x v="5"/>
    <n v="8600"/>
    <x v="136"/>
    <n v="83.2"/>
    <n v="0"/>
    <n v="68"/>
    <n v="0"/>
    <x v="0"/>
    <n v="16.059999999999999"/>
    <n v="0"/>
    <x v="0"/>
    <n v="1.57"/>
    <n v="1.867"/>
    <n v="16.059999999999999"/>
  </r>
  <r>
    <n v="937"/>
    <d v="2025-07-20T00:00:00"/>
    <x v="0"/>
    <s v="Domingo"/>
    <x v="6"/>
    <x v="2"/>
    <x v="1"/>
    <x v="1"/>
    <x v="1"/>
    <x v="1"/>
    <n v="21000"/>
    <x v="201"/>
    <n v="58.9"/>
    <n v="0"/>
    <n v="259"/>
    <n v="1"/>
    <x v="2"/>
    <n v="161.46"/>
    <n v="0"/>
    <x v="0"/>
    <n v="15.69"/>
    <n v="7.6890000000000001"/>
    <n v="161.46"/>
  </r>
  <r>
    <n v="1305"/>
    <d v="2025-07-20T00:00:00"/>
    <x v="0"/>
    <s v="Domingo"/>
    <x v="6"/>
    <x v="2"/>
    <x v="1"/>
    <x v="2"/>
    <x v="2"/>
    <x v="2"/>
    <n v="17400"/>
    <x v="236"/>
    <m/>
    <n v="0"/>
    <n v="85"/>
    <n v="0"/>
    <x v="0"/>
    <n v="52.22"/>
    <n v="0"/>
    <x v="0"/>
    <n v="5.31"/>
    <n v="3.0009999999999999"/>
    <n v="52.22"/>
  </r>
  <r>
    <n v="2042"/>
    <d v="2025-07-20T08:00:00"/>
    <x v="1"/>
    <s v="Domingo"/>
    <x v="6"/>
    <x v="2"/>
    <x v="1"/>
    <x v="3"/>
    <x v="3"/>
    <x v="3"/>
    <n v="9800"/>
    <x v="199"/>
    <m/>
    <n v="356.2"/>
    <n v="107"/>
    <n v="0"/>
    <x v="0"/>
    <n v="25.98"/>
    <n v="0"/>
    <x v="0"/>
    <n v="2.5299999999999998"/>
    <n v="2.6509999999999998"/>
    <n v="25.98"/>
  </r>
  <r>
    <n v="202"/>
    <d v="2025-07-20T08:00:00"/>
    <x v="1"/>
    <s v="Domingo"/>
    <x v="6"/>
    <x v="2"/>
    <x v="1"/>
    <x v="4"/>
    <x v="4"/>
    <x v="4"/>
    <n v="12500"/>
    <x v="259"/>
    <n v="57.9"/>
    <n v="409.8"/>
    <n v="0"/>
    <n v="0"/>
    <x v="0"/>
    <n v="15.96"/>
    <n v="66.290000000000006"/>
    <x v="0"/>
    <n v="-1.99"/>
    <n v="1.2769999999999999"/>
    <n v="0"/>
  </r>
  <r>
    <n v="938"/>
    <d v="2025-07-20T08:00:00"/>
    <x v="1"/>
    <s v="Domingo"/>
    <x v="6"/>
    <x v="2"/>
    <x v="1"/>
    <x v="1"/>
    <x v="1"/>
    <x v="1"/>
    <n v="21000"/>
    <x v="280"/>
    <n v="51.8"/>
    <n v="410.3"/>
    <n v="424"/>
    <n v="1"/>
    <x v="3"/>
    <n v="208"/>
    <n v="82.61"/>
    <x v="0"/>
    <n v="12.29"/>
    <n v="9.9049999999999994"/>
    <n v="125.39"/>
  </r>
  <r>
    <n v="1674"/>
    <d v="2025-07-20T08:00:00"/>
    <x v="1"/>
    <s v="Domingo"/>
    <x v="6"/>
    <x v="2"/>
    <x v="1"/>
    <x v="0"/>
    <x v="0"/>
    <x v="0"/>
    <n v="26000"/>
    <x v="273"/>
    <n v="45.5"/>
    <n v="438.5"/>
    <n v="80"/>
    <n v="1"/>
    <x v="3"/>
    <n v="93.4"/>
    <n v="120.27"/>
    <x v="0"/>
    <n v="-1.04"/>
    <n v="3.5920000000000001"/>
    <n v="0"/>
  </r>
  <r>
    <n v="1306"/>
    <d v="2025-07-20T08:00:00"/>
    <x v="1"/>
    <s v="Domingo"/>
    <x v="6"/>
    <x v="2"/>
    <x v="1"/>
    <x v="2"/>
    <x v="2"/>
    <x v="2"/>
    <n v="17400"/>
    <x v="277"/>
    <n v="47.9"/>
    <n v="452.8"/>
    <n v="3"/>
    <n v="1"/>
    <x v="3"/>
    <n v="44.43"/>
    <n v="54.1"/>
    <x v="0"/>
    <n v="-0.39"/>
    <n v="2.5529999999999999"/>
    <n v="0"/>
  </r>
  <r>
    <n v="570"/>
    <d v="2025-07-20T08:00:00"/>
    <x v="1"/>
    <s v="Domingo"/>
    <x v="6"/>
    <x v="2"/>
    <x v="1"/>
    <x v="5"/>
    <x v="5"/>
    <x v="5"/>
    <n v="8600"/>
    <x v="189"/>
    <n v="74.8"/>
    <n v="301.8"/>
    <n v="10"/>
    <n v="0"/>
    <x v="0"/>
    <n v="8.65"/>
    <n v="22.51"/>
    <x v="0"/>
    <n v="-0.54"/>
    <n v="1.006"/>
    <n v="0"/>
  </r>
  <r>
    <n v="939"/>
    <d v="2025-07-20T14:00:00"/>
    <x v="2"/>
    <s v="Domingo"/>
    <x v="6"/>
    <x v="2"/>
    <x v="1"/>
    <x v="1"/>
    <x v="1"/>
    <x v="1"/>
    <n v="21000"/>
    <x v="261"/>
    <n v="41.7"/>
    <n v="905.3"/>
    <n v="384"/>
    <n v="1"/>
    <x v="3"/>
    <n v="214.31"/>
    <n v="177.14"/>
    <x v="0"/>
    <n v="3.67"/>
    <n v="10.205"/>
    <n v="37.17"/>
  </r>
  <r>
    <n v="2043"/>
    <d v="2025-07-20T14:00:00"/>
    <x v="2"/>
    <s v="Domingo"/>
    <x v="6"/>
    <x v="2"/>
    <x v="1"/>
    <x v="3"/>
    <x v="3"/>
    <x v="3"/>
    <n v="9800"/>
    <x v="310"/>
    <m/>
    <n v="715.7"/>
    <n v="134"/>
    <n v="1"/>
    <x v="3"/>
    <n v="28.91"/>
    <n v="0"/>
    <x v="0"/>
    <n v="2.82"/>
    <n v="2.95"/>
    <n v="28.91"/>
  </r>
  <r>
    <n v="571"/>
    <d v="2025-07-20T14:00:00"/>
    <x v="2"/>
    <s v="Domingo"/>
    <x v="6"/>
    <x v="2"/>
    <x v="1"/>
    <x v="5"/>
    <x v="5"/>
    <x v="5"/>
    <n v="8600"/>
    <x v="231"/>
    <n v="67.3"/>
    <n v="736.9"/>
    <n v="0"/>
    <n v="0"/>
    <x v="0"/>
    <n v="8.43"/>
    <n v="54.51"/>
    <x v="0"/>
    <n v="-1.78"/>
    <n v="0.98"/>
    <n v="0"/>
  </r>
  <r>
    <n v="1307"/>
    <d v="2025-07-20T14:00:00"/>
    <x v="2"/>
    <s v="Domingo"/>
    <x v="6"/>
    <x v="2"/>
    <x v="1"/>
    <x v="2"/>
    <x v="2"/>
    <x v="2"/>
    <n v="17400"/>
    <x v="207"/>
    <n v="64.099999999999994"/>
    <n v="799.2"/>
    <n v="1526"/>
    <n v="1"/>
    <x v="3"/>
    <n v="259.89"/>
    <n v="98.58"/>
    <x v="0"/>
    <n v="16.16"/>
    <n v="14.936"/>
    <n v="161.31"/>
  </r>
  <r>
    <n v="203"/>
    <d v="2025-07-20T14:00:00"/>
    <x v="2"/>
    <s v="Domingo"/>
    <x v="6"/>
    <x v="2"/>
    <x v="1"/>
    <x v="4"/>
    <x v="4"/>
    <x v="4"/>
    <n v="12500"/>
    <x v="286"/>
    <n v="45.6"/>
    <n v="895.6"/>
    <n v="6"/>
    <n v="0"/>
    <x v="0"/>
    <n v="17.489999999999998"/>
    <n v="120.68"/>
    <x v="0"/>
    <m/>
    <n v="1.399"/>
    <n v="0"/>
  </r>
  <r>
    <n v="1675"/>
    <d v="2025-07-20T14:00:00"/>
    <x v="2"/>
    <s v="Domingo"/>
    <x v="6"/>
    <x v="2"/>
    <x v="1"/>
    <x v="0"/>
    <x v="0"/>
    <x v="0"/>
    <n v="26000"/>
    <x v="311"/>
    <n v="45.8"/>
    <n v="832.8"/>
    <n v="82"/>
    <n v="1"/>
    <x v="3"/>
    <m/>
    <n v="196.79"/>
    <x v="0"/>
    <n v="-3.09"/>
    <m/>
    <m/>
  </r>
  <r>
    <n v="940"/>
    <d v="2025-07-20T20:00:00"/>
    <x v="3"/>
    <s v="Domingo"/>
    <x v="6"/>
    <x v="2"/>
    <x v="1"/>
    <x v="1"/>
    <x v="1"/>
    <x v="1"/>
    <n v="21000"/>
    <x v="276"/>
    <n v="39.299999999999997"/>
    <n v="26.3"/>
    <n v="380"/>
    <n v="1"/>
    <x v="3"/>
    <n v="320.55"/>
    <n v="5.41"/>
    <x v="0"/>
    <n v="30.54"/>
    <n v="15.263999999999999"/>
    <n v="315.14"/>
  </r>
  <r>
    <n v="572"/>
    <d v="2025-07-20T20:00:00"/>
    <x v="3"/>
    <s v="Domingo"/>
    <x v="6"/>
    <x v="2"/>
    <x v="1"/>
    <x v="5"/>
    <x v="5"/>
    <x v="5"/>
    <n v="8600"/>
    <x v="221"/>
    <n v="71.7"/>
    <n v="52.7"/>
    <n v="2"/>
    <n v="0"/>
    <x v="0"/>
    <n v="13.21"/>
    <n v="3.64"/>
    <x v="0"/>
    <n v="0.97"/>
    <n v="1.536"/>
    <n v="9.57"/>
  </r>
  <r>
    <n v="1676"/>
    <d v="2025-07-20T20:00:00"/>
    <x v="3"/>
    <s v="Domingo"/>
    <x v="6"/>
    <x v="2"/>
    <x v="1"/>
    <x v="0"/>
    <x v="0"/>
    <x v="0"/>
    <n v="26000"/>
    <x v="241"/>
    <n v="42"/>
    <n v="67"/>
    <n v="71"/>
    <n v="1"/>
    <x v="3"/>
    <n v="152.77000000000001"/>
    <n v="18.86"/>
    <x v="0"/>
    <n v="13.71"/>
    <n v="5.8760000000000003"/>
    <n v="133.91"/>
  </r>
  <r>
    <n v="2044"/>
    <d v="2025-07-20T20:00:00"/>
    <x v="3"/>
    <s v="Domingo"/>
    <x v="6"/>
    <x v="2"/>
    <x v="1"/>
    <x v="3"/>
    <x v="3"/>
    <x v="3"/>
    <n v="9800"/>
    <x v="214"/>
    <n v="76.400000000000006"/>
    <n v="73.3"/>
    <m/>
    <n v="1"/>
    <x v="2"/>
    <n v="96.22"/>
    <n v="0"/>
    <x v="0"/>
    <n v="9.7100000000000009"/>
    <n v="9.8179999999999996"/>
    <n v="96.22"/>
  </r>
  <r>
    <n v="1308"/>
    <d v="2025-07-20T20:00:00"/>
    <x v="3"/>
    <s v="Domingo"/>
    <x v="6"/>
    <x v="2"/>
    <x v="1"/>
    <x v="2"/>
    <x v="2"/>
    <x v="2"/>
    <n v="17400"/>
    <x v="194"/>
    <n v="59.2"/>
    <n v="44.9"/>
    <n v="1455"/>
    <n v="1"/>
    <x v="3"/>
    <n v="338.44"/>
    <n v="5.95"/>
    <x v="0"/>
    <n v="32.65"/>
    <n v="19.451000000000001"/>
    <n v="332.49"/>
  </r>
  <r>
    <n v="204"/>
    <d v="2025-07-20T20:00:00"/>
    <x v="3"/>
    <s v="Domingo"/>
    <x v="6"/>
    <x v="2"/>
    <x v="1"/>
    <x v="4"/>
    <x v="4"/>
    <x v="4"/>
    <n v="12500"/>
    <x v="191"/>
    <n v="47.9"/>
    <n v="1.3"/>
    <n v="21"/>
    <n v="0"/>
    <x v="0"/>
    <n v="26.56"/>
    <n v="0.22"/>
    <x v="0"/>
    <n v="2.5499999999999998"/>
    <n v="2.125"/>
    <n v="26.34"/>
  </r>
  <r>
    <n v="1677"/>
    <d v="2025-07-24T00:00:00"/>
    <x v="0"/>
    <s v="Jueves"/>
    <x v="6"/>
    <x v="2"/>
    <x v="0"/>
    <x v="0"/>
    <x v="0"/>
    <x v="0"/>
    <n v="26000"/>
    <x v="192"/>
    <n v="58.6"/>
    <n v="0"/>
    <n v="64"/>
    <n v="0"/>
    <x v="0"/>
    <n v="112.44"/>
    <n v="0"/>
    <x v="0"/>
    <n v="11.14"/>
    <n v="4.3250000000000002"/>
    <n v="112.44"/>
  </r>
  <r>
    <n v="941"/>
    <d v="2025-07-24T00:00:00"/>
    <x v="0"/>
    <s v="Jueves"/>
    <x v="6"/>
    <x v="2"/>
    <x v="0"/>
    <x v="1"/>
    <x v="1"/>
    <x v="1"/>
    <n v="21000"/>
    <x v="271"/>
    <n v="49.1"/>
    <n v="0"/>
    <n v="216"/>
    <n v="0"/>
    <x v="0"/>
    <n v="169.67"/>
    <n v="0"/>
    <x v="0"/>
    <n v="17.32"/>
    <n v="8.08"/>
    <n v="169.67"/>
  </r>
  <r>
    <n v="2045"/>
    <d v="2025-07-24T00:00:00"/>
    <x v="0"/>
    <s v="Jueves"/>
    <x v="6"/>
    <x v="2"/>
    <x v="0"/>
    <x v="3"/>
    <x v="3"/>
    <x v="3"/>
    <n v="9800"/>
    <x v="271"/>
    <n v="77.3"/>
    <n v="0"/>
    <n v="282"/>
    <n v="0"/>
    <x v="0"/>
    <n v="100.21"/>
    <n v="0"/>
    <x v="0"/>
    <n v="9.68"/>
    <n v="10.226000000000001"/>
    <n v="100.21"/>
  </r>
  <r>
    <n v="205"/>
    <d v="2025-07-24T00:00:00"/>
    <x v="0"/>
    <s v="Jueves"/>
    <x v="6"/>
    <x v="2"/>
    <x v="0"/>
    <x v="4"/>
    <x v="4"/>
    <x v="4"/>
    <n v="12500"/>
    <x v="200"/>
    <n v="55.1"/>
    <n v="0"/>
    <n v="52"/>
    <n v="0"/>
    <x v="0"/>
    <n v="25.85"/>
    <n v="0"/>
    <x v="0"/>
    <n v="2.46"/>
    <n v="2.0680000000000001"/>
    <n v="25.85"/>
  </r>
  <r>
    <n v="1309"/>
    <d v="2025-07-24T00:00:00"/>
    <x v="0"/>
    <s v="Jueves"/>
    <x v="6"/>
    <x v="2"/>
    <x v="0"/>
    <x v="2"/>
    <x v="2"/>
    <x v="2"/>
    <n v="17400"/>
    <x v="176"/>
    <n v="58.6"/>
    <n v="0"/>
    <n v="0"/>
    <n v="0"/>
    <x v="0"/>
    <n v="43.4"/>
    <n v="0"/>
    <x v="0"/>
    <n v="4.09"/>
    <n v="2.4940000000000002"/>
    <n v="43.4"/>
  </r>
  <r>
    <n v="573"/>
    <d v="2025-07-24T00:00:00"/>
    <x v="0"/>
    <s v="Jueves"/>
    <x v="6"/>
    <x v="2"/>
    <x v="0"/>
    <x v="5"/>
    <x v="5"/>
    <x v="5"/>
    <n v="8600"/>
    <x v="249"/>
    <n v="83.5"/>
    <n v="0"/>
    <n v="26"/>
    <n v="0"/>
    <x v="0"/>
    <n v="13.67"/>
    <n v="0"/>
    <x v="0"/>
    <n v="1.33"/>
    <n v="1.59"/>
    <n v="13.67"/>
  </r>
  <r>
    <n v="1310"/>
    <d v="2025-07-24T08:00:00"/>
    <x v="1"/>
    <s v="Jueves"/>
    <x v="6"/>
    <x v="2"/>
    <x v="0"/>
    <x v="2"/>
    <x v="2"/>
    <x v="2"/>
    <n v="17400"/>
    <x v="263"/>
    <n v="68.099999999999994"/>
    <n v="360.9"/>
    <n v="0"/>
    <n v="0"/>
    <x v="0"/>
    <n v="33.130000000000003"/>
    <n v="43.94"/>
    <x v="1"/>
    <n v="-0.69"/>
    <n v="1.9039999999999999"/>
    <n v="0"/>
  </r>
  <r>
    <n v="206"/>
    <d v="2025-07-24T08:00:00"/>
    <x v="1"/>
    <s v="Jueves"/>
    <x v="6"/>
    <x v="2"/>
    <x v="0"/>
    <x v="4"/>
    <x v="4"/>
    <x v="4"/>
    <n v="12500"/>
    <x v="306"/>
    <n v="42.1"/>
    <n v="464.6"/>
    <n v="343"/>
    <n v="1"/>
    <x v="3"/>
    <n v="69.83"/>
    <n v="70.849999999999994"/>
    <x v="1"/>
    <n v="-7.0000000000000007E-2"/>
    <n v="5.5860000000000003"/>
    <n v="0"/>
  </r>
  <r>
    <n v="2046"/>
    <d v="2025-07-24T08:00:00"/>
    <x v="1"/>
    <s v="Jueves"/>
    <x v="6"/>
    <x v="2"/>
    <x v="0"/>
    <x v="3"/>
    <x v="3"/>
    <x v="3"/>
    <n v="9800"/>
    <x v="226"/>
    <n v="64.7"/>
    <n v="407.9"/>
    <n v="62"/>
    <n v="1"/>
    <x v="2"/>
    <n v="19.02"/>
    <n v="0"/>
    <x v="1"/>
    <n v="3.07"/>
    <n v="1.9410000000000001"/>
    <n v="19.02"/>
  </r>
  <r>
    <n v="574"/>
    <d v="2025-07-24T08:00:00"/>
    <x v="1"/>
    <s v="Jueves"/>
    <x v="6"/>
    <x v="2"/>
    <x v="0"/>
    <x v="5"/>
    <x v="5"/>
    <x v="5"/>
    <n v="8600"/>
    <x v="121"/>
    <n v="77.7"/>
    <n v="344.9"/>
    <n v="0"/>
    <n v="0"/>
    <x v="0"/>
    <n v="6.99"/>
    <n v="25.68"/>
    <x v="1"/>
    <n v="-1.19"/>
    <n v="0.81299999999999994"/>
    <n v="0"/>
  </r>
  <r>
    <n v="942"/>
    <d v="2025-07-24T08:00:00"/>
    <x v="1"/>
    <s v="Jueves"/>
    <x v="6"/>
    <x v="2"/>
    <x v="0"/>
    <x v="1"/>
    <x v="1"/>
    <x v="1"/>
    <n v="21000"/>
    <x v="301"/>
    <n v="48.8"/>
    <n v="457.8"/>
    <n v="416"/>
    <n v="1"/>
    <x v="3"/>
    <n v="198.2"/>
    <n v="93.76"/>
    <x v="1"/>
    <n v="17.309999999999999"/>
    <n v="9.4380000000000006"/>
    <n v="104.44"/>
  </r>
  <r>
    <n v="1678"/>
    <d v="2025-07-24T08:00:00"/>
    <x v="1"/>
    <s v="Jueves"/>
    <x v="6"/>
    <x v="2"/>
    <x v="0"/>
    <x v="0"/>
    <x v="0"/>
    <x v="0"/>
    <n v="26000"/>
    <x v="279"/>
    <n v="58.9"/>
    <n v="355.7"/>
    <n v="160"/>
    <n v="1"/>
    <x v="3"/>
    <n v="167.39"/>
    <n v="88.32"/>
    <x v="1"/>
    <n v="12.19"/>
    <n v="6.4379999999999997"/>
    <n v="79.069999999999993"/>
  </r>
  <r>
    <n v="2047"/>
    <d v="2025-07-24T14:00:00"/>
    <x v="2"/>
    <s v="Jueves"/>
    <x v="6"/>
    <x v="2"/>
    <x v="0"/>
    <x v="3"/>
    <x v="3"/>
    <x v="3"/>
    <n v="9800"/>
    <x v="276"/>
    <n v="66.099999999999994"/>
    <n v="850.6"/>
    <n v="78"/>
    <n v="1"/>
    <x v="3"/>
    <n v="24.62"/>
    <n v="0"/>
    <x v="1"/>
    <n v="3.99"/>
    <n v="2.512"/>
    <n v="24.62"/>
  </r>
  <r>
    <n v="207"/>
    <d v="2025-07-24T14:00:00"/>
    <x v="2"/>
    <s v="Jueves"/>
    <x v="6"/>
    <x v="2"/>
    <x v="0"/>
    <x v="4"/>
    <x v="4"/>
    <x v="4"/>
    <n v="12500"/>
    <x v="307"/>
    <n v="41.4"/>
    <n v="877"/>
    <n v="591"/>
    <n v="1"/>
    <x v="3"/>
    <n v="106.05"/>
    <n v="126.66"/>
    <x v="1"/>
    <n v="-1.31"/>
    <n v="8.484"/>
    <n v="0"/>
  </r>
  <r>
    <n v="1311"/>
    <d v="2025-07-24T14:00:00"/>
    <x v="2"/>
    <s v="Jueves"/>
    <x v="6"/>
    <x v="2"/>
    <x v="0"/>
    <x v="2"/>
    <x v="2"/>
    <x v="2"/>
    <n v="17400"/>
    <x v="312"/>
    <n v="53.1"/>
    <n v="808.9"/>
    <n v="1369"/>
    <n v="1"/>
    <x v="3"/>
    <n v="227.48"/>
    <n v="105.34"/>
    <x v="1"/>
    <n v="19.11"/>
    <n v="13.074"/>
    <n v="122.14"/>
  </r>
  <r>
    <n v="575"/>
    <d v="2025-07-24T14:00:00"/>
    <x v="2"/>
    <s v="Jueves"/>
    <x v="6"/>
    <x v="2"/>
    <x v="0"/>
    <x v="5"/>
    <x v="5"/>
    <x v="5"/>
    <n v="8600"/>
    <x v="231"/>
    <n v="68.2"/>
    <n v="721"/>
    <n v="97"/>
    <n v="0"/>
    <x v="0"/>
    <n v="13.18"/>
    <n v="57.98"/>
    <x v="1"/>
    <n v="-2.75"/>
    <n v="1.5329999999999999"/>
    <n v="0"/>
  </r>
  <r>
    <n v="943"/>
    <d v="2025-07-24T14:00:00"/>
    <x v="2"/>
    <s v="Jueves"/>
    <x v="6"/>
    <x v="2"/>
    <x v="0"/>
    <x v="1"/>
    <x v="1"/>
    <x v="1"/>
    <n v="21000"/>
    <x v="313"/>
    <n v="47.4"/>
    <n v="912.8"/>
    <n v="392"/>
    <n v="1"/>
    <x v="3"/>
    <n v="248.28"/>
    <n v="174.17"/>
    <x v="1"/>
    <n v="11.72"/>
    <n v="11.823"/>
    <n v="74.11"/>
  </r>
  <r>
    <n v="1679"/>
    <d v="2025-07-24T14:00:00"/>
    <x v="2"/>
    <s v="Jueves"/>
    <x v="6"/>
    <x v="2"/>
    <x v="0"/>
    <x v="0"/>
    <x v="0"/>
    <x v="0"/>
    <n v="26000"/>
    <x v="251"/>
    <n v="62.3"/>
    <n v="675.3"/>
    <n v="162"/>
    <n v="1"/>
    <x v="3"/>
    <n v="189.46"/>
    <n v="181.75"/>
    <x v="1"/>
    <n v="1.22"/>
    <n v="7.2869999999999999"/>
    <n v="7.71"/>
  </r>
  <r>
    <n v="1680"/>
    <d v="2025-07-24T20:00:00"/>
    <x v="3"/>
    <s v="Jueves"/>
    <x v="6"/>
    <x v="2"/>
    <x v="0"/>
    <x v="0"/>
    <x v="0"/>
    <x v="0"/>
    <n v="26000"/>
    <x v="194"/>
    <n v="41.9"/>
    <n v="76.599999999999994"/>
    <n v="150"/>
    <n v="1"/>
    <x v="3"/>
    <n v="248.48"/>
    <n v="21.1"/>
    <x v="2"/>
    <n v="57"/>
    <n v="9.5570000000000004"/>
    <n v="227.38"/>
  </r>
  <r>
    <n v="1312"/>
    <d v="2025-07-24T20:00:00"/>
    <x v="3"/>
    <s v="Jueves"/>
    <x v="6"/>
    <x v="2"/>
    <x v="0"/>
    <x v="2"/>
    <x v="2"/>
    <x v="2"/>
    <n v="17400"/>
    <x v="234"/>
    <m/>
    <n v="14.8"/>
    <n v="1319"/>
    <n v="1"/>
    <x v="3"/>
    <n v="286.08"/>
    <n v="1.85"/>
    <x v="2"/>
    <n v="71.569999999999993"/>
    <n v="16.440999999999999"/>
    <n v="284.23"/>
  </r>
  <r>
    <n v="576"/>
    <d v="2025-07-24T20:00:00"/>
    <x v="3"/>
    <s v="Jueves"/>
    <x v="6"/>
    <x v="2"/>
    <x v="0"/>
    <x v="5"/>
    <x v="5"/>
    <x v="5"/>
    <n v="8600"/>
    <x v="208"/>
    <n v="83.2"/>
    <n v="40.6"/>
    <n v="0"/>
    <n v="0"/>
    <x v="0"/>
    <n v="12.49"/>
    <n v="3.03"/>
    <x v="2"/>
    <n v="2.2400000000000002"/>
    <n v="1.452"/>
    <n v="9.4600000000000009"/>
  </r>
  <r>
    <n v="944"/>
    <d v="2025-07-24T20:00:00"/>
    <x v="3"/>
    <s v="Jueves"/>
    <x v="6"/>
    <x v="2"/>
    <x v="0"/>
    <x v="1"/>
    <x v="1"/>
    <x v="1"/>
    <n v="21000"/>
    <x v="278"/>
    <n v="51.8"/>
    <n v="40.9"/>
    <n v="388"/>
    <n v="1"/>
    <x v="3"/>
    <n v="299.73"/>
    <n v="7.29"/>
    <x v="2"/>
    <n v="69.78"/>
    <n v="14.273"/>
    <n v="292.44"/>
  </r>
  <r>
    <n v="2048"/>
    <d v="2025-07-24T20:00:00"/>
    <x v="3"/>
    <s v="Jueves"/>
    <x v="6"/>
    <x v="2"/>
    <x v="0"/>
    <x v="3"/>
    <x v="3"/>
    <x v="3"/>
    <n v="9800"/>
    <x v="233"/>
    <n v="54"/>
    <n v="46.6"/>
    <n v="316"/>
    <n v="1"/>
    <x v="3"/>
    <n v="103.08"/>
    <n v="0"/>
    <x v="2"/>
    <n v="25.09"/>
    <n v="10.518000000000001"/>
    <n v="103.08"/>
  </r>
  <r>
    <n v="208"/>
    <d v="2025-07-24T20:00:00"/>
    <x v="3"/>
    <s v="Jueves"/>
    <x v="6"/>
    <x v="2"/>
    <x v="0"/>
    <x v="4"/>
    <x v="4"/>
    <x v="4"/>
    <n v="12500"/>
    <x v="237"/>
    <n v="48"/>
    <n v="28.7"/>
    <n v="149"/>
    <n v="1"/>
    <x v="3"/>
    <n v="50.19"/>
    <n v="4.03"/>
    <x v="2"/>
    <n v="11.24"/>
    <n v="4.0149999999999997"/>
    <n v="46.16"/>
  </r>
  <r>
    <n v="945"/>
    <d v="2025-07-28T00:00:00"/>
    <x v="0"/>
    <s v="Lunes"/>
    <x v="6"/>
    <x v="2"/>
    <x v="0"/>
    <x v="1"/>
    <x v="1"/>
    <x v="1"/>
    <n v="21000"/>
    <x v="176"/>
    <n v="49"/>
    <n v="0"/>
    <n v="182"/>
    <n v="0"/>
    <x v="0"/>
    <n v="169.81"/>
    <n v="0"/>
    <x v="0"/>
    <n v="17.2"/>
    <n v="8.0860000000000003"/>
    <n v="169.81"/>
  </r>
  <r>
    <n v="2049"/>
    <d v="2025-07-28T00:00:00"/>
    <x v="0"/>
    <s v="Lunes"/>
    <x v="6"/>
    <x v="2"/>
    <x v="0"/>
    <x v="3"/>
    <x v="3"/>
    <x v="3"/>
    <n v="9800"/>
    <x v="188"/>
    <n v="77.7"/>
    <n v="0"/>
    <n v="270"/>
    <n v="0"/>
    <x v="0"/>
    <n v="94.57"/>
    <n v="0"/>
    <x v="0"/>
    <n v="9.43"/>
    <n v="9.65"/>
    <n v="94.57"/>
  </r>
  <r>
    <n v="1681"/>
    <d v="2025-07-28T00:00:00"/>
    <x v="0"/>
    <s v="Lunes"/>
    <x v="6"/>
    <x v="2"/>
    <x v="0"/>
    <x v="0"/>
    <x v="0"/>
    <x v="0"/>
    <n v="26000"/>
    <x v="213"/>
    <n v="60.2"/>
    <n v="0"/>
    <n v="51"/>
    <n v="0"/>
    <x v="0"/>
    <n v="107.04"/>
    <n v="0"/>
    <x v="0"/>
    <n v="10.39"/>
    <n v="4.117"/>
    <n v="107.04"/>
  </r>
  <r>
    <n v="1313"/>
    <d v="2025-07-28T00:00:00"/>
    <x v="0"/>
    <s v="Lunes"/>
    <x v="6"/>
    <x v="2"/>
    <x v="0"/>
    <x v="2"/>
    <x v="2"/>
    <x v="2"/>
    <n v="17400"/>
    <x v="231"/>
    <n v="72.8"/>
    <n v="0"/>
    <n v="16"/>
    <n v="0"/>
    <x v="0"/>
    <n v="47.23"/>
    <n v="0"/>
    <x v="0"/>
    <n v="4.71"/>
    <n v="2.714"/>
    <n v="47.23"/>
  </r>
  <r>
    <n v="577"/>
    <d v="2025-07-28T00:00:00"/>
    <x v="0"/>
    <s v="Lunes"/>
    <x v="6"/>
    <x v="2"/>
    <x v="0"/>
    <x v="5"/>
    <x v="5"/>
    <x v="5"/>
    <n v="8600"/>
    <x v="223"/>
    <n v="88.8"/>
    <n v="0"/>
    <n v="0"/>
    <n v="0"/>
    <x v="0"/>
    <n v="12.28"/>
    <n v="0"/>
    <x v="0"/>
    <n v="1.26"/>
    <n v="1.4279999999999999"/>
    <n v="12.28"/>
  </r>
  <r>
    <n v="209"/>
    <d v="2025-07-28T00:00:00"/>
    <x v="0"/>
    <s v="Lunes"/>
    <x v="6"/>
    <x v="2"/>
    <x v="0"/>
    <x v="4"/>
    <x v="4"/>
    <x v="4"/>
    <n v="12500"/>
    <x v="236"/>
    <m/>
    <n v="0"/>
    <n v="19"/>
    <n v="0"/>
    <x v="0"/>
    <n v="22.12"/>
    <n v="0"/>
    <x v="0"/>
    <n v="2.23"/>
    <n v="1.77"/>
    <n v="22.12"/>
  </r>
  <r>
    <n v="946"/>
    <d v="2025-07-28T08:00:00"/>
    <x v="1"/>
    <s v="Lunes"/>
    <x v="6"/>
    <x v="2"/>
    <x v="0"/>
    <x v="1"/>
    <x v="1"/>
    <x v="1"/>
    <n v="21000"/>
    <x v="270"/>
    <n v="48.9"/>
    <n v="436.2"/>
    <m/>
    <n v="1"/>
    <x v="3"/>
    <n v="202.21"/>
    <n v="90.19"/>
    <x v="1"/>
    <n v="18.45"/>
    <n v="9.6289999999999996"/>
    <n v="112.02"/>
  </r>
  <r>
    <n v="210"/>
    <d v="2025-07-28T08:00:00"/>
    <x v="1"/>
    <s v="Lunes"/>
    <x v="6"/>
    <x v="2"/>
    <x v="0"/>
    <x v="4"/>
    <x v="4"/>
    <x v="4"/>
    <n v="12500"/>
    <x v="249"/>
    <n v="59.2"/>
    <n v="391.8"/>
    <n v="333"/>
    <n v="0"/>
    <x v="0"/>
    <n v="64.010000000000005"/>
    <n v="60.24"/>
    <x v="1"/>
    <n v="0.6"/>
    <n v="5.1210000000000004"/>
    <n v="3.77"/>
  </r>
  <r>
    <n v="578"/>
    <d v="2025-07-28T08:00:00"/>
    <x v="1"/>
    <s v="Lunes"/>
    <x v="6"/>
    <x v="2"/>
    <x v="0"/>
    <x v="5"/>
    <x v="5"/>
    <x v="5"/>
    <n v="8600"/>
    <x v="130"/>
    <n v="65.900000000000006"/>
    <n v="389.7"/>
    <n v="0"/>
    <n v="0"/>
    <x v="0"/>
    <n v="7.54"/>
    <n v="29.55"/>
    <x v="1"/>
    <n v="-1.37"/>
    <n v="0.877"/>
    <n v="0"/>
  </r>
  <r>
    <n v="1682"/>
    <d v="2025-07-28T08:00:00"/>
    <x v="1"/>
    <s v="Lunes"/>
    <x v="6"/>
    <x v="2"/>
    <x v="0"/>
    <x v="0"/>
    <x v="0"/>
    <x v="0"/>
    <n v="26000"/>
    <x v="204"/>
    <n v="50.8"/>
    <n v="420.5"/>
    <n v="170"/>
    <n v="0"/>
    <x v="0"/>
    <n v="144.84"/>
    <n v="110.85"/>
    <x v="1"/>
    <n v="5.46"/>
    <n v="5.5709999999999997"/>
    <n v="33.99"/>
  </r>
  <r>
    <n v="1314"/>
    <d v="2025-07-28T08:00:00"/>
    <x v="1"/>
    <s v="Lunes"/>
    <x v="6"/>
    <x v="2"/>
    <x v="0"/>
    <x v="2"/>
    <x v="2"/>
    <x v="2"/>
    <n v="17400"/>
    <x v="202"/>
    <n v="50"/>
    <n v="427"/>
    <n v="93"/>
    <n v="0"/>
    <x v="0"/>
    <n v="38.04"/>
    <n v="54.56"/>
    <x v="1"/>
    <n v="-1.06"/>
    <n v="2.1859999999999999"/>
    <n v="0"/>
  </r>
  <r>
    <n v="2050"/>
    <d v="2025-07-28T08:00:00"/>
    <x v="1"/>
    <s v="Lunes"/>
    <x v="6"/>
    <x v="2"/>
    <x v="0"/>
    <x v="3"/>
    <x v="3"/>
    <x v="3"/>
    <n v="9800"/>
    <x v="155"/>
    <n v="73.099999999999994"/>
    <n v="376.9"/>
    <n v="42"/>
    <n v="0"/>
    <x v="0"/>
    <n v="15.96"/>
    <n v="0"/>
    <x v="1"/>
    <n v="2.46"/>
    <n v="1.629"/>
    <n v="15.96"/>
  </r>
  <r>
    <n v="211"/>
    <d v="2025-07-28T14:00:00"/>
    <x v="2"/>
    <s v="Lunes"/>
    <x v="6"/>
    <x v="2"/>
    <x v="0"/>
    <x v="4"/>
    <x v="4"/>
    <x v="4"/>
    <n v="12500"/>
    <x v="219"/>
    <n v="44.9"/>
    <n v="847.9"/>
    <n v="573"/>
    <n v="1"/>
    <x v="3"/>
    <n v="106.01"/>
    <n v="125.7"/>
    <x v="1"/>
    <n v="-1.24"/>
    <n v="8.4809999999999999"/>
    <n v="0"/>
  </r>
  <r>
    <n v="1315"/>
    <d v="2025-07-28T14:00:00"/>
    <x v="2"/>
    <s v="Lunes"/>
    <x v="6"/>
    <x v="2"/>
    <x v="0"/>
    <x v="2"/>
    <x v="2"/>
    <x v="2"/>
    <n v="17400"/>
    <x v="296"/>
    <n v="68.599999999999994"/>
    <n v="783.3"/>
    <n v="1275"/>
    <n v="1"/>
    <x v="3"/>
    <n v="215.31"/>
    <n v="95.62"/>
    <x v="1"/>
    <n v="19.309999999999999"/>
    <n v="12.374000000000001"/>
    <n v="119.69"/>
  </r>
  <r>
    <n v="579"/>
    <d v="2025-07-28T14:00:00"/>
    <x v="2"/>
    <s v="Lunes"/>
    <x v="6"/>
    <x v="2"/>
    <x v="0"/>
    <x v="5"/>
    <x v="5"/>
    <x v="5"/>
    <n v="8600"/>
    <x v="279"/>
    <n v="68.5"/>
    <n v="709.2"/>
    <n v="41"/>
    <n v="0"/>
    <x v="0"/>
    <n v="10"/>
    <n v="58.19"/>
    <x v="1"/>
    <n v="-3.13"/>
    <n v="1.163"/>
    <n v="0"/>
  </r>
  <r>
    <n v="947"/>
    <d v="2025-07-28T14:00:00"/>
    <x v="2"/>
    <s v="Lunes"/>
    <x v="6"/>
    <x v="2"/>
    <x v="0"/>
    <x v="1"/>
    <x v="1"/>
    <x v="1"/>
    <n v="21000"/>
    <x v="43"/>
    <n v="53.4"/>
    <n v="841.3"/>
    <n v="412"/>
    <n v="1"/>
    <x v="3"/>
    <n v="226.6"/>
    <n v="180.62"/>
    <x v="1"/>
    <n v="7.46"/>
    <n v="10.79"/>
    <n v="45.98"/>
  </r>
  <r>
    <n v="2051"/>
    <d v="2025-07-28T14:00:00"/>
    <x v="2"/>
    <s v="Lunes"/>
    <x v="6"/>
    <x v="2"/>
    <x v="0"/>
    <x v="3"/>
    <x v="3"/>
    <x v="3"/>
    <n v="9800"/>
    <x v="196"/>
    <n v="78.599999999999994"/>
    <n v="579.4"/>
    <n v="56"/>
    <n v="1"/>
    <x v="3"/>
    <n v="20.76"/>
    <n v="0"/>
    <x v="1"/>
    <n v="3.29"/>
    <n v="2.1179999999999999"/>
    <n v="20.76"/>
  </r>
  <r>
    <n v="1683"/>
    <d v="2025-07-28T14:00:00"/>
    <x v="2"/>
    <s v="Lunes"/>
    <x v="6"/>
    <x v="2"/>
    <x v="0"/>
    <x v="0"/>
    <x v="0"/>
    <x v="0"/>
    <n v="26000"/>
    <x v="43"/>
    <n v="47.9"/>
    <n v="932.2"/>
    <n v="155"/>
    <n v="1"/>
    <x v="3"/>
    <n v="189.12"/>
    <n v="243.85"/>
    <x v="1"/>
    <n v="-3.59"/>
    <n v="7.274"/>
    <n v="0"/>
  </r>
  <r>
    <n v="948"/>
    <d v="2025-07-28T20:00:00"/>
    <x v="3"/>
    <s v="Lunes"/>
    <x v="6"/>
    <x v="2"/>
    <x v="0"/>
    <x v="1"/>
    <x v="1"/>
    <x v="1"/>
    <n v="21000"/>
    <x v="309"/>
    <n v="59.6"/>
    <n v="20.2"/>
    <n v="397"/>
    <n v="1"/>
    <x v="3"/>
    <n v="304.44"/>
    <n v="3.94"/>
    <x v="2"/>
    <n v="75.400000000000006"/>
    <n v="14.497"/>
    <n v="300.5"/>
  </r>
  <r>
    <n v="212"/>
    <d v="2025-07-28T20:00:00"/>
    <x v="3"/>
    <s v="Lunes"/>
    <x v="6"/>
    <x v="2"/>
    <x v="0"/>
    <x v="4"/>
    <x v="4"/>
    <x v="4"/>
    <n v="12500"/>
    <x v="246"/>
    <n v="52.7"/>
    <n v="40.200000000000003"/>
    <n v="111"/>
    <n v="1"/>
    <x v="3"/>
    <n v="46.35"/>
    <n v="6.07"/>
    <x v="2"/>
    <n v="9.81"/>
    <n v="3.7080000000000002"/>
    <n v="40.28"/>
  </r>
  <r>
    <n v="1684"/>
    <d v="2025-07-28T20:00:00"/>
    <x v="3"/>
    <s v="Lunes"/>
    <x v="6"/>
    <x v="2"/>
    <x v="0"/>
    <x v="0"/>
    <x v="0"/>
    <x v="0"/>
    <n v="26000"/>
    <x v="222"/>
    <n v="64.8"/>
    <n v="19.8"/>
    <n v="152"/>
    <n v="1"/>
    <x v="3"/>
    <n v="242"/>
    <n v="5.34"/>
    <x v="2"/>
    <n v="57.11"/>
    <n v="9.3079999999999998"/>
    <n v="236.66"/>
  </r>
  <r>
    <n v="1316"/>
    <d v="2025-07-28T20:00:00"/>
    <x v="3"/>
    <s v="Lunes"/>
    <x v="6"/>
    <x v="2"/>
    <x v="0"/>
    <x v="2"/>
    <x v="2"/>
    <x v="2"/>
    <n v="17400"/>
    <x v="243"/>
    <n v="50.7"/>
    <n v="40.9"/>
    <n v="1380"/>
    <n v="1"/>
    <x v="3"/>
    <n v="292.74"/>
    <n v="4.99"/>
    <x v="2"/>
    <n v="67.790000000000006"/>
    <n v="16.824000000000002"/>
    <n v="287.75"/>
  </r>
  <r>
    <n v="2052"/>
    <d v="2025-07-28T20:00:00"/>
    <x v="3"/>
    <s v="Lunes"/>
    <x v="6"/>
    <x v="2"/>
    <x v="0"/>
    <x v="3"/>
    <x v="3"/>
    <x v="3"/>
    <n v="9800"/>
    <x v="255"/>
    <n v="73.5"/>
    <n v="11.6"/>
    <n v="299"/>
    <n v="0"/>
    <x v="0"/>
    <n v="99.97"/>
    <n v="0"/>
    <x v="2"/>
    <n v="24.45"/>
    <n v="10.201000000000001"/>
    <n v="99.97"/>
  </r>
  <r>
    <n v="580"/>
    <d v="2025-07-28T20:00:00"/>
    <x v="3"/>
    <s v="Lunes"/>
    <x v="6"/>
    <x v="2"/>
    <x v="0"/>
    <x v="5"/>
    <x v="5"/>
    <x v="5"/>
    <n v="8600"/>
    <x v="200"/>
    <n v="84.7"/>
    <n v="55.8"/>
    <n v="66"/>
    <n v="0"/>
    <x v="0"/>
    <n v="15.46"/>
    <n v="3.97"/>
    <x v="2"/>
    <n v="2.84"/>
    <n v="1.798"/>
    <n v="11.49"/>
  </r>
  <r>
    <n v="1685"/>
    <d v="2025-08-01T00:00:00"/>
    <x v="0"/>
    <s v="Viernes"/>
    <x v="7"/>
    <x v="2"/>
    <x v="0"/>
    <x v="0"/>
    <x v="0"/>
    <x v="0"/>
    <n v="26000"/>
    <x v="178"/>
    <n v="52.2"/>
    <n v="0"/>
    <n v="50"/>
    <n v="0"/>
    <x v="0"/>
    <n v="113.75"/>
    <n v="0"/>
    <x v="0"/>
    <n v="11.53"/>
    <n v="4.375"/>
    <n v="113.75"/>
  </r>
  <r>
    <n v="2053"/>
    <d v="2025-08-01T00:00:00"/>
    <x v="0"/>
    <s v="Viernes"/>
    <x v="7"/>
    <x v="2"/>
    <x v="0"/>
    <x v="3"/>
    <x v="3"/>
    <x v="3"/>
    <n v="9800"/>
    <x v="188"/>
    <n v="67.3"/>
    <n v="0"/>
    <n v="325"/>
    <n v="0"/>
    <x v="0"/>
    <n v="96.89"/>
    <n v="0"/>
    <x v="0"/>
    <n v="9.57"/>
    <n v="9.8870000000000005"/>
    <n v="96.89"/>
  </r>
  <r>
    <n v="949"/>
    <d v="2025-08-01T00:00:00"/>
    <x v="0"/>
    <s v="Viernes"/>
    <x v="7"/>
    <x v="2"/>
    <x v="0"/>
    <x v="1"/>
    <x v="1"/>
    <x v="1"/>
    <n v="21000"/>
    <x v="190"/>
    <n v="62.6"/>
    <n v="0"/>
    <n v="241"/>
    <n v="0"/>
    <x v="0"/>
    <n v="180.94"/>
    <n v="0"/>
    <x v="0"/>
    <n v="18.47"/>
    <n v="8.6159999999999997"/>
    <n v="180.94"/>
  </r>
  <r>
    <n v="213"/>
    <d v="2025-08-01T00:00:00"/>
    <x v="0"/>
    <s v="Viernes"/>
    <x v="7"/>
    <x v="2"/>
    <x v="0"/>
    <x v="4"/>
    <x v="4"/>
    <x v="4"/>
    <n v="12500"/>
    <x v="206"/>
    <n v="51.6"/>
    <n v="0"/>
    <n v="0"/>
    <n v="0"/>
    <x v="0"/>
    <n v="21.97"/>
    <n v="0"/>
    <x v="0"/>
    <n v="2.15"/>
    <n v="1.758"/>
    <n v="21.97"/>
  </r>
  <r>
    <n v="581"/>
    <d v="2025-08-01T00:00:00"/>
    <x v="0"/>
    <s v="Viernes"/>
    <x v="7"/>
    <x v="2"/>
    <x v="0"/>
    <x v="5"/>
    <x v="5"/>
    <x v="5"/>
    <n v="8600"/>
    <x v="55"/>
    <n v="94"/>
    <n v="0"/>
    <m/>
    <n v="0"/>
    <x v="0"/>
    <n v="12.61"/>
    <n v="0"/>
    <x v="0"/>
    <n v="1.23"/>
    <n v="1.466"/>
    <n v="12.61"/>
  </r>
  <r>
    <n v="1317"/>
    <d v="2025-08-01T00:00:00"/>
    <x v="0"/>
    <s v="Viernes"/>
    <x v="7"/>
    <x v="2"/>
    <x v="0"/>
    <x v="2"/>
    <x v="2"/>
    <x v="2"/>
    <n v="17400"/>
    <x v="169"/>
    <n v="71.7"/>
    <n v="0"/>
    <n v="171"/>
    <n v="0"/>
    <x v="0"/>
    <n v="56.76"/>
    <n v="0"/>
    <x v="0"/>
    <n v="5.64"/>
    <n v="3.262"/>
    <n v="56.76"/>
  </r>
  <r>
    <n v="582"/>
    <d v="2025-08-01T08:00:00"/>
    <x v="1"/>
    <s v="Viernes"/>
    <x v="7"/>
    <x v="2"/>
    <x v="0"/>
    <x v="5"/>
    <x v="5"/>
    <x v="5"/>
    <n v="8600"/>
    <x v="298"/>
    <n v="90.7"/>
    <n v="180.3"/>
    <n v="40"/>
    <n v="0"/>
    <x v="0"/>
    <n v="9.73"/>
    <n v="14.45"/>
    <x v="1"/>
    <n v="-0.31"/>
    <n v="1.131"/>
    <n v="0"/>
  </r>
  <r>
    <n v="1318"/>
    <d v="2025-08-01T08:00:00"/>
    <x v="1"/>
    <s v="Viernes"/>
    <x v="7"/>
    <x v="2"/>
    <x v="0"/>
    <x v="2"/>
    <x v="2"/>
    <x v="2"/>
    <n v="17400"/>
    <x v="281"/>
    <n v="72.7"/>
    <n v="291.2"/>
    <n v="14"/>
    <n v="0"/>
    <x v="0"/>
    <n v="35.479999999999997"/>
    <n v="35.1"/>
    <x v="1"/>
    <n v="0.06"/>
    <n v="2.0390000000000001"/>
    <n v="0.38"/>
  </r>
  <r>
    <n v="2054"/>
    <d v="2025-08-01T08:00:00"/>
    <x v="1"/>
    <s v="Viernes"/>
    <x v="7"/>
    <x v="2"/>
    <x v="0"/>
    <x v="3"/>
    <x v="3"/>
    <x v="3"/>
    <n v="9800"/>
    <x v="259"/>
    <n v="83.5"/>
    <n v="348.8"/>
    <n v="79"/>
    <n v="0"/>
    <x v="0"/>
    <n v="21.13"/>
    <n v="0"/>
    <x v="1"/>
    <n v="3.4"/>
    <n v="2.1560000000000001"/>
    <n v="21.13"/>
  </r>
  <r>
    <n v="214"/>
    <d v="2025-08-01T08:00:00"/>
    <x v="1"/>
    <s v="Viernes"/>
    <x v="7"/>
    <x v="2"/>
    <x v="0"/>
    <x v="4"/>
    <x v="4"/>
    <x v="4"/>
    <n v="12500"/>
    <x v="314"/>
    <n v="42.1"/>
    <n v="410.1"/>
    <n v="391"/>
    <n v="1"/>
    <x v="3"/>
    <n v="78.05"/>
    <n v="63.65"/>
    <x v="1"/>
    <n v="2.2599999999999998"/>
    <n v="6.2439999999999998"/>
    <n v="14.4"/>
  </r>
  <r>
    <n v="950"/>
    <d v="2025-08-01T08:00:00"/>
    <x v="1"/>
    <s v="Viernes"/>
    <x v="7"/>
    <x v="2"/>
    <x v="0"/>
    <x v="1"/>
    <x v="1"/>
    <x v="1"/>
    <n v="21000"/>
    <x v="278"/>
    <n v="39.799999999999997"/>
    <n v="391.6"/>
    <n v="457"/>
    <n v="1"/>
    <x v="3"/>
    <n v="224.79"/>
    <n v="79.95"/>
    <x v="1"/>
    <n v="22.94"/>
    <n v="10.704000000000001"/>
    <n v="144.84"/>
  </r>
  <r>
    <n v="1686"/>
    <d v="2025-08-01T08:00:00"/>
    <x v="1"/>
    <s v="Viernes"/>
    <x v="7"/>
    <x v="2"/>
    <x v="0"/>
    <x v="0"/>
    <x v="0"/>
    <x v="0"/>
    <n v="26000"/>
    <x v="177"/>
    <n v="42.4"/>
    <m/>
    <m/>
    <n v="1"/>
    <x v="3"/>
    <n v="174.11"/>
    <n v="110.14"/>
    <x v="1"/>
    <n v="10.77"/>
    <n v="6.6970000000000001"/>
    <n v="63.97"/>
  </r>
  <r>
    <n v="583"/>
    <d v="2025-08-01T14:00:00"/>
    <x v="2"/>
    <s v="Viernes"/>
    <x v="7"/>
    <x v="2"/>
    <x v="0"/>
    <x v="5"/>
    <x v="5"/>
    <x v="5"/>
    <n v="8600"/>
    <x v="264"/>
    <n v="82.9"/>
    <n v="514.70000000000005"/>
    <n v="0"/>
    <n v="0"/>
    <x v="0"/>
    <n v="7.49"/>
    <n v="39.479999999999997"/>
    <x v="1"/>
    <n v="-2.08"/>
    <n v="0.871"/>
    <n v="0"/>
  </r>
  <r>
    <n v="1319"/>
    <d v="2025-08-01T14:00:00"/>
    <x v="2"/>
    <s v="Viernes"/>
    <x v="7"/>
    <x v="2"/>
    <x v="0"/>
    <x v="2"/>
    <x v="2"/>
    <x v="2"/>
    <n v="17400"/>
    <x v="269"/>
    <n v="56.6"/>
    <n v="916.1"/>
    <n v="1322"/>
    <n v="1"/>
    <x v="3"/>
    <n v="210.54"/>
    <n v="116.29"/>
    <x v="1"/>
    <n v="14.58"/>
    <n v="12.1"/>
    <n v="94.25"/>
  </r>
  <r>
    <n v="215"/>
    <d v="2025-08-01T14:00:00"/>
    <x v="2"/>
    <s v="Viernes"/>
    <x v="7"/>
    <x v="2"/>
    <x v="0"/>
    <x v="4"/>
    <x v="4"/>
    <x v="4"/>
    <n v="12500"/>
    <x v="270"/>
    <n v="48.4"/>
    <n v="758.2"/>
    <n v="637"/>
    <n v="1"/>
    <x v="3"/>
    <n v="114.39"/>
    <n v="110.48"/>
    <x v="1"/>
    <n v="0.62"/>
    <n v="9.1509999999999998"/>
    <n v="3.91"/>
  </r>
  <r>
    <n v="1687"/>
    <d v="2025-08-01T14:00:00"/>
    <x v="2"/>
    <s v="Viernes"/>
    <x v="7"/>
    <x v="2"/>
    <x v="0"/>
    <x v="0"/>
    <x v="0"/>
    <x v="0"/>
    <n v="26000"/>
    <x v="275"/>
    <n v="49.4"/>
    <n v="731.9"/>
    <n v="182"/>
    <n v="1"/>
    <x v="3"/>
    <n v="177.34"/>
    <n v="205.83"/>
    <x v="1"/>
    <n v="-1.86"/>
    <n v="6.8209999999999997"/>
    <n v="0"/>
  </r>
  <r>
    <n v="2055"/>
    <d v="2025-08-01T14:00:00"/>
    <x v="2"/>
    <s v="Viernes"/>
    <x v="7"/>
    <x v="2"/>
    <x v="0"/>
    <x v="3"/>
    <x v="3"/>
    <x v="3"/>
    <n v="9800"/>
    <x v="315"/>
    <n v="74.8"/>
    <n v="827.2"/>
    <n v="68"/>
    <n v="1"/>
    <x v="3"/>
    <n v="26.77"/>
    <n v="0"/>
    <x v="1"/>
    <n v="4.1399999999999997"/>
    <n v="2.7320000000000002"/>
    <n v="26.77"/>
  </r>
  <r>
    <n v="951"/>
    <d v="2025-08-01T14:00:00"/>
    <x v="2"/>
    <s v="Viernes"/>
    <x v="7"/>
    <x v="2"/>
    <x v="0"/>
    <x v="1"/>
    <x v="1"/>
    <x v="1"/>
    <n v="21000"/>
    <x v="316"/>
    <n v="46"/>
    <n v="717.9"/>
    <n v="396"/>
    <n v="1"/>
    <x v="3"/>
    <n v="246.49"/>
    <n v="134.05000000000001"/>
    <x v="1"/>
    <n v="18.47"/>
    <n v="11.738"/>
    <n v="112.44"/>
  </r>
  <r>
    <n v="216"/>
    <d v="2025-08-01T20:00:00"/>
    <x v="3"/>
    <s v="Viernes"/>
    <x v="7"/>
    <x v="2"/>
    <x v="0"/>
    <x v="4"/>
    <x v="4"/>
    <x v="4"/>
    <n v="12500"/>
    <x v="288"/>
    <n v="56.5"/>
    <n v="34.200000000000003"/>
    <n v="95"/>
    <n v="1"/>
    <x v="3"/>
    <n v="51.39"/>
    <n v="5.12"/>
    <x v="2"/>
    <n v="11.55"/>
    <n v="4.1109999999999998"/>
    <n v="46.27"/>
  </r>
  <r>
    <n v="2056"/>
    <d v="2025-08-01T20:00:00"/>
    <x v="3"/>
    <s v="Viernes"/>
    <x v="7"/>
    <x v="2"/>
    <x v="0"/>
    <x v="3"/>
    <x v="3"/>
    <x v="3"/>
    <n v="9800"/>
    <x v="225"/>
    <n v="68.5"/>
    <n v="0"/>
    <n v="285"/>
    <n v="1"/>
    <x v="3"/>
    <n v="97.08"/>
    <n v="0"/>
    <x v="2"/>
    <n v="24.29"/>
    <n v="9.9060000000000006"/>
    <n v="97.08"/>
  </r>
  <r>
    <n v="584"/>
    <d v="2025-08-01T20:00:00"/>
    <x v="3"/>
    <s v="Viernes"/>
    <x v="7"/>
    <x v="2"/>
    <x v="0"/>
    <x v="5"/>
    <x v="5"/>
    <x v="5"/>
    <n v="8600"/>
    <x v="195"/>
    <n v="80.2"/>
    <n v="0"/>
    <n v="0"/>
    <n v="0"/>
    <x v="0"/>
    <n v="11.45"/>
    <n v="0"/>
    <x v="2"/>
    <n v="2.76"/>
    <n v="1.331"/>
    <n v="11.45"/>
  </r>
  <r>
    <n v="952"/>
    <d v="2025-08-01T20:00:00"/>
    <x v="3"/>
    <s v="Viernes"/>
    <x v="7"/>
    <x v="2"/>
    <x v="0"/>
    <x v="1"/>
    <x v="1"/>
    <x v="1"/>
    <n v="21000"/>
    <x v="311"/>
    <n v="28.1"/>
    <n v="0"/>
    <n v="403"/>
    <n v="1"/>
    <x v="3"/>
    <n v="293.24"/>
    <n v="0"/>
    <x v="2"/>
    <n v="71.959999999999994"/>
    <n v="13.964"/>
    <n v="293.24"/>
  </r>
  <r>
    <n v="1320"/>
    <d v="2025-08-01T20:00:00"/>
    <x v="3"/>
    <s v="Viernes"/>
    <x v="7"/>
    <x v="2"/>
    <x v="0"/>
    <x v="2"/>
    <x v="2"/>
    <x v="2"/>
    <n v="17400"/>
    <x v="207"/>
    <n v="60.9"/>
    <n v="11.4"/>
    <n v="1297"/>
    <n v="1"/>
    <x v="3"/>
    <n v="282.45"/>
    <n v="1.39"/>
    <x v="2"/>
    <n v="69.59"/>
    <n v="16.233000000000001"/>
    <n v="281.06"/>
  </r>
  <r>
    <n v="1688"/>
    <d v="2025-08-01T20:00:00"/>
    <x v="3"/>
    <s v="Viernes"/>
    <x v="7"/>
    <x v="2"/>
    <x v="0"/>
    <x v="0"/>
    <x v="0"/>
    <x v="0"/>
    <n v="26000"/>
    <x v="246"/>
    <n v="54.5"/>
    <n v="19.899999999999999"/>
    <n v="182"/>
    <n v="1"/>
    <x v="3"/>
    <n v="254.26"/>
    <n v="5.42"/>
    <x v="2"/>
    <n v="61.07"/>
    <n v="9.7789999999999999"/>
    <n v="248.84"/>
  </r>
  <r>
    <n v="217"/>
    <d v="2025-08-05T00:00:00"/>
    <x v="0"/>
    <s v="Martes"/>
    <x v="7"/>
    <x v="2"/>
    <x v="0"/>
    <x v="4"/>
    <x v="4"/>
    <x v="4"/>
    <n v="12500"/>
    <x v="192"/>
    <n v="53.1"/>
    <n v="0"/>
    <n v="29"/>
    <n v="0"/>
    <x v="0"/>
    <n v="25.68"/>
    <n v="0"/>
    <x v="0"/>
    <n v="2.52"/>
    <n v="2.0539999999999998"/>
    <n v="25.68"/>
  </r>
  <r>
    <n v="953"/>
    <d v="2025-08-05T00:00:00"/>
    <x v="0"/>
    <s v="Martes"/>
    <x v="7"/>
    <x v="2"/>
    <x v="0"/>
    <x v="1"/>
    <x v="1"/>
    <x v="1"/>
    <n v="21000"/>
    <x v="164"/>
    <n v="58.1"/>
    <n v="0"/>
    <n v="203"/>
    <n v="0"/>
    <x v="0"/>
    <n v="166.61"/>
    <n v="0"/>
    <x v="0"/>
    <n v="16.86"/>
    <n v="7.9340000000000002"/>
    <n v="166.61"/>
  </r>
  <r>
    <n v="1321"/>
    <d v="2025-08-05T00:00:00"/>
    <x v="0"/>
    <s v="Martes"/>
    <x v="7"/>
    <x v="2"/>
    <x v="0"/>
    <x v="2"/>
    <x v="2"/>
    <x v="2"/>
    <n v="17400"/>
    <x v="256"/>
    <n v="75.8"/>
    <n v="0"/>
    <n v="215"/>
    <n v="0"/>
    <x v="0"/>
    <n v="58.18"/>
    <n v="0"/>
    <x v="0"/>
    <n v="5.96"/>
    <n v="3.3439999999999999"/>
    <n v="58.18"/>
  </r>
  <r>
    <n v="2057"/>
    <d v="2025-08-05T00:00:00"/>
    <x v="0"/>
    <s v="Martes"/>
    <x v="7"/>
    <x v="2"/>
    <x v="0"/>
    <x v="3"/>
    <x v="3"/>
    <x v="3"/>
    <n v="9800"/>
    <x v="185"/>
    <n v="72.900000000000006"/>
    <n v="0"/>
    <n v="306"/>
    <n v="0"/>
    <x v="0"/>
    <n v="92.49"/>
    <n v="0"/>
    <x v="0"/>
    <n v="9.32"/>
    <n v="9.4380000000000006"/>
    <n v="92.49"/>
  </r>
  <r>
    <n v="1689"/>
    <d v="2025-08-05T00:00:00"/>
    <x v="0"/>
    <s v="Martes"/>
    <x v="7"/>
    <x v="2"/>
    <x v="0"/>
    <x v="0"/>
    <x v="0"/>
    <x v="0"/>
    <n v="26000"/>
    <x v="254"/>
    <n v="46.1"/>
    <n v="0"/>
    <n v="45"/>
    <n v="1"/>
    <x v="2"/>
    <n v="105.33"/>
    <n v="0"/>
    <x v="0"/>
    <n v="10.5"/>
    <n v="4.0510000000000002"/>
    <n v="105.33"/>
  </r>
  <r>
    <n v="585"/>
    <d v="2025-08-05T00:00:00"/>
    <x v="0"/>
    <s v="Martes"/>
    <x v="7"/>
    <x v="2"/>
    <x v="0"/>
    <x v="5"/>
    <x v="5"/>
    <x v="5"/>
    <n v="8600"/>
    <x v="163"/>
    <n v="82.2"/>
    <n v="0"/>
    <n v="78"/>
    <n v="0"/>
    <x v="0"/>
    <n v="17.25"/>
    <n v="0"/>
    <x v="0"/>
    <n v="1.72"/>
    <n v="2.0059999999999998"/>
    <n v="17.25"/>
  </r>
  <r>
    <n v="2058"/>
    <d v="2025-08-05T08:00:00"/>
    <x v="1"/>
    <s v="Martes"/>
    <x v="7"/>
    <x v="2"/>
    <x v="0"/>
    <x v="3"/>
    <x v="3"/>
    <x v="3"/>
    <n v="9800"/>
    <x v="43"/>
    <n v="61.4"/>
    <n v="367.1"/>
    <n v="68"/>
    <n v="0"/>
    <x v="0"/>
    <n v="18.48"/>
    <n v="0"/>
    <x v="1"/>
    <n v="2.98"/>
    <n v="1.8859999999999999"/>
    <n v="18.48"/>
  </r>
  <r>
    <n v="586"/>
    <d v="2025-08-05T08:00:00"/>
    <x v="1"/>
    <s v="Martes"/>
    <x v="7"/>
    <x v="2"/>
    <x v="0"/>
    <x v="5"/>
    <x v="5"/>
    <x v="5"/>
    <n v="8600"/>
    <x v="193"/>
    <n v="88.9"/>
    <n v="284.2"/>
    <n v="19"/>
    <n v="0"/>
    <x v="0"/>
    <n v="9.19"/>
    <n v="21.16"/>
    <x v="1"/>
    <n v="-0.78"/>
    <n v="1.069"/>
    <n v="0"/>
  </r>
  <r>
    <n v="954"/>
    <d v="2025-08-05T08:00:00"/>
    <x v="1"/>
    <s v="Martes"/>
    <x v="7"/>
    <x v="2"/>
    <x v="0"/>
    <x v="1"/>
    <x v="1"/>
    <x v="1"/>
    <n v="21000"/>
    <x v="218"/>
    <n v="49.1"/>
    <n v="384.3"/>
    <n v="395"/>
    <n v="1"/>
    <x v="3"/>
    <n v="220.67"/>
    <n v="77.72"/>
    <x v="1"/>
    <n v="23.09"/>
    <n v="10.507999999999999"/>
    <n v="142.94999999999999"/>
  </r>
  <r>
    <n v="1690"/>
    <d v="2025-08-05T08:00:00"/>
    <x v="1"/>
    <s v="Martes"/>
    <x v="7"/>
    <x v="2"/>
    <x v="0"/>
    <x v="0"/>
    <x v="0"/>
    <x v="0"/>
    <n v="26000"/>
    <x v="202"/>
    <n v="50"/>
    <n v="320.7"/>
    <n v="164"/>
    <n v="1"/>
    <x v="3"/>
    <n v="154.52000000000001"/>
    <n v="81.69"/>
    <x v="1"/>
    <n v="11.57"/>
    <n v="5.9429999999999996"/>
    <n v="72.83"/>
  </r>
  <r>
    <n v="218"/>
    <d v="2025-08-05T08:00:00"/>
    <x v="1"/>
    <s v="Martes"/>
    <x v="7"/>
    <x v="2"/>
    <x v="0"/>
    <x v="4"/>
    <x v="4"/>
    <x v="4"/>
    <n v="12500"/>
    <x v="271"/>
    <n v="51.6"/>
    <n v="301.5"/>
    <n v="308"/>
    <n v="0"/>
    <x v="0"/>
    <n v="68.06"/>
    <n v="41.27"/>
    <x v="1"/>
    <n v="4.4400000000000004"/>
    <n v="5.4450000000000003"/>
    <n v="26.79"/>
  </r>
  <r>
    <n v="1322"/>
    <d v="2025-08-05T08:00:00"/>
    <x v="1"/>
    <s v="Martes"/>
    <x v="7"/>
    <x v="2"/>
    <x v="0"/>
    <x v="2"/>
    <x v="2"/>
    <x v="2"/>
    <n v="17400"/>
    <x v="166"/>
    <n v="73.3"/>
    <n v="339.9"/>
    <m/>
    <n v="0"/>
    <x v="0"/>
    <n v="34.17"/>
    <n v="46.08"/>
    <x v="1"/>
    <n v="-0.79"/>
    <n v="1.964"/>
    <n v="0"/>
  </r>
  <r>
    <n v="1323"/>
    <d v="2025-08-05T14:00:00"/>
    <x v="2"/>
    <s v="Martes"/>
    <x v="7"/>
    <x v="2"/>
    <x v="0"/>
    <x v="2"/>
    <x v="2"/>
    <x v="2"/>
    <n v="17400"/>
    <x v="307"/>
    <n v="58.8"/>
    <n v="874.9"/>
    <n v="1260"/>
    <n v="1"/>
    <x v="3"/>
    <n v="209.77"/>
    <n v="94.34"/>
    <x v="1"/>
    <n v="18.21"/>
    <n v="12.055999999999999"/>
    <n v="115.43"/>
  </r>
  <r>
    <n v="1691"/>
    <d v="2025-08-05T14:00:00"/>
    <x v="2"/>
    <s v="Martes"/>
    <x v="7"/>
    <x v="2"/>
    <x v="0"/>
    <x v="0"/>
    <x v="0"/>
    <x v="0"/>
    <n v="26000"/>
    <x v="270"/>
    <n v="56.4"/>
    <n v="821.2"/>
    <n v="158"/>
    <n v="1"/>
    <x v="3"/>
    <n v="167.82"/>
    <n v="212.54"/>
    <x v="1"/>
    <n v="-2.86"/>
    <n v="6.4550000000000001"/>
    <n v="0"/>
  </r>
  <r>
    <n v="955"/>
    <d v="2025-08-05T14:00:00"/>
    <x v="2"/>
    <s v="Martes"/>
    <x v="7"/>
    <x v="2"/>
    <x v="0"/>
    <x v="1"/>
    <x v="1"/>
    <x v="1"/>
    <n v="21000"/>
    <x v="317"/>
    <n v="47"/>
    <n v="896.2"/>
    <n v="369"/>
    <n v="1"/>
    <x v="3"/>
    <n v="244.45"/>
    <n v="182.33"/>
    <x v="1"/>
    <n v="9.9600000000000009"/>
    <n v="11.64"/>
    <n v="62.12"/>
  </r>
  <r>
    <n v="587"/>
    <d v="2025-08-05T14:00:00"/>
    <x v="2"/>
    <s v="Martes"/>
    <x v="7"/>
    <x v="2"/>
    <x v="0"/>
    <x v="5"/>
    <x v="5"/>
    <x v="5"/>
    <n v="8600"/>
    <x v="213"/>
    <n v="80.400000000000006"/>
    <n v="628.5"/>
    <n v="0"/>
    <n v="0"/>
    <x v="0"/>
    <n v="7.26"/>
    <n v="45.88"/>
    <x v="1"/>
    <n v="-2.58"/>
    <n v="0.84399999999999997"/>
    <n v="0"/>
  </r>
  <r>
    <n v="2059"/>
    <d v="2025-08-05T14:00:00"/>
    <x v="2"/>
    <s v="Martes"/>
    <x v="7"/>
    <x v="2"/>
    <x v="0"/>
    <x v="3"/>
    <x v="3"/>
    <x v="3"/>
    <n v="9800"/>
    <x v="297"/>
    <n v="64"/>
    <n v="929.3"/>
    <n v="78"/>
    <n v="1"/>
    <x v="3"/>
    <n v="20.7"/>
    <n v="0"/>
    <x v="1"/>
    <n v="3.28"/>
    <n v="2.1120000000000001"/>
    <n v="20.7"/>
  </r>
  <r>
    <n v="219"/>
    <d v="2025-08-05T14:00:00"/>
    <x v="2"/>
    <s v="Martes"/>
    <x v="7"/>
    <x v="2"/>
    <x v="0"/>
    <x v="4"/>
    <x v="4"/>
    <x v="4"/>
    <n v="12500"/>
    <x v="318"/>
    <n v="42.8"/>
    <n v="882.7"/>
    <n v="643"/>
    <n v="1"/>
    <x v="3"/>
    <n v="118.87"/>
    <n v="132.71"/>
    <x v="1"/>
    <n v="-0.9"/>
    <n v="9.51"/>
    <n v="0"/>
  </r>
  <r>
    <n v="220"/>
    <d v="2025-08-05T20:00:00"/>
    <x v="3"/>
    <s v="Martes"/>
    <x v="7"/>
    <x v="2"/>
    <x v="0"/>
    <x v="4"/>
    <x v="4"/>
    <x v="4"/>
    <n v="12500"/>
    <x v="177"/>
    <n v="46.4"/>
    <n v="0"/>
    <n v="129"/>
    <n v="1"/>
    <x v="3"/>
    <n v="43.24"/>
    <n v="0"/>
    <x v="2"/>
    <n v="10.61"/>
    <n v="3.4590000000000001"/>
    <n v="43.24"/>
  </r>
  <r>
    <n v="956"/>
    <d v="2025-08-05T20:00:00"/>
    <x v="3"/>
    <s v="Martes"/>
    <x v="7"/>
    <x v="2"/>
    <x v="0"/>
    <x v="1"/>
    <x v="1"/>
    <x v="1"/>
    <n v="21000"/>
    <x v="319"/>
    <n v="49.9"/>
    <n v="0"/>
    <m/>
    <n v="1"/>
    <x v="3"/>
    <n v="313.49"/>
    <n v="0"/>
    <x v="2"/>
    <n v="79.22"/>
    <n v="14.928000000000001"/>
    <n v="313.49"/>
  </r>
  <r>
    <n v="1692"/>
    <d v="2025-08-05T20:00:00"/>
    <x v="3"/>
    <s v="Martes"/>
    <x v="7"/>
    <x v="2"/>
    <x v="0"/>
    <x v="0"/>
    <x v="0"/>
    <x v="0"/>
    <n v="26000"/>
    <x v="194"/>
    <n v="71"/>
    <n v="0"/>
    <n v="182"/>
    <n v="1"/>
    <x v="3"/>
    <n v="244.47"/>
    <n v="0"/>
    <x v="2"/>
    <n v="61.41"/>
    <n v="9.4030000000000005"/>
    <n v="244.47"/>
  </r>
  <r>
    <n v="1324"/>
    <d v="2025-08-05T20:00:00"/>
    <x v="3"/>
    <s v="Martes"/>
    <x v="7"/>
    <x v="2"/>
    <x v="0"/>
    <x v="2"/>
    <x v="2"/>
    <x v="2"/>
    <n v="17400"/>
    <x v="277"/>
    <n v="59.2"/>
    <n v="0"/>
    <n v="1424"/>
    <n v="1"/>
    <x v="3"/>
    <n v="296.73"/>
    <n v="0"/>
    <x v="2"/>
    <n v="74.81"/>
    <n v="17.053000000000001"/>
    <n v="296.73"/>
  </r>
  <r>
    <n v="2060"/>
    <d v="2025-08-05T20:00:00"/>
    <x v="3"/>
    <s v="Martes"/>
    <x v="7"/>
    <x v="2"/>
    <x v="0"/>
    <x v="3"/>
    <x v="3"/>
    <x v="3"/>
    <n v="9800"/>
    <x v="281"/>
    <n v="82.6"/>
    <n v="0"/>
    <n v="302"/>
    <n v="1"/>
    <x v="2"/>
    <m/>
    <n v="0"/>
    <x v="2"/>
    <n v="23.58"/>
    <m/>
    <m/>
  </r>
  <r>
    <n v="588"/>
    <d v="2025-08-05T20:00:00"/>
    <x v="3"/>
    <s v="Martes"/>
    <x v="7"/>
    <x v="2"/>
    <x v="0"/>
    <x v="5"/>
    <x v="5"/>
    <x v="5"/>
    <n v="8600"/>
    <x v="43"/>
    <n v="79.400000000000006"/>
    <n v="0"/>
    <n v="29"/>
    <n v="0"/>
    <x v="0"/>
    <n v="14.66"/>
    <n v="0"/>
    <x v="2"/>
    <n v="3.65"/>
    <n v="1.7050000000000001"/>
    <n v="14.66"/>
  </r>
  <r>
    <n v="2061"/>
    <d v="2025-08-09T00:00:00"/>
    <x v="0"/>
    <s v="Sabado"/>
    <x v="7"/>
    <x v="2"/>
    <x v="1"/>
    <x v="3"/>
    <x v="3"/>
    <x v="3"/>
    <n v="9800"/>
    <x v="213"/>
    <n v="71.599999999999994"/>
    <n v="0"/>
    <n v="280"/>
    <n v="0"/>
    <x v="0"/>
    <n v="94.38"/>
    <n v="0"/>
    <x v="0"/>
    <n v="9.84"/>
    <n v="9.6310000000000002"/>
    <n v="94.38"/>
  </r>
  <r>
    <n v="221"/>
    <d v="2025-08-09T00:00:00"/>
    <x v="0"/>
    <s v="Sabado"/>
    <x v="7"/>
    <x v="2"/>
    <x v="1"/>
    <x v="4"/>
    <x v="4"/>
    <x v="4"/>
    <n v="12500"/>
    <x v="70"/>
    <n v="48.8"/>
    <n v="0"/>
    <n v="0"/>
    <n v="0"/>
    <x v="0"/>
    <n v="25.24"/>
    <n v="0"/>
    <x v="0"/>
    <n v="2.5499999999999998"/>
    <n v="2.0190000000000001"/>
    <n v="25.24"/>
  </r>
  <r>
    <n v="1693"/>
    <d v="2025-08-09T00:00:00"/>
    <x v="0"/>
    <s v="Sabado"/>
    <x v="7"/>
    <x v="2"/>
    <x v="1"/>
    <x v="0"/>
    <x v="0"/>
    <x v="0"/>
    <n v="26000"/>
    <x v="201"/>
    <n v="53.7"/>
    <n v="0"/>
    <n v="16"/>
    <n v="1"/>
    <x v="2"/>
    <n v="70.98"/>
    <n v="0"/>
    <x v="0"/>
    <n v="7.27"/>
    <n v="2.73"/>
    <n v="70.98"/>
  </r>
  <r>
    <n v="957"/>
    <d v="2025-08-09T00:00:00"/>
    <x v="0"/>
    <s v="Sabado"/>
    <x v="7"/>
    <x v="2"/>
    <x v="1"/>
    <x v="1"/>
    <x v="1"/>
    <x v="1"/>
    <n v="21000"/>
    <x v="259"/>
    <n v="46.6"/>
    <n v="0"/>
    <n v="211"/>
    <n v="0"/>
    <x v="0"/>
    <n v="171.01"/>
    <n v="0"/>
    <x v="0"/>
    <n v="17.600000000000001"/>
    <n v="8.1430000000000007"/>
    <n v="171.01"/>
  </r>
  <r>
    <n v="1325"/>
    <d v="2025-08-09T00:00:00"/>
    <x v="0"/>
    <s v="Sabado"/>
    <x v="7"/>
    <x v="2"/>
    <x v="1"/>
    <x v="2"/>
    <x v="2"/>
    <x v="2"/>
    <n v="17400"/>
    <x v="203"/>
    <n v="72.2"/>
    <n v="0"/>
    <n v="119"/>
    <n v="1"/>
    <x v="3"/>
    <n v="60.77"/>
    <n v="0"/>
    <x v="0"/>
    <n v="6.16"/>
    <n v="3.4929999999999999"/>
    <n v="60.77"/>
  </r>
  <r>
    <n v="589"/>
    <d v="2025-08-09T00:00:00"/>
    <x v="0"/>
    <s v="Sabado"/>
    <x v="7"/>
    <x v="2"/>
    <x v="1"/>
    <x v="5"/>
    <x v="5"/>
    <x v="5"/>
    <n v="8600"/>
    <x v="56"/>
    <n v="61.5"/>
    <n v="0"/>
    <n v="42"/>
    <n v="0"/>
    <x v="0"/>
    <n v="15.03"/>
    <n v="0"/>
    <x v="0"/>
    <n v="1.53"/>
    <n v="1.748"/>
    <n v="15.03"/>
  </r>
  <r>
    <n v="1326"/>
    <d v="2025-08-09T08:00:00"/>
    <x v="1"/>
    <s v="Sabado"/>
    <x v="7"/>
    <x v="2"/>
    <x v="1"/>
    <x v="2"/>
    <x v="2"/>
    <x v="2"/>
    <n v="17400"/>
    <x v="231"/>
    <n v="55.9"/>
    <n v="406.7"/>
    <n v="94"/>
    <n v="1"/>
    <x v="3"/>
    <m/>
    <n v="50.2"/>
    <x v="0"/>
    <n v="-0.09"/>
    <m/>
    <m/>
  </r>
  <r>
    <n v="958"/>
    <d v="2025-08-09T08:00:00"/>
    <x v="1"/>
    <s v="Sabado"/>
    <x v="7"/>
    <x v="2"/>
    <x v="1"/>
    <x v="1"/>
    <x v="1"/>
    <x v="1"/>
    <n v="21000"/>
    <x v="277"/>
    <n v="50.5"/>
    <n v="348.4"/>
    <n v="442"/>
    <n v="1"/>
    <x v="3"/>
    <n v="211.52"/>
    <n v="67.88"/>
    <x v="0"/>
    <n v="14.88"/>
    <n v="10.071999999999999"/>
    <n v="143.63999999999999"/>
  </r>
  <r>
    <n v="1694"/>
    <d v="2025-08-09T08:00:00"/>
    <x v="1"/>
    <s v="Sabado"/>
    <x v="7"/>
    <x v="2"/>
    <x v="1"/>
    <x v="0"/>
    <x v="0"/>
    <x v="0"/>
    <n v="26000"/>
    <x v="226"/>
    <n v="55.6"/>
    <n v="380.3"/>
    <n v="78"/>
    <n v="1"/>
    <x v="2"/>
    <n v="80.77"/>
    <n v="102.46"/>
    <x v="0"/>
    <n v="-0.88"/>
    <n v="3.1070000000000002"/>
    <n v="0"/>
  </r>
  <r>
    <n v="590"/>
    <d v="2025-08-09T08:00:00"/>
    <x v="1"/>
    <s v="Sabado"/>
    <x v="7"/>
    <x v="2"/>
    <x v="1"/>
    <x v="5"/>
    <x v="5"/>
    <x v="5"/>
    <n v="8600"/>
    <x v="197"/>
    <n v="72.7"/>
    <n v="280.39999999999998"/>
    <n v="0"/>
    <n v="0"/>
    <x v="0"/>
    <n v="8.2100000000000009"/>
    <n v="21.86"/>
    <x v="0"/>
    <n v="-0.55000000000000004"/>
    <n v="0.95499999999999996"/>
    <n v="0"/>
  </r>
  <r>
    <n v="2062"/>
    <d v="2025-08-09T08:00:00"/>
    <x v="1"/>
    <s v="Sabado"/>
    <x v="7"/>
    <x v="2"/>
    <x v="1"/>
    <x v="3"/>
    <x v="3"/>
    <x v="3"/>
    <n v="9800"/>
    <x v="263"/>
    <n v="68.8"/>
    <n v="313.8"/>
    <n v="102"/>
    <n v="1"/>
    <x v="3"/>
    <n v="28.07"/>
    <n v="0"/>
    <x v="0"/>
    <n v="2.81"/>
    <n v="2.8639999999999999"/>
    <n v="28.07"/>
  </r>
  <r>
    <n v="222"/>
    <d v="2025-08-09T08:00:00"/>
    <x v="1"/>
    <s v="Sabado"/>
    <x v="7"/>
    <x v="2"/>
    <x v="1"/>
    <x v="4"/>
    <x v="4"/>
    <x v="4"/>
    <n v="12500"/>
    <x v="158"/>
    <n v="43.8"/>
    <n v="380.2"/>
    <n v="22"/>
    <n v="0"/>
    <x v="0"/>
    <n v="16.059999999999999"/>
    <n v="58.48"/>
    <x v="0"/>
    <n v="-1.73"/>
    <n v="1.2849999999999999"/>
    <n v="0"/>
  </r>
  <r>
    <n v="223"/>
    <d v="2025-08-09T14:00:00"/>
    <x v="2"/>
    <s v="Sabado"/>
    <x v="7"/>
    <x v="2"/>
    <x v="1"/>
    <x v="4"/>
    <x v="4"/>
    <x v="4"/>
    <n v="12500"/>
    <x v="240"/>
    <n v="52.1"/>
    <n v="784.4"/>
    <n v="0"/>
    <n v="0"/>
    <x v="0"/>
    <n v="16.22"/>
    <n v="116.68"/>
    <x v="0"/>
    <n v="-4.12"/>
    <n v="1.298"/>
    <n v="0"/>
  </r>
  <r>
    <n v="591"/>
    <d v="2025-08-09T14:00:00"/>
    <x v="2"/>
    <s v="Sabado"/>
    <x v="7"/>
    <x v="2"/>
    <x v="1"/>
    <x v="5"/>
    <x v="5"/>
    <x v="5"/>
    <n v="8600"/>
    <x v="264"/>
    <n v="75.099999999999994"/>
    <n v="642.20000000000005"/>
    <n v="0"/>
    <n v="0"/>
    <x v="0"/>
    <n v="7.83"/>
    <n v="49.53"/>
    <x v="0"/>
    <n v="-1.69"/>
    <n v="0.91"/>
    <n v="0"/>
  </r>
  <r>
    <n v="2063"/>
    <d v="2025-08-09T14:00:00"/>
    <x v="2"/>
    <s v="Sabado"/>
    <x v="7"/>
    <x v="2"/>
    <x v="1"/>
    <x v="3"/>
    <x v="3"/>
    <x v="3"/>
    <n v="9800"/>
    <x v="270"/>
    <n v="58.9"/>
    <n v="685.7"/>
    <n v="147"/>
    <n v="1"/>
    <x v="3"/>
    <n v="32.06"/>
    <n v="0"/>
    <x v="0"/>
    <n v="3.21"/>
    <n v="3.2709999999999999"/>
    <n v="32.06"/>
  </r>
  <r>
    <n v="959"/>
    <d v="2025-08-09T14:00:00"/>
    <x v="2"/>
    <s v="Sabado"/>
    <x v="7"/>
    <x v="2"/>
    <x v="1"/>
    <x v="1"/>
    <x v="1"/>
    <x v="1"/>
    <n v="21000"/>
    <x v="320"/>
    <n v="40.299999999999997"/>
    <n v="844.5"/>
    <n v="413"/>
    <n v="1"/>
    <x v="3"/>
    <n v="242.4"/>
    <n v="147.79"/>
    <x v="0"/>
    <n v="9.5500000000000007"/>
    <n v="11.542999999999999"/>
    <n v="94.61"/>
  </r>
  <r>
    <n v="1327"/>
    <d v="2025-08-09T14:00:00"/>
    <x v="2"/>
    <s v="Sabado"/>
    <x v="7"/>
    <x v="2"/>
    <x v="1"/>
    <x v="2"/>
    <x v="2"/>
    <x v="2"/>
    <n v="17400"/>
    <x v="270"/>
    <n v="67"/>
    <n v="913.1"/>
    <n v="1524"/>
    <n v="1"/>
    <x v="3"/>
    <n v="259.89999999999998"/>
    <n v="116.13"/>
    <x v="0"/>
    <n v="14.69"/>
    <n v="14.936999999999999"/>
    <n v="143.77000000000001"/>
  </r>
  <r>
    <n v="1695"/>
    <d v="2025-08-09T14:00:00"/>
    <x v="2"/>
    <s v="Sabado"/>
    <x v="7"/>
    <x v="2"/>
    <x v="1"/>
    <x v="0"/>
    <x v="0"/>
    <x v="0"/>
    <n v="26000"/>
    <x v="307"/>
    <n v="57.7"/>
    <n v="769.5"/>
    <n v="73"/>
    <n v="1"/>
    <x v="3"/>
    <n v="114.85"/>
    <n v="217.62"/>
    <x v="0"/>
    <n v="-4.28"/>
    <n v="4.4169999999999998"/>
    <n v="0"/>
  </r>
  <r>
    <n v="2064"/>
    <d v="2025-08-09T20:00:00"/>
    <x v="3"/>
    <s v="Sabado"/>
    <x v="7"/>
    <x v="2"/>
    <x v="1"/>
    <x v="3"/>
    <x v="3"/>
    <x v="3"/>
    <n v="9800"/>
    <x v="187"/>
    <n v="78.900000000000006"/>
    <n v="0"/>
    <n v="328"/>
    <n v="1"/>
    <x v="2"/>
    <n v="93.88"/>
    <n v="0"/>
    <x v="0"/>
    <n v="9.75"/>
    <n v="9.58"/>
    <n v="93.88"/>
  </r>
  <r>
    <n v="224"/>
    <d v="2025-08-09T20:00:00"/>
    <x v="3"/>
    <s v="Sabado"/>
    <x v="7"/>
    <x v="2"/>
    <x v="1"/>
    <x v="4"/>
    <x v="4"/>
    <x v="4"/>
    <n v="12500"/>
    <x v="301"/>
    <n v="47.9"/>
    <n v="0"/>
    <n v="16"/>
    <n v="0"/>
    <x v="0"/>
    <n v="25.1"/>
    <n v="0"/>
    <x v="0"/>
    <n v="2.56"/>
    <n v="2.008"/>
    <n v="25.1"/>
  </r>
  <r>
    <n v="960"/>
    <d v="2025-08-09T20:00:00"/>
    <x v="3"/>
    <s v="Sabado"/>
    <x v="7"/>
    <x v="2"/>
    <x v="1"/>
    <x v="1"/>
    <x v="1"/>
    <x v="1"/>
    <n v="21000"/>
    <x v="311"/>
    <n v="60.9"/>
    <n v="0"/>
    <n v="461"/>
    <n v="1"/>
    <x v="3"/>
    <n v="300.43"/>
    <n v="0"/>
    <x v="0"/>
    <m/>
    <n v="14.305999999999999"/>
    <n v="300.43"/>
  </r>
  <r>
    <n v="592"/>
    <d v="2025-08-09T20:00:00"/>
    <x v="3"/>
    <s v="Sabado"/>
    <x v="7"/>
    <x v="2"/>
    <x v="1"/>
    <x v="5"/>
    <x v="5"/>
    <x v="5"/>
    <n v="8600"/>
    <x v="200"/>
    <n v="93"/>
    <n v="0"/>
    <n v="68"/>
    <n v="0"/>
    <x v="0"/>
    <n v="13.98"/>
    <n v="0"/>
    <x v="0"/>
    <n v="1.45"/>
    <n v="1.6259999999999999"/>
    <n v="13.98"/>
  </r>
  <r>
    <n v="1328"/>
    <d v="2025-08-09T20:00:00"/>
    <x v="3"/>
    <s v="Sabado"/>
    <x v="7"/>
    <x v="2"/>
    <x v="1"/>
    <x v="2"/>
    <x v="2"/>
    <x v="2"/>
    <n v="17400"/>
    <x v="310"/>
    <n v="67.599999999999994"/>
    <n v="0"/>
    <n v="1501"/>
    <n v="1"/>
    <x v="3"/>
    <n v="329.17"/>
    <n v="0"/>
    <x v="0"/>
    <n v="32.82"/>
    <n v="18.917999999999999"/>
    <n v="329.17"/>
  </r>
  <r>
    <n v="1696"/>
    <d v="2025-08-09T20:00:00"/>
    <x v="3"/>
    <s v="Sabado"/>
    <x v="7"/>
    <x v="2"/>
    <x v="1"/>
    <x v="0"/>
    <x v="0"/>
    <x v="0"/>
    <n v="26000"/>
    <x v="237"/>
    <n v="54.8"/>
    <n v="0"/>
    <n v="51"/>
    <n v="1"/>
    <x v="3"/>
    <n v="141.87"/>
    <n v="0"/>
    <x v="0"/>
    <n v="14.61"/>
    <n v="5.4569999999999999"/>
    <n v="141.87"/>
  </r>
  <r>
    <n v="1329"/>
    <d v="2025-08-13T00:00:00"/>
    <x v="0"/>
    <s v="Miercoles"/>
    <x v="7"/>
    <x v="2"/>
    <x v="0"/>
    <x v="2"/>
    <x v="2"/>
    <x v="2"/>
    <n v="17400"/>
    <x v="220"/>
    <n v="70.3"/>
    <n v="0"/>
    <n v="49"/>
    <n v="0"/>
    <x v="0"/>
    <n v="48.22"/>
    <n v="0"/>
    <x v="0"/>
    <n v="4.9000000000000004"/>
    <n v="2.7709999999999999"/>
    <n v="48.22"/>
  </r>
  <r>
    <n v="1697"/>
    <d v="2025-08-13T00:00:00"/>
    <x v="0"/>
    <s v="Miercoles"/>
    <x v="7"/>
    <x v="2"/>
    <x v="0"/>
    <x v="0"/>
    <x v="0"/>
    <x v="0"/>
    <n v="26000"/>
    <x v="171"/>
    <n v="62.4"/>
    <n v="0"/>
    <n v="57"/>
    <n v="0"/>
    <x v="0"/>
    <n v="109.44"/>
    <n v="0"/>
    <x v="0"/>
    <n v="11.35"/>
    <n v="4.2089999999999996"/>
    <n v="109.44"/>
  </r>
  <r>
    <n v="225"/>
    <d v="2025-08-13T00:00:00"/>
    <x v="0"/>
    <s v="Miercoles"/>
    <x v="7"/>
    <x v="2"/>
    <x v="0"/>
    <x v="4"/>
    <x v="4"/>
    <x v="4"/>
    <n v="12500"/>
    <x v="105"/>
    <n v="47.7"/>
    <n v="0"/>
    <n v="0"/>
    <n v="0"/>
    <x v="0"/>
    <n v="24.43"/>
    <n v="0"/>
    <x v="0"/>
    <n v="2.4500000000000002"/>
    <n v="1.954"/>
    <n v="24.43"/>
  </r>
  <r>
    <n v="961"/>
    <d v="2025-08-13T00:00:00"/>
    <x v="0"/>
    <s v="Miercoles"/>
    <x v="7"/>
    <x v="2"/>
    <x v="0"/>
    <x v="1"/>
    <x v="1"/>
    <x v="1"/>
    <n v="21000"/>
    <x v="234"/>
    <n v="48.4"/>
    <n v="0"/>
    <n v="245"/>
    <n v="1"/>
    <x v="3"/>
    <n v="187.62"/>
    <n v="0"/>
    <x v="0"/>
    <n v="18.86"/>
    <n v="8.9339999999999993"/>
    <n v="187.62"/>
  </r>
  <r>
    <n v="2065"/>
    <d v="2025-08-13T00:00:00"/>
    <x v="0"/>
    <s v="Miercoles"/>
    <x v="7"/>
    <x v="2"/>
    <x v="0"/>
    <x v="3"/>
    <x v="3"/>
    <x v="3"/>
    <n v="9800"/>
    <x v="208"/>
    <n v="50.7"/>
    <n v="0"/>
    <n v="290"/>
    <n v="0"/>
    <x v="0"/>
    <n v="92.28"/>
    <n v="0"/>
    <x v="0"/>
    <n v="9.1199999999999992"/>
    <n v="9.4160000000000004"/>
    <n v="92.28"/>
  </r>
  <r>
    <n v="593"/>
    <d v="2025-08-13T00:00:00"/>
    <x v="0"/>
    <s v="Miercoles"/>
    <x v="7"/>
    <x v="2"/>
    <x v="0"/>
    <x v="5"/>
    <x v="5"/>
    <x v="5"/>
    <n v="8600"/>
    <x v="186"/>
    <n v="67.900000000000006"/>
    <m/>
    <n v="20"/>
    <n v="0"/>
    <x v="0"/>
    <n v="13.33"/>
    <n v="0"/>
    <x v="0"/>
    <n v="1.4"/>
    <n v="1.55"/>
    <n v="13.33"/>
  </r>
  <r>
    <n v="962"/>
    <d v="2025-08-13T08:00:00"/>
    <x v="1"/>
    <s v="Miercoles"/>
    <x v="7"/>
    <x v="2"/>
    <x v="0"/>
    <x v="1"/>
    <x v="1"/>
    <x v="1"/>
    <n v="21000"/>
    <x v="238"/>
    <n v="45.1"/>
    <n v="329.2"/>
    <n v="416"/>
    <n v="1"/>
    <x v="3"/>
    <n v="204.6"/>
    <n v="66.930000000000007"/>
    <x v="1"/>
    <n v="23.27"/>
    <n v="9.7430000000000003"/>
    <n v="137.66999999999999"/>
  </r>
  <r>
    <n v="1698"/>
    <d v="2025-08-13T08:00:00"/>
    <x v="1"/>
    <s v="Miercoles"/>
    <x v="7"/>
    <x v="2"/>
    <x v="0"/>
    <x v="0"/>
    <x v="0"/>
    <x v="0"/>
    <n v="26000"/>
    <x v="298"/>
    <n v="46.8"/>
    <n v="343.6"/>
    <n v="177"/>
    <n v="0"/>
    <x v="0"/>
    <n v="154.38999999999999"/>
    <n v="91.36"/>
    <x v="1"/>
    <n v="10.19"/>
    <n v="5.9379999999999997"/>
    <n v="63.03"/>
  </r>
  <r>
    <n v="2066"/>
    <d v="2025-08-13T08:00:00"/>
    <x v="1"/>
    <s v="Miercoles"/>
    <x v="7"/>
    <x v="2"/>
    <x v="0"/>
    <x v="3"/>
    <x v="3"/>
    <x v="3"/>
    <n v="9800"/>
    <x v="213"/>
    <m/>
    <n v="289.2"/>
    <n v="65"/>
    <n v="0"/>
    <x v="0"/>
    <n v="16.079999999999998"/>
    <n v="0"/>
    <x v="1"/>
    <n v="2.69"/>
    <n v="1.641"/>
    <n v="16.079999999999998"/>
  </r>
  <r>
    <n v="594"/>
    <d v="2025-08-13T08:00:00"/>
    <x v="1"/>
    <s v="Miercoles"/>
    <x v="7"/>
    <x v="2"/>
    <x v="0"/>
    <x v="5"/>
    <x v="5"/>
    <x v="5"/>
    <n v="8600"/>
    <x v="106"/>
    <n v="80.400000000000006"/>
    <n v="302.60000000000002"/>
    <n v="49"/>
    <n v="0"/>
    <x v="0"/>
    <n v="10.3"/>
    <n v="22.71"/>
    <x v="1"/>
    <n v="-0.82"/>
    <n v="1.198"/>
    <n v="0"/>
  </r>
  <r>
    <n v="1330"/>
    <d v="2025-08-13T08:00:00"/>
    <x v="1"/>
    <s v="Miercoles"/>
    <x v="7"/>
    <x v="2"/>
    <x v="0"/>
    <x v="2"/>
    <x v="2"/>
    <x v="2"/>
    <n v="17400"/>
    <x v="297"/>
    <m/>
    <n v="383.5"/>
    <n v="95"/>
    <n v="0"/>
    <x v="0"/>
    <n v="40.54"/>
    <n v="48.89"/>
    <x v="1"/>
    <n v="-0.55000000000000004"/>
    <n v="2.33"/>
    <n v="0"/>
  </r>
  <r>
    <n v="226"/>
    <d v="2025-08-13T08:00:00"/>
    <x v="1"/>
    <s v="Miercoles"/>
    <x v="7"/>
    <x v="2"/>
    <x v="0"/>
    <x v="4"/>
    <x v="4"/>
    <x v="4"/>
    <n v="12500"/>
    <x v="231"/>
    <n v="48.6"/>
    <n v="399.9"/>
    <n v="350"/>
    <n v="1"/>
    <x v="3"/>
    <n v="71.69"/>
    <n v="61.99"/>
    <x v="1"/>
    <n v="1.64"/>
    <n v="5.7350000000000003"/>
    <n v="9.6999999999999993"/>
  </r>
  <r>
    <n v="1699"/>
    <d v="2025-08-13T14:00:00"/>
    <x v="2"/>
    <s v="Miercoles"/>
    <x v="7"/>
    <x v="2"/>
    <x v="0"/>
    <x v="0"/>
    <x v="0"/>
    <x v="0"/>
    <n v="26000"/>
    <x v="299"/>
    <n v="66.7"/>
    <n v="668.1"/>
    <n v="159"/>
    <n v="1"/>
    <x v="3"/>
    <n v="180.86"/>
    <n v="157.53"/>
    <x v="1"/>
    <n v="3.82"/>
    <n v="6.9560000000000004"/>
    <n v="23.33"/>
  </r>
  <r>
    <n v="595"/>
    <d v="2025-08-13T14:00:00"/>
    <x v="2"/>
    <s v="Miercoles"/>
    <x v="7"/>
    <x v="2"/>
    <x v="0"/>
    <x v="5"/>
    <x v="5"/>
    <x v="5"/>
    <n v="8600"/>
    <x v="233"/>
    <n v="63.4"/>
    <n v="829.3"/>
    <n v="0"/>
    <n v="0"/>
    <x v="0"/>
    <n v="8.0399999999999991"/>
    <n v="57.25"/>
    <x v="1"/>
    <n v="-3.31"/>
    <n v="0.93500000000000005"/>
    <n v="0"/>
  </r>
  <r>
    <n v="2067"/>
    <d v="2025-08-13T14:00:00"/>
    <x v="2"/>
    <s v="Miercoles"/>
    <x v="7"/>
    <x v="2"/>
    <x v="0"/>
    <x v="3"/>
    <x v="3"/>
    <x v="3"/>
    <n v="9800"/>
    <x v="273"/>
    <n v="68.400000000000006"/>
    <n v="786.4"/>
    <n v="42"/>
    <n v="1"/>
    <x v="3"/>
    <n v="22.18"/>
    <n v="0"/>
    <x v="1"/>
    <n v="3.72"/>
    <n v="2.2629999999999999"/>
    <n v="22.18"/>
  </r>
  <r>
    <n v="963"/>
    <d v="2025-08-13T14:00:00"/>
    <x v="2"/>
    <s v="Miercoles"/>
    <x v="7"/>
    <x v="2"/>
    <x v="0"/>
    <x v="1"/>
    <x v="1"/>
    <x v="1"/>
    <n v="21000"/>
    <x v="321"/>
    <n v="41"/>
    <n v="869.7"/>
    <n v="405"/>
    <n v="1"/>
    <x v="3"/>
    <n v="224.26"/>
    <n v="182.85"/>
    <x v="1"/>
    <n v="6.8"/>
    <n v="10.679"/>
    <n v="41.41"/>
  </r>
  <r>
    <n v="227"/>
    <d v="2025-08-13T14:00:00"/>
    <x v="2"/>
    <s v="Miercoles"/>
    <x v="7"/>
    <x v="2"/>
    <x v="0"/>
    <x v="4"/>
    <x v="4"/>
    <x v="4"/>
    <n v="12500"/>
    <x v="244"/>
    <n v="37.299999999999997"/>
    <n v="929.4"/>
    <n v="536"/>
    <n v="1"/>
    <x v="3"/>
    <n v="115.03"/>
    <n v="136.08000000000001"/>
    <x v="1"/>
    <n v="-1.36"/>
    <n v="9.202"/>
    <n v="0"/>
  </r>
  <r>
    <n v="1331"/>
    <d v="2025-08-13T14:00:00"/>
    <x v="2"/>
    <s v="Miercoles"/>
    <x v="7"/>
    <x v="2"/>
    <x v="0"/>
    <x v="2"/>
    <x v="2"/>
    <x v="2"/>
    <n v="17400"/>
    <x v="321"/>
    <n v="74.900000000000006"/>
    <n v="533.1"/>
    <n v="1427"/>
    <n v="1"/>
    <x v="3"/>
    <n v="223.84"/>
    <n v="64.459999999999994"/>
    <x v="1"/>
    <n v="26.57"/>
    <n v="12.864000000000001"/>
    <n v="159.38"/>
  </r>
  <r>
    <n v="1332"/>
    <d v="2025-08-13T20:00:00"/>
    <x v="3"/>
    <s v="Miercoles"/>
    <x v="7"/>
    <x v="2"/>
    <x v="0"/>
    <x v="2"/>
    <x v="2"/>
    <x v="2"/>
    <n v="17400"/>
    <x v="231"/>
    <n v="59.6"/>
    <n v="0"/>
    <n v="1492"/>
    <n v="1"/>
    <x v="3"/>
    <n v="296.44"/>
    <n v="0"/>
    <x v="2"/>
    <n v="70.349999999999994"/>
    <n v="17.036999999999999"/>
    <n v="296.44"/>
  </r>
  <r>
    <n v="596"/>
    <d v="2025-08-13T20:00:00"/>
    <x v="3"/>
    <s v="Miercoles"/>
    <x v="7"/>
    <x v="2"/>
    <x v="0"/>
    <x v="5"/>
    <x v="5"/>
    <x v="5"/>
    <n v="8600"/>
    <x v="121"/>
    <n v="76"/>
    <n v="0"/>
    <n v="0"/>
    <n v="0"/>
    <x v="0"/>
    <n v="11.66"/>
    <n v="0"/>
    <x v="2"/>
    <n v="2.99"/>
    <n v="1.3560000000000001"/>
    <n v="11.66"/>
  </r>
  <r>
    <n v="228"/>
    <d v="2025-08-13T20:00:00"/>
    <x v="3"/>
    <s v="Miercoles"/>
    <x v="7"/>
    <x v="2"/>
    <x v="0"/>
    <x v="4"/>
    <x v="4"/>
    <x v="4"/>
    <n v="12500"/>
    <x v="254"/>
    <n v="50.2"/>
    <n v="0"/>
    <n v="67"/>
    <n v="1"/>
    <x v="2"/>
    <n v="40.18"/>
    <n v="0"/>
    <x v="2"/>
    <n v="9.9700000000000006"/>
    <n v="3.214"/>
    <n v="40.18"/>
  </r>
  <r>
    <n v="964"/>
    <d v="2025-08-13T20:00:00"/>
    <x v="3"/>
    <s v="Miercoles"/>
    <x v="7"/>
    <x v="2"/>
    <x v="0"/>
    <x v="1"/>
    <x v="1"/>
    <x v="1"/>
    <n v="21000"/>
    <x v="251"/>
    <n v="53.2"/>
    <n v="0"/>
    <n v="403"/>
    <n v="1"/>
    <x v="3"/>
    <n v="307.2"/>
    <n v="0"/>
    <x v="2"/>
    <n v="80.489999999999995"/>
    <n v="14.629"/>
    <n v="307.2"/>
  </r>
  <r>
    <n v="1700"/>
    <d v="2025-08-13T20:00:00"/>
    <x v="3"/>
    <s v="Miercoles"/>
    <x v="7"/>
    <x v="2"/>
    <x v="0"/>
    <x v="0"/>
    <x v="0"/>
    <x v="0"/>
    <n v="26000"/>
    <x v="276"/>
    <n v="41.3"/>
    <n v="0"/>
    <n v="186"/>
    <n v="1"/>
    <x v="3"/>
    <n v="280.02999999999997"/>
    <n v="0"/>
    <x v="2"/>
    <n v="68.86"/>
    <n v="10.77"/>
    <n v="280.02999999999997"/>
  </r>
  <r>
    <n v="2068"/>
    <d v="2025-08-13T20:00:00"/>
    <x v="3"/>
    <s v="Miercoles"/>
    <x v="7"/>
    <x v="2"/>
    <x v="0"/>
    <x v="3"/>
    <x v="3"/>
    <x v="3"/>
    <n v="9800"/>
    <x v="177"/>
    <n v="77.599999999999994"/>
    <n v="0"/>
    <n v="328"/>
    <n v="1"/>
    <x v="3"/>
    <n v="108.46"/>
    <n v="0"/>
    <x v="2"/>
    <n v="27.27"/>
    <n v="11.067"/>
    <n v="108.46"/>
  </r>
  <r>
    <n v="229"/>
    <d v="2025-08-17T00:00:00"/>
    <x v="0"/>
    <s v="Domingo"/>
    <x v="7"/>
    <x v="2"/>
    <x v="1"/>
    <x v="4"/>
    <x v="4"/>
    <x v="4"/>
    <n v="12500"/>
    <x v="182"/>
    <n v="44"/>
    <n v="0"/>
    <n v="36"/>
    <n v="0"/>
    <x v="0"/>
    <n v="24.78"/>
    <n v="0"/>
    <x v="0"/>
    <n v="2.5299999999999998"/>
    <n v="1.982"/>
    <n v="24.78"/>
  </r>
  <r>
    <n v="1333"/>
    <d v="2025-08-17T00:00:00"/>
    <x v="0"/>
    <s v="Domingo"/>
    <x v="7"/>
    <x v="2"/>
    <x v="1"/>
    <x v="2"/>
    <x v="2"/>
    <x v="2"/>
    <n v="17400"/>
    <x v="259"/>
    <n v="62.6"/>
    <n v="0"/>
    <n v="0"/>
    <n v="0"/>
    <x v="0"/>
    <n v="46.28"/>
    <n v="0"/>
    <x v="0"/>
    <n v="4.7699999999999996"/>
    <n v="2.66"/>
    <n v="46.28"/>
  </r>
  <r>
    <n v="1701"/>
    <d v="2025-08-17T00:00:00"/>
    <x v="0"/>
    <s v="Domingo"/>
    <x v="7"/>
    <x v="2"/>
    <x v="1"/>
    <x v="0"/>
    <x v="0"/>
    <x v="0"/>
    <n v="26000"/>
    <x v="259"/>
    <n v="47.3"/>
    <n v="0"/>
    <n v="32"/>
    <n v="0"/>
    <x v="0"/>
    <n v="81.010000000000005"/>
    <n v="0"/>
    <x v="0"/>
    <n v="8.59"/>
    <n v="3.1160000000000001"/>
    <n v="81.010000000000005"/>
  </r>
  <r>
    <n v="965"/>
    <d v="2025-08-17T00:00:00"/>
    <x v="0"/>
    <s v="Domingo"/>
    <x v="7"/>
    <x v="2"/>
    <x v="1"/>
    <x v="1"/>
    <x v="1"/>
    <x v="1"/>
    <n v="21000"/>
    <x v="252"/>
    <n v="52.8"/>
    <n v="0"/>
    <n v="207"/>
    <n v="0"/>
    <x v="0"/>
    <n v="176.21"/>
    <n v="0"/>
    <x v="0"/>
    <n v="18.03"/>
    <n v="8.391"/>
    <n v="176.21"/>
  </r>
  <r>
    <n v="2069"/>
    <d v="2025-08-17T00:00:00"/>
    <x v="0"/>
    <s v="Domingo"/>
    <x v="7"/>
    <x v="2"/>
    <x v="1"/>
    <x v="3"/>
    <x v="3"/>
    <x v="3"/>
    <n v="9800"/>
    <x v="164"/>
    <n v="81.900000000000006"/>
    <n v="0"/>
    <n v="269"/>
    <n v="0"/>
    <x v="0"/>
    <n v="87.05"/>
    <n v="0"/>
    <x v="0"/>
    <n v="9.01"/>
    <n v="8.8829999999999991"/>
    <n v="87.05"/>
  </r>
  <r>
    <n v="597"/>
    <d v="2025-08-17T00:00:00"/>
    <x v="0"/>
    <s v="Domingo"/>
    <x v="7"/>
    <x v="2"/>
    <x v="1"/>
    <x v="5"/>
    <x v="5"/>
    <x v="5"/>
    <n v="8600"/>
    <x v="152"/>
    <n v="83.1"/>
    <n v="0"/>
    <n v="0"/>
    <n v="0"/>
    <x v="0"/>
    <n v="11.79"/>
    <n v="0"/>
    <x v="0"/>
    <n v="1.23"/>
    <n v="1.371"/>
    <n v="11.79"/>
  </r>
  <r>
    <n v="598"/>
    <d v="2025-08-17T08:00:00"/>
    <x v="1"/>
    <s v="Domingo"/>
    <x v="7"/>
    <x v="2"/>
    <x v="1"/>
    <x v="5"/>
    <x v="5"/>
    <x v="5"/>
    <n v="8600"/>
    <x v="170"/>
    <n v="79"/>
    <n v="238.7"/>
    <n v="59"/>
    <n v="0"/>
    <x v="0"/>
    <n v="11.3"/>
    <n v="17.77"/>
    <x v="0"/>
    <n v="-0.28000000000000003"/>
    <n v="1.3140000000000001"/>
    <n v="0"/>
  </r>
  <r>
    <n v="966"/>
    <d v="2025-08-17T08:00:00"/>
    <x v="1"/>
    <s v="Domingo"/>
    <x v="7"/>
    <x v="2"/>
    <x v="1"/>
    <x v="1"/>
    <x v="1"/>
    <x v="1"/>
    <n v="21000"/>
    <x v="272"/>
    <n v="50.6"/>
    <n v="379.3"/>
    <n v="419"/>
    <n v="1"/>
    <x v="3"/>
    <n v="236.31"/>
    <n v="76.87"/>
    <x v="0"/>
    <n v="16.739999999999998"/>
    <n v="11.253"/>
    <n v="159.44"/>
  </r>
  <r>
    <n v="230"/>
    <d v="2025-08-17T08:00:00"/>
    <x v="1"/>
    <s v="Domingo"/>
    <x v="7"/>
    <x v="2"/>
    <x v="1"/>
    <x v="4"/>
    <x v="4"/>
    <x v="4"/>
    <n v="12500"/>
    <x v="208"/>
    <n v="59.4"/>
    <n v="384.3"/>
    <n v="21"/>
    <n v="0"/>
    <x v="0"/>
    <n v="17.14"/>
    <n v="61.28"/>
    <x v="0"/>
    <n v="-1.83"/>
    <n v="1.371"/>
    <n v="0"/>
  </r>
  <r>
    <n v="2070"/>
    <d v="2025-08-17T08:00:00"/>
    <x v="1"/>
    <s v="Domingo"/>
    <x v="7"/>
    <x v="2"/>
    <x v="1"/>
    <x v="3"/>
    <x v="3"/>
    <x v="3"/>
    <n v="9800"/>
    <x v="43"/>
    <n v="82.3"/>
    <n v="278.10000000000002"/>
    <n v="144"/>
    <n v="0"/>
    <x v="0"/>
    <n v="29.16"/>
    <n v="0"/>
    <x v="0"/>
    <n v="2.97"/>
    <n v="2.976"/>
    <n v="29.16"/>
  </r>
  <r>
    <n v="1334"/>
    <d v="2025-08-17T08:00:00"/>
    <x v="1"/>
    <s v="Domingo"/>
    <x v="7"/>
    <x v="2"/>
    <x v="1"/>
    <x v="2"/>
    <x v="2"/>
    <x v="2"/>
    <n v="17400"/>
    <x v="208"/>
    <m/>
    <n v="348.5"/>
    <n v="0"/>
    <n v="0"/>
    <x v="0"/>
    <n v="34.4"/>
    <n v="44.4"/>
    <x v="0"/>
    <n v="-0.41"/>
    <n v="1.9770000000000001"/>
    <n v="0"/>
  </r>
  <r>
    <n v="1702"/>
    <d v="2025-08-17T08:00:00"/>
    <x v="1"/>
    <s v="Domingo"/>
    <x v="7"/>
    <x v="2"/>
    <x v="1"/>
    <x v="0"/>
    <x v="0"/>
    <x v="0"/>
    <n v="26000"/>
    <x v="181"/>
    <n v="66.8"/>
    <n v="347.2"/>
    <n v="66"/>
    <n v="0"/>
    <x v="0"/>
    <n v="83.3"/>
    <n v="93.74"/>
    <x v="0"/>
    <n v="-0.43"/>
    <n v="3.2040000000000002"/>
    <n v="0"/>
  </r>
  <r>
    <n v="231"/>
    <d v="2025-08-17T14:00:00"/>
    <x v="2"/>
    <s v="Domingo"/>
    <x v="7"/>
    <x v="2"/>
    <x v="1"/>
    <x v="4"/>
    <x v="4"/>
    <x v="4"/>
    <n v="12500"/>
    <x v="293"/>
    <n v="44.6"/>
    <n v="906.6"/>
    <n v="23"/>
    <n v="0"/>
    <x v="0"/>
    <n v="18.170000000000002"/>
    <n v="137.69999999999999"/>
    <x v="0"/>
    <n v="-4.8899999999999997"/>
    <n v="1.454"/>
    <n v="0"/>
  </r>
  <r>
    <n v="2071"/>
    <d v="2025-08-17T14:00:00"/>
    <x v="2"/>
    <s v="Domingo"/>
    <x v="7"/>
    <x v="2"/>
    <x v="1"/>
    <x v="3"/>
    <x v="3"/>
    <x v="3"/>
    <n v="9800"/>
    <x v="194"/>
    <n v="71.8"/>
    <n v="761.8"/>
    <n v="134"/>
    <n v="1"/>
    <x v="3"/>
    <n v="274.47000000000003"/>
    <n v="0"/>
    <x v="0"/>
    <n v="3.39"/>
    <n v="28.007000000000001"/>
    <n v="274.47000000000003"/>
  </r>
  <r>
    <n v="599"/>
    <d v="2025-08-17T14:00:00"/>
    <x v="2"/>
    <s v="Domingo"/>
    <x v="7"/>
    <x v="2"/>
    <x v="1"/>
    <x v="5"/>
    <x v="5"/>
    <x v="5"/>
    <n v="8600"/>
    <x v="254"/>
    <n v="97"/>
    <n v="445.5"/>
    <n v="4"/>
    <n v="0"/>
    <x v="0"/>
    <n v="7.78"/>
    <n v="33.76"/>
    <x v="0"/>
    <n v="-1.1200000000000001"/>
    <n v="0.90500000000000003"/>
    <n v="0"/>
  </r>
  <r>
    <n v="967"/>
    <d v="2025-08-17T14:00:00"/>
    <x v="2"/>
    <s v="Domingo"/>
    <x v="7"/>
    <x v="2"/>
    <x v="1"/>
    <x v="1"/>
    <x v="1"/>
    <x v="1"/>
    <n v="21000"/>
    <x v="322"/>
    <n v="47.3"/>
    <n v="867.2"/>
    <n v="412"/>
    <n v="1"/>
    <x v="3"/>
    <n v="248.76"/>
    <n v="159.01"/>
    <x v="0"/>
    <n v="9.73"/>
    <n v="11.846"/>
    <n v="89.75"/>
  </r>
  <r>
    <n v="1335"/>
    <d v="2025-08-17T14:00:00"/>
    <x v="2"/>
    <s v="Domingo"/>
    <x v="7"/>
    <x v="2"/>
    <x v="1"/>
    <x v="2"/>
    <x v="2"/>
    <x v="2"/>
    <n v="17400"/>
    <x v="267"/>
    <n v="66.599999999999994"/>
    <n v="806.7"/>
    <n v="1506"/>
    <n v="1"/>
    <x v="3"/>
    <n v="236.78"/>
    <n v="102.3"/>
    <x v="0"/>
    <n v="14.15"/>
    <n v="13.608000000000001"/>
    <n v="134.47999999999999"/>
  </r>
  <r>
    <n v="1703"/>
    <d v="2025-08-17T14:00:00"/>
    <x v="2"/>
    <s v="Domingo"/>
    <x v="7"/>
    <x v="2"/>
    <x v="1"/>
    <x v="0"/>
    <x v="0"/>
    <x v="0"/>
    <n v="26000"/>
    <x v="323"/>
    <n v="47.1"/>
    <n v="728.1"/>
    <n v="64"/>
    <n v="1"/>
    <x v="3"/>
    <n v="109.25"/>
    <n v="193.08"/>
    <x v="0"/>
    <n v="-3.61"/>
    <n v="4.202"/>
    <n v="0"/>
  </r>
  <r>
    <n v="2072"/>
    <d v="2025-08-17T20:00:00"/>
    <x v="3"/>
    <s v="Domingo"/>
    <x v="7"/>
    <x v="2"/>
    <x v="1"/>
    <x v="3"/>
    <x v="3"/>
    <x v="3"/>
    <n v="9800"/>
    <x v="249"/>
    <n v="70.7"/>
    <n v="0"/>
    <n v="291"/>
    <n v="0"/>
    <x v="0"/>
    <n v="100.32"/>
    <n v="0"/>
    <x v="0"/>
    <n v="10.199999999999999"/>
    <n v="10.237"/>
    <n v="100.32"/>
  </r>
  <r>
    <n v="600"/>
    <d v="2025-08-17T20:00:00"/>
    <x v="3"/>
    <s v="Domingo"/>
    <x v="7"/>
    <x v="2"/>
    <x v="1"/>
    <x v="5"/>
    <x v="5"/>
    <x v="5"/>
    <n v="8600"/>
    <x v="271"/>
    <n v="64.2"/>
    <n v="0"/>
    <n v="25"/>
    <n v="0"/>
    <x v="0"/>
    <n v="12.72"/>
    <n v="0"/>
    <x v="0"/>
    <n v="1.29"/>
    <n v="1.4790000000000001"/>
    <n v="12.72"/>
  </r>
  <r>
    <n v="1704"/>
    <d v="2025-08-17T20:00:00"/>
    <x v="3"/>
    <s v="Domingo"/>
    <x v="7"/>
    <x v="2"/>
    <x v="1"/>
    <x v="0"/>
    <x v="0"/>
    <x v="0"/>
    <n v="26000"/>
    <x v="218"/>
    <n v="53.7"/>
    <n v="0"/>
    <n v="70"/>
    <n v="1"/>
    <x v="3"/>
    <n v="862.7"/>
    <n v="0"/>
    <x v="0"/>
    <n v="15.96"/>
    <n v="33.180999999999997"/>
    <n v="862.7"/>
  </r>
  <r>
    <n v="968"/>
    <d v="2025-08-17T20:00:00"/>
    <x v="3"/>
    <s v="Domingo"/>
    <x v="7"/>
    <x v="2"/>
    <x v="1"/>
    <x v="1"/>
    <x v="1"/>
    <x v="1"/>
    <n v="21000"/>
    <x v="324"/>
    <n v="44.5"/>
    <n v="0"/>
    <n v="391"/>
    <n v="1"/>
    <x v="3"/>
    <n v="289.38"/>
    <n v="0"/>
    <x v="0"/>
    <n v="30.73"/>
    <n v="13.78"/>
    <n v="289.38"/>
  </r>
  <r>
    <n v="232"/>
    <d v="2025-08-17T20:00:00"/>
    <x v="3"/>
    <s v="Domingo"/>
    <x v="7"/>
    <x v="2"/>
    <x v="1"/>
    <x v="4"/>
    <x v="4"/>
    <x v="4"/>
    <n v="12500"/>
    <x v="267"/>
    <n v="48.7"/>
    <n v="0"/>
    <n v="0"/>
    <n v="0"/>
    <x v="0"/>
    <n v="23.36"/>
    <n v="0"/>
    <x v="0"/>
    <n v="2.4500000000000002"/>
    <n v="1.869"/>
    <n v="23.36"/>
  </r>
  <r>
    <n v="1336"/>
    <d v="2025-08-17T20:00:00"/>
    <x v="3"/>
    <s v="Domingo"/>
    <x v="7"/>
    <x v="2"/>
    <x v="1"/>
    <x v="2"/>
    <x v="2"/>
    <x v="2"/>
    <n v="17400"/>
    <x v="297"/>
    <n v="70.099999999999994"/>
    <n v="0"/>
    <n v="1548"/>
    <n v="1"/>
    <x v="3"/>
    <n v="306.64999999999998"/>
    <n v="0"/>
    <x v="0"/>
    <n v="31.31"/>
    <n v="17.623999999999999"/>
    <n v="306.64999999999998"/>
  </r>
  <r>
    <n v="2073"/>
    <d v="2025-08-21T00:00:00"/>
    <x v="0"/>
    <s v="Jueves"/>
    <x v="7"/>
    <x v="2"/>
    <x v="0"/>
    <x v="3"/>
    <x v="3"/>
    <x v="3"/>
    <n v="9800"/>
    <x v="197"/>
    <n v="77"/>
    <n v="0"/>
    <n v="304"/>
    <n v="0"/>
    <x v="0"/>
    <n v="93.37"/>
    <n v="0"/>
    <x v="0"/>
    <n v="10"/>
    <n v="9.5280000000000005"/>
    <n v="93.37"/>
  </r>
  <r>
    <n v="601"/>
    <d v="2025-08-21T00:00:00"/>
    <x v="0"/>
    <s v="Jueves"/>
    <x v="7"/>
    <x v="2"/>
    <x v="0"/>
    <x v="5"/>
    <x v="5"/>
    <x v="5"/>
    <n v="8600"/>
    <x v="101"/>
    <n v="88.3"/>
    <n v="0"/>
    <n v="0"/>
    <n v="0"/>
    <x v="0"/>
    <n v="12.08"/>
    <n v="0"/>
    <x v="0"/>
    <n v="1.26"/>
    <n v="1.405"/>
    <n v="12.08"/>
  </r>
  <r>
    <n v="969"/>
    <d v="2025-08-21T00:00:00"/>
    <x v="0"/>
    <s v="Jueves"/>
    <x v="7"/>
    <x v="2"/>
    <x v="0"/>
    <x v="1"/>
    <x v="1"/>
    <x v="1"/>
    <n v="21000"/>
    <x v="43"/>
    <m/>
    <n v="0"/>
    <n v="217"/>
    <n v="0"/>
    <x v="0"/>
    <n v="168.83"/>
    <n v="0"/>
    <x v="0"/>
    <n v="17.47"/>
    <n v="8.0399999999999991"/>
    <n v="168.83"/>
  </r>
  <r>
    <n v="1705"/>
    <d v="2025-08-21T00:00:00"/>
    <x v="0"/>
    <s v="Jueves"/>
    <x v="7"/>
    <x v="2"/>
    <x v="0"/>
    <x v="0"/>
    <x v="0"/>
    <x v="0"/>
    <n v="26000"/>
    <x v="195"/>
    <n v="63.4"/>
    <n v="0"/>
    <n v="34"/>
    <n v="0"/>
    <x v="0"/>
    <n v="104.52"/>
    <n v="0"/>
    <x v="0"/>
    <n v="11.18"/>
    <n v="4.0199999999999996"/>
    <n v="104.52"/>
  </r>
  <r>
    <n v="233"/>
    <d v="2025-08-21T00:00:00"/>
    <x v="0"/>
    <s v="Jueves"/>
    <x v="7"/>
    <x v="2"/>
    <x v="0"/>
    <x v="4"/>
    <x v="4"/>
    <x v="4"/>
    <n v="12500"/>
    <x v="72"/>
    <n v="66.8"/>
    <n v="0"/>
    <n v="0"/>
    <n v="0"/>
    <x v="0"/>
    <n v="23.03"/>
    <n v="0"/>
    <x v="0"/>
    <n v="2.41"/>
    <n v="1.8420000000000001"/>
    <n v="23.03"/>
  </r>
  <r>
    <n v="1337"/>
    <d v="2025-08-21T00:00:00"/>
    <x v="0"/>
    <s v="Jueves"/>
    <x v="7"/>
    <x v="2"/>
    <x v="0"/>
    <x v="2"/>
    <x v="2"/>
    <x v="2"/>
    <n v="17400"/>
    <x v="220"/>
    <n v="70.900000000000006"/>
    <n v="0"/>
    <n v="92"/>
    <n v="0"/>
    <x v="0"/>
    <n v="53.32"/>
    <n v="0"/>
    <x v="0"/>
    <n v="5.81"/>
    <n v="3.0640000000000001"/>
    <n v="53.32"/>
  </r>
  <r>
    <n v="602"/>
    <d v="2025-08-21T08:00:00"/>
    <x v="1"/>
    <s v="Jueves"/>
    <x v="7"/>
    <x v="2"/>
    <x v="0"/>
    <x v="5"/>
    <x v="5"/>
    <x v="5"/>
    <n v="8600"/>
    <x v="164"/>
    <n v="82.6"/>
    <n v="224.4"/>
    <n v="14"/>
    <n v="0"/>
    <x v="0"/>
    <n v="8"/>
    <n v="18.260000000000002"/>
    <x v="1"/>
    <n v="-0.71"/>
    <n v="0.93"/>
    <n v="0"/>
  </r>
  <r>
    <n v="234"/>
    <d v="2025-08-21T08:00:00"/>
    <x v="1"/>
    <s v="Jueves"/>
    <x v="7"/>
    <x v="2"/>
    <x v="0"/>
    <x v="4"/>
    <x v="4"/>
    <x v="4"/>
    <n v="12500"/>
    <x v="249"/>
    <n v="56.6"/>
    <n v="367.9"/>
    <n v="337"/>
    <n v="0"/>
    <x v="0"/>
    <n v="65.819999999999993"/>
    <n v="56.4"/>
    <x v="1"/>
    <n v="1.61"/>
    <n v="5.266"/>
    <n v="9.42"/>
  </r>
  <r>
    <n v="1706"/>
    <d v="2025-08-21T08:00:00"/>
    <x v="1"/>
    <s v="Jueves"/>
    <x v="7"/>
    <x v="2"/>
    <x v="0"/>
    <x v="0"/>
    <x v="0"/>
    <x v="0"/>
    <n v="26000"/>
    <x v="196"/>
    <n v="62.7"/>
    <n v="341.8"/>
    <n v="161"/>
    <n v="1"/>
    <x v="3"/>
    <n v="157.16999999999999"/>
    <n v="85.63"/>
    <x v="1"/>
    <n v="11.76"/>
    <n v="6.0449999999999999"/>
    <n v="71.540000000000006"/>
  </r>
  <r>
    <n v="970"/>
    <d v="2025-08-21T08:00:00"/>
    <x v="1"/>
    <s v="Jueves"/>
    <x v="7"/>
    <x v="2"/>
    <x v="0"/>
    <x v="1"/>
    <x v="1"/>
    <x v="1"/>
    <n v="21000"/>
    <x v="293"/>
    <n v="57.5"/>
    <n v="328.4"/>
    <n v="401"/>
    <n v="1"/>
    <x v="3"/>
    <n v="192.77"/>
    <n v="66.41"/>
    <x v="1"/>
    <n v="21.65"/>
    <n v="9.18"/>
    <n v="126.36"/>
  </r>
  <r>
    <n v="2074"/>
    <d v="2025-08-21T08:00:00"/>
    <x v="1"/>
    <s v="Jueves"/>
    <x v="7"/>
    <x v="2"/>
    <x v="0"/>
    <x v="3"/>
    <x v="3"/>
    <x v="3"/>
    <n v="9800"/>
    <x v="254"/>
    <n v="71.400000000000006"/>
    <n v="256.60000000000002"/>
    <n v="88"/>
    <n v="1"/>
    <x v="2"/>
    <n v="19.91"/>
    <n v="0"/>
    <x v="1"/>
    <n v="3.42"/>
    <n v="2.032"/>
    <n v="19.91"/>
  </r>
  <r>
    <n v="1338"/>
    <d v="2025-08-21T08:00:00"/>
    <x v="1"/>
    <s v="Jueves"/>
    <x v="7"/>
    <x v="2"/>
    <x v="0"/>
    <x v="2"/>
    <x v="2"/>
    <x v="2"/>
    <n v="17400"/>
    <x v="169"/>
    <n v="67.900000000000006"/>
    <n v="250.5"/>
    <n v="130"/>
    <n v="0"/>
    <x v="0"/>
    <n v="40.65"/>
    <n v="30.64"/>
    <x v="1"/>
    <n v="1.71"/>
    <n v="2.3359999999999999"/>
    <n v="10.01"/>
  </r>
  <r>
    <n v="1339"/>
    <d v="2025-08-21T14:00:00"/>
    <x v="2"/>
    <s v="Jueves"/>
    <x v="7"/>
    <x v="2"/>
    <x v="0"/>
    <x v="2"/>
    <x v="2"/>
    <x v="2"/>
    <n v="17400"/>
    <x v="278"/>
    <n v="66.5"/>
    <n v="850"/>
    <n v="1282"/>
    <n v="1"/>
    <x v="3"/>
    <n v="210.49"/>
    <n v="107.19"/>
    <x v="1"/>
    <n v="17.260000000000002"/>
    <n v="12.097"/>
    <n v="103.3"/>
  </r>
  <r>
    <n v="603"/>
    <d v="2025-08-21T14:00:00"/>
    <x v="2"/>
    <s v="Jueves"/>
    <x v="7"/>
    <x v="2"/>
    <x v="0"/>
    <x v="5"/>
    <x v="5"/>
    <x v="5"/>
    <n v="8600"/>
    <x v="236"/>
    <n v="68.5"/>
    <n v="684.3"/>
    <n v="0"/>
    <n v="0"/>
    <x v="0"/>
    <n v="8.0500000000000007"/>
    <n v="54.23"/>
    <x v="1"/>
    <n v="-2.99"/>
    <n v="0.93600000000000005"/>
    <n v="0"/>
  </r>
  <r>
    <n v="971"/>
    <d v="2025-08-21T14:00:00"/>
    <x v="2"/>
    <s v="Jueves"/>
    <x v="7"/>
    <x v="2"/>
    <x v="0"/>
    <x v="1"/>
    <x v="1"/>
    <x v="1"/>
    <n v="21000"/>
    <x v="325"/>
    <n v="52.2"/>
    <n v="618"/>
    <n v="395"/>
    <n v="1"/>
    <x v="3"/>
    <n v="227.14"/>
    <n v="118.41"/>
    <x v="1"/>
    <n v="18.14"/>
    <n v="10.816000000000001"/>
    <n v="108.73"/>
  </r>
  <r>
    <n v="1707"/>
    <d v="2025-08-21T14:00:00"/>
    <x v="2"/>
    <s v="Jueves"/>
    <x v="7"/>
    <x v="2"/>
    <x v="0"/>
    <x v="0"/>
    <x v="0"/>
    <x v="0"/>
    <n v="26000"/>
    <x v="257"/>
    <n v="50.8"/>
    <n v="774"/>
    <n v="158"/>
    <n v="1"/>
    <x v="3"/>
    <n v="167.21"/>
    <n v="203.46"/>
    <x v="1"/>
    <n v="-2.46"/>
    <n v="6.431"/>
    <n v="0"/>
  </r>
  <r>
    <n v="235"/>
    <d v="2025-08-21T14:00:00"/>
    <x v="2"/>
    <s v="Jueves"/>
    <x v="7"/>
    <x v="2"/>
    <x v="0"/>
    <x v="4"/>
    <x v="4"/>
    <x v="4"/>
    <n v="12500"/>
    <x v="326"/>
    <n v="47.8"/>
    <n v="864.6"/>
    <n v="682"/>
    <n v="1"/>
    <x v="3"/>
    <n v="112.22"/>
    <n v="135.13999999999999"/>
    <x v="1"/>
    <n v="-1.55"/>
    <n v="8.9779999999999998"/>
    <n v="0"/>
  </r>
  <r>
    <n v="2075"/>
    <d v="2025-08-21T14:00:00"/>
    <x v="2"/>
    <s v="Jueves"/>
    <x v="7"/>
    <x v="2"/>
    <x v="0"/>
    <x v="3"/>
    <x v="3"/>
    <x v="3"/>
    <n v="9800"/>
    <x v="232"/>
    <n v="61.1"/>
    <n v="755.6"/>
    <n v="36"/>
    <n v="1"/>
    <x v="3"/>
    <n v="19.329999999999998"/>
    <n v="0"/>
    <x v="1"/>
    <n v="3.24"/>
    <n v="1.972"/>
    <n v="19.329999999999998"/>
  </r>
  <r>
    <n v="972"/>
    <d v="2025-08-21T20:00:00"/>
    <x v="3"/>
    <s v="Jueves"/>
    <x v="7"/>
    <x v="2"/>
    <x v="0"/>
    <x v="1"/>
    <x v="1"/>
    <x v="1"/>
    <n v="21000"/>
    <x v="229"/>
    <n v="57.4"/>
    <n v="0"/>
    <n v="415"/>
    <n v="1"/>
    <x v="3"/>
    <n v="298.25"/>
    <n v="0"/>
    <x v="2"/>
    <n v="77.099999999999994"/>
    <n v="14.202"/>
    <n v="298.25"/>
  </r>
  <r>
    <n v="2076"/>
    <d v="2025-08-21T20:00:00"/>
    <x v="3"/>
    <s v="Jueves"/>
    <x v="7"/>
    <x v="2"/>
    <x v="0"/>
    <x v="3"/>
    <x v="3"/>
    <x v="3"/>
    <n v="9800"/>
    <x v="273"/>
    <n v="64.8"/>
    <n v="0"/>
    <n v="305"/>
    <n v="1"/>
    <x v="3"/>
    <n v="96.8"/>
    <n v="0"/>
    <x v="2"/>
    <n v="24.98"/>
    <n v="9.8780000000000001"/>
    <n v="96.8"/>
  </r>
  <r>
    <n v="236"/>
    <d v="2025-08-21T20:00:00"/>
    <x v="3"/>
    <s v="Jueves"/>
    <x v="7"/>
    <x v="2"/>
    <x v="0"/>
    <x v="4"/>
    <x v="4"/>
    <x v="4"/>
    <n v="12500"/>
    <x v="194"/>
    <n v="45"/>
    <n v="0"/>
    <n v="78"/>
    <n v="1"/>
    <x v="3"/>
    <n v="39.69"/>
    <n v="0"/>
    <x v="2"/>
    <n v="10.18"/>
    <n v="3.1749999999999998"/>
    <n v="39.69"/>
  </r>
  <r>
    <n v="1340"/>
    <d v="2025-08-21T20:00:00"/>
    <x v="3"/>
    <s v="Jueves"/>
    <x v="7"/>
    <x v="2"/>
    <x v="0"/>
    <x v="2"/>
    <x v="2"/>
    <x v="2"/>
    <n v="17400"/>
    <x v="222"/>
    <n v="63.7"/>
    <n v="0"/>
    <n v="1344"/>
    <n v="1"/>
    <x v="3"/>
    <n v="285.72000000000003"/>
    <n v="0"/>
    <x v="2"/>
    <n v="74.599999999999994"/>
    <n v="16.420999999999999"/>
    <n v="285.72000000000003"/>
  </r>
  <r>
    <n v="1708"/>
    <d v="2025-08-21T20:00:00"/>
    <x v="3"/>
    <s v="Jueves"/>
    <x v="7"/>
    <x v="2"/>
    <x v="0"/>
    <x v="0"/>
    <x v="0"/>
    <x v="0"/>
    <n v="26000"/>
    <x v="216"/>
    <n v="47.6"/>
    <n v="0"/>
    <n v="163"/>
    <n v="1"/>
    <x v="3"/>
    <m/>
    <n v="0"/>
    <x v="2"/>
    <n v="68.239999999999995"/>
    <m/>
    <m/>
  </r>
  <r>
    <n v="604"/>
    <d v="2025-08-21T20:00:00"/>
    <x v="3"/>
    <s v="Jueves"/>
    <x v="7"/>
    <x v="2"/>
    <x v="0"/>
    <x v="5"/>
    <x v="5"/>
    <x v="5"/>
    <n v="8600"/>
    <x v="200"/>
    <n v="84.3"/>
    <n v="0"/>
    <n v="5"/>
    <n v="0"/>
    <x v="0"/>
    <n v="11.91"/>
    <n v="0"/>
    <x v="2"/>
    <n v="2.96"/>
    <n v="1.385"/>
    <n v="11.91"/>
  </r>
  <r>
    <n v="237"/>
    <d v="2025-08-25T00:00:00"/>
    <x v="0"/>
    <s v="Lunes"/>
    <x v="7"/>
    <x v="2"/>
    <x v="0"/>
    <x v="4"/>
    <x v="4"/>
    <x v="4"/>
    <n v="12500"/>
    <x v="43"/>
    <n v="49.8"/>
    <n v="0"/>
    <n v="20"/>
    <n v="0"/>
    <x v="0"/>
    <n v="24.69"/>
    <n v="0"/>
    <x v="0"/>
    <n v="2.57"/>
    <n v="1.9750000000000001"/>
    <n v="24.69"/>
  </r>
  <r>
    <n v="605"/>
    <d v="2025-08-25T00:00:00"/>
    <x v="0"/>
    <s v="Lunes"/>
    <x v="7"/>
    <x v="2"/>
    <x v="0"/>
    <x v="5"/>
    <x v="5"/>
    <x v="5"/>
    <n v="8600"/>
    <x v="35"/>
    <n v="88.9"/>
    <n v="0"/>
    <n v="0"/>
    <n v="0"/>
    <x v="0"/>
    <n v="12"/>
    <n v="0"/>
    <x v="0"/>
    <n v="1.26"/>
    <n v="1.395"/>
    <n v="12"/>
  </r>
  <r>
    <n v="1341"/>
    <d v="2025-08-25T00:00:00"/>
    <x v="0"/>
    <s v="Lunes"/>
    <x v="7"/>
    <x v="2"/>
    <x v="0"/>
    <x v="2"/>
    <x v="2"/>
    <x v="2"/>
    <n v="17400"/>
    <x v="169"/>
    <n v="66.900000000000006"/>
    <n v="0"/>
    <n v="0"/>
    <n v="0"/>
    <x v="0"/>
    <n v="44.3"/>
    <n v="0"/>
    <x v="0"/>
    <n v="4.72"/>
    <n v="2.5459999999999998"/>
    <n v="44.3"/>
  </r>
  <r>
    <n v="1709"/>
    <d v="2025-08-25T00:00:00"/>
    <x v="0"/>
    <s v="Lunes"/>
    <x v="7"/>
    <x v="2"/>
    <x v="0"/>
    <x v="0"/>
    <x v="0"/>
    <x v="0"/>
    <n v="26000"/>
    <x v="199"/>
    <n v="54.9"/>
    <n v="0"/>
    <n v="41"/>
    <n v="0"/>
    <x v="0"/>
    <n v="106.04"/>
    <n v="0"/>
    <x v="0"/>
    <n v="10.94"/>
    <n v="4.0780000000000003"/>
    <n v="106.04"/>
  </r>
  <r>
    <n v="973"/>
    <d v="2025-08-25T00:00:00"/>
    <x v="0"/>
    <s v="Lunes"/>
    <x v="7"/>
    <x v="2"/>
    <x v="0"/>
    <x v="1"/>
    <x v="1"/>
    <x v="1"/>
    <n v="21000"/>
    <x v="176"/>
    <n v="52.5"/>
    <n v="0"/>
    <n v="214"/>
    <n v="0"/>
    <x v="0"/>
    <n v="172.3"/>
    <n v="0"/>
    <x v="0"/>
    <n v="18.260000000000002"/>
    <n v="8.2050000000000001"/>
    <n v="172.3"/>
  </r>
  <r>
    <n v="2077"/>
    <d v="2025-08-25T00:00:00"/>
    <x v="0"/>
    <s v="Lunes"/>
    <x v="7"/>
    <x v="2"/>
    <x v="0"/>
    <x v="3"/>
    <x v="3"/>
    <x v="3"/>
    <n v="9800"/>
    <x v="193"/>
    <n v="82.4"/>
    <n v="0"/>
    <n v="314"/>
    <n v="0"/>
    <x v="0"/>
    <n v="94.49"/>
    <n v="0"/>
    <x v="0"/>
    <n v="9.86"/>
    <n v="9.6419999999999995"/>
    <n v="94.49"/>
  </r>
  <r>
    <n v="1710"/>
    <d v="2025-08-25T08:00:00"/>
    <x v="1"/>
    <s v="Lunes"/>
    <x v="7"/>
    <x v="2"/>
    <x v="0"/>
    <x v="0"/>
    <x v="0"/>
    <x v="0"/>
    <n v="26000"/>
    <x v="298"/>
    <n v="59"/>
    <n v="321.89999999999998"/>
    <n v="164"/>
    <n v="0"/>
    <x v="0"/>
    <n v="146.03"/>
    <n v="83.98"/>
    <x v="1"/>
    <n v="10.24"/>
    <n v="5.617"/>
    <n v="62.05"/>
  </r>
  <r>
    <n v="974"/>
    <d v="2025-08-25T08:00:00"/>
    <x v="1"/>
    <s v="Lunes"/>
    <x v="7"/>
    <x v="2"/>
    <x v="0"/>
    <x v="1"/>
    <x v="1"/>
    <x v="1"/>
    <n v="21000"/>
    <x v="303"/>
    <n v="46.4"/>
    <n v="297.60000000000002"/>
    <n v="365"/>
    <n v="1"/>
    <x v="3"/>
    <n v="190.11"/>
    <n v="61.36"/>
    <x v="1"/>
    <n v="21.04"/>
    <n v="9.0530000000000008"/>
    <n v="128.75"/>
  </r>
  <r>
    <n v="238"/>
    <d v="2025-08-25T08:00:00"/>
    <x v="1"/>
    <s v="Lunes"/>
    <x v="7"/>
    <x v="2"/>
    <x v="0"/>
    <x v="4"/>
    <x v="4"/>
    <x v="4"/>
    <n v="12500"/>
    <x v="192"/>
    <n v="55.3"/>
    <n v="295.10000000000002"/>
    <n v="382"/>
    <n v="0"/>
    <x v="0"/>
    <n v="68.34"/>
    <n v="43.75"/>
    <x v="1"/>
    <n v="4.1500000000000004"/>
    <n v="5.4669999999999996"/>
    <n v="24.59"/>
  </r>
  <r>
    <n v="2078"/>
    <d v="2025-08-25T08:00:00"/>
    <x v="1"/>
    <s v="Lunes"/>
    <x v="7"/>
    <x v="2"/>
    <x v="0"/>
    <x v="3"/>
    <x v="3"/>
    <x v="3"/>
    <n v="9800"/>
    <x v="144"/>
    <n v="79"/>
    <n v="237.8"/>
    <n v="62"/>
    <n v="0"/>
    <x v="0"/>
    <n v="17.82"/>
    <n v="0"/>
    <x v="1"/>
    <n v="2.96"/>
    <n v="1.8180000000000001"/>
    <n v="17.82"/>
  </r>
  <r>
    <n v="606"/>
    <d v="2025-08-25T08:00:00"/>
    <x v="1"/>
    <s v="Lunes"/>
    <x v="7"/>
    <x v="2"/>
    <x v="0"/>
    <x v="5"/>
    <x v="5"/>
    <x v="5"/>
    <n v="8600"/>
    <x v="11"/>
    <n v="84.1"/>
    <n v="185.8"/>
    <n v="136"/>
    <n v="0"/>
    <x v="0"/>
    <n v="14.99"/>
    <n v="14.85"/>
    <x v="1"/>
    <n v="0.02"/>
    <n v="1.7430000000000001"/>
    <n v="0.14000000000000001"/>
  </r>
  <r>
    <n v="1342"/>
    <d v="2025-08-25T08:00:00"/>
    <x v="1"/>
    <s v="Lunes"/>
    <x v="7"/>
    <x v="2"/>
    <x v="0"/>
    <x v="2"/>
    <x v="2"/>
    <x v="2"/>
    <n v="17400"/>
    <x v="266"/>
    <n v="67.7"/>
    <n v="292.3"/>
    <n v="181"/>
    <n v="0"/>
    <x v="0"/>
    <n v="42.78"/>
    <n v="38.409999999999997"/>
    <x v="1"/>
    <n v="0.73"/>
    <n v="2.4590000000000001"/>
    <n v="4.37"/>
  </r>
  <r>
    <n v="239"/>
    <d v="2025-08-25T14:00:00"/>
    <x v="2"/>
    <s v="Lunes"/>
    <x v="7"/>
    <x v="2"/>
    <x v="0"/>
    <x v="4"/>
    <x v="4"/>
    <x v="4"/>
    <n v="12500"/>
    <x v="269"/>
    <n v="44.7"/>
    <n v="855.5"/>
    <n v="565"/>
    <n v="1"/>
    <x v="3"/>
    <n v="107.54"/>
    <n v="121.22"/>
    <x v="1"/>
    <n v="-0.9"/>
    <n v="8.6029999999999998"/>
    <n v="0"/>
  </r>
  <r>
    <n v="1711"/>
    <d v="2025-08-25T14:00:00"/>
    <x v="2"/>
    <s v="Lunes"/>
    <x v="7"/>
    <x v="2"/>
    <x v="0"/>
    <x v="0"/>
    <x v="0"/>
    <x v="0"/>
    <n v="26000"/>
    <x v="233"/>
    <m/>
    <n v="715.8"/>
    <n v="159"/>
    <n v="1"/>
    <x v="3"/>
    <n v="149.9"/>
    <n v="183.13"/>
    <x v="1"/>
    <n v="-2.27"/>
    <n v="5.7649999999999997"/>
    <n v="0"/>
  </r>
  <r>
    <n v="2079"/>
    <d v="2025-08-25T14:00:00"/>
    <x v="2"/>
    <s v="Lunes"/>
    <x v="7"/>
    <x v="2"/>
    <x v="0"/>
    <x v="3"/>
    <x v="3"/>
    <x v="3"/>
    <n v="9800"/>
    <x v="238"/>
    <n v="61.6"/>
    <n v="806.5"/>
    <n v="85"/>
    <n v="1"/>
    <x v="3"/>
    <n v="23.01"/>
    <n v="0"/>
    <x v="1"/>
    <n v="3.89"/>
    <n v="2.3479999999999999"/>
    <n v="23.01"/>
  </r>
  <r>
    <n v="1343"/>
    <d v="2025-08-25T14:00:00"/>
    <x v="2"/>
    <s v="Lunes"/>
    <x v="7"/>
    <x v="2"/>
    <x v="0"/>
    <x v="2"/>
    <x v="2"/>
    <x v="2"/>
    <n v="17400"/>
    <x v="265"/>
    <n v="58.6"/>
    <n v="836.6"/>
    <n v="1258"/>
    <n v="1"/>
    <x v="3"/>
    <n v="218.29"/>
    <n v="98.94"/>
    <x v="1"/>
    <n v="20.59"/>
    <n v="12.545"/>
    <n v="119.35"/>
  </r>
  <r>
    <n v="607"/>
    <d v="2025-08-25T14:00:00"/>
    <x v="2"/>
    <s v="Lunes"/>
    <x v="7"/>
    <x v="2"/>
    <x v="0"/>
    <x v="5"/>
    <x v="5"/>
    <x v="5"/>
    <n v="8600"/>
    <x v="271"/>
    <n v="78.7"/>
    <n v="566.20000000000005"/>
    <n v="0"/>
    <n v="0"/>
    <x v="0"/>
    <n v="8.0500000000000007"/>
    <n v="46.96"/>
    <x v="1"/>
    <n v="-2.62"/>
    <n v="0.93600000000000005"/>
    <n v="0"/>
  </r>
  <r>
    <n v="975"/>
    <d v="2025-08-25T14:00:00"/>
    <x v="2"/>
    <s v="Lunes"/>
    <x v="7"/>
    <x v="2"/>
    <x v="0"/>
    <x v="1"/>
    <x v="1"/>
    <x v="1"/>
    <n v="21000"/>
    <x v="295"/>
    <n v="55.1"/>
    <n v="802.2"/>
    <n v="361"/>
    <n v="1"/>
    <x v="3"/>
    <n v="231.84"/>
    <n v="162.44"/>
    <x v="1"/>
    <n v="11.49"/>
    <n v="11.04"/>
    <n v="69.400000000000006"/>
  </r>
  <r>
    <n v="608"/>
    <d v="2025-08-25T20:00:00"/>
    <x v="3"/>
    <s v="Lunes"/>
    <x v="7"/>
    <x v="2"/>
    <x v="0"/>
    <x v="5"/>
    <x v="5"/>
    <x v="5"/>
    <n v="8600"/>
    <x v="255"/>
    <n v="76.7"/>
    <n v="0"/>
    <n v="56"/>
    <n v="0"/>
    <x v="0"/>
    <n v="15.35"/>
    <n v="0"/>
    <x v="2"/>
    <n v="3.93"/>
    <n v="1.7849999999999999"/>
    <n v="15.35"/>
  </r>
  <r>
    <n v="1712"/>
    <d v="2025-08-25T20:00:00"/>
    <x v="3"/>
    <s v="Lunes"/>
    <x v="7"/>
    <x v="2"/>
    <x v="0"/>
    <x v="0"/>
    <x v="0"/>
    <x v="0"/>
    <n v="26000"/>
    <x v="245"/>
    <n v="57.7"/>
    <n v="0"/>
    <n v="158"/>
    <n v="1"/>
    <x v="3"/>
    <n v="256.58999999999997"/>
    <n v="0"/>
    <x v="2"/>
    <n v="67.97"/>
    <n v="9.8689999999999998"/>
    <n v="256.58999999999997"/>
  </r>
  <r>
    <n v="240"/>
    <d v="2025-08-25T20:00:00"/>
    <x v="3"/>
    <s v="Lunes"/>
    <x v="7"/>
    <x v="2"/>
    <x v="0"/>
    <x v="4"/>
    <x v="4"/>
    <x v="4"/>
    <n v="12500"/>
    <x v="214"/>
    <n v="47.1"/>
    <n v="0"/>
    <n v="31"/>
    <n v="1"/>
    <x v="2"/>
    <n v="35.07"/>
    <n v="0"/>
    <x v="2"/>
    <n v="9.36"/>
    <n v="2.806"/>
    <n v="35.07"/>
  </r>
  <r>
    <n v="976"/>
    <d v="2025-08-25T20:00:00"/>
    <x v="3"/>
    <s v="Lunes"/>
    <x v="7"/>
    <x v="2"/>
    <x v="0"/>
    <x v="1"/>
    <x v="1"/>
    <x v="1"/>
    <n v="21000"/>
    <x v="282"/>
    <n v="47.3"/>
    <n v="0"/>
    <n v="429"/>
    <n v="1"/>
    <x v="3"/>
    <n v="296.75"/>
    <n v="0"/>
    <x v="2"/>
    <n v="76.5"/>
    <n v="14.131"/>
    <n v="296.75"/>
  </r>
  <r>
    <n v="2080"/>
    <d v="2025-08-25T20:00:00"/>
    <x v="3"/>
    <s v="Lunes"/>
    <x v="7"/>
    <x v="2"/>
    <x v="0"/>
    <x v="3"/>
    <x v="3"/>
    <x v="3"/>
    <n v="9800"/>
    <x v="192"/>
    <n v="69.8"/>
    <n v="0"/>
    <n v="280"/>
    <n v="0"/>
    <x v="0"/>
    <n v="95.94"/>
    <n v="0"/>
    <x v="2"/>
    <n v="24.53"/>
    <n v="9.7899999999999991"/>
    <n v="95.94"/>
  </r>
  <r>
    <n v="1344"/>
    <d v="2025-08-25T20:00:00"/>
    <x v="3"/>
    <s v="Lunes"/>
    <x v="7"/>
    <x v="2"/>
    <x v="0"/>
    <x v="2"/>
    <x v="2"/>
    <x v="2"/>
    <n v="17400"/>
    <x v="288"/>
    <n v="66.5"/>
    <n v="0"/>
    <n v="1249"/>
    <n v="1"/>
    <x v="3"/>
    <n v="287.61"/>
    <n v="0"/>
    <x v="2"/>
    <n v="74.400000000000006"/>
    <n v="16.529"/>
    <n v="287.61"/>
  </r>
  <r>
    <n v="977"/>
    <d v="2025-08-29T00:00:00"/>
    <x v="0"/>
    <s v="Viernes"/>
    <x v="7"/>
    <x v="2"/>
    <x v="0"/>
    <x v="1"/>
    <x v="1"/>
    <x v="1"/>
    <n v="21000"/>
    <x v="213"/>
    <n v="59.9"/>
    <n v="0"/>
    <n v="211"/>
    <n v="0"/>
    <x v="0"/>
    <n v="162.72999999999999"/>
    <n v="0"/>
    <x v="0"/>
    <n v="16.14"/>
    <n v="7.7489999999999997"/>
    <n v="162.72999999999999"/>
  </r>
  <r>
    <n v="241"/>
    <d v="2025-08-29T00:00:00"/>
    <x v="0"/>
    <s v="Viernes"/>
    <x v="7"/>
    <x v="2"/>
    <x v="0"/>
    <x v="4"/>
    <x v="4"/>
    <x v="4"/>
    <n v="12500"/>
    <x v="131"/>
    <n v="54.6"/>
    <n v="0"/>
    <n v="52"/>
    <n v="0"/>
    <x v="0"/>
    <n v="27.29"/>
    <n v="0"/>
    <x v="0"/>
    <n v="2.87"/>
    <n v="2.1829999999999998"/>
    <n v="27.29"/>
  </r>
  <r>
    <n v="1713"/>
    <d v="2025-08-29T00:00:00"/>
    <x v="0"/>
    <s v="Viernes"/>
    <x v="7"/>
    <x v="2"/>
    <x v="0"/>
    <x v="0"/>
    <x v="0"/>
    <x v="0"/>
    <n v="26000"/>
    <x v="180"/>
    <n v="70.099999999999994"/>
    <n v="0"/>
    <n v="66"/>
    <n v="0"/>
    <x v="0"/>
    <n v="111.36"/>
    <n v="0"/>
    <x v="0"/>
    <n v="11.58"/>
    <n v="4.2830000000000004"/>
    <n v="111.36"/>
  </r>
  <r>
    <n v="2081"/>
    <d v="2025-08-29T00:00:00"/>
    <x v="0"/>
    <s v="Viernes"/>
    <x v="7"/>
    <x v="2"/>
    <x v="0"/>
    <x v="3"/>
    <x v="3"/>
    <x v="3"/>
    <n v="9800"/>
    <x v="131"/>
    <n v="72.5"/>
    <n v="0"/>
    <n v="290"/>
    <n v="1"/>
    <x v="2"/>
    <n v="93.33"/>
    <n v="0"/>
    <x v="0"/>
    <n v="9.9"/>
    <n v="9.5229999999999997"/>
    <n v="93.33"/>
  </r>
  <r>
    <n v="609"/>
    <d v="2025-08-29T00:00:00"/>
    <x v="0"/>
    <s v="Viernes"/>
    <x v="7"/>
    <x v="2"/>
    <x v="0"/>
    <x v="5"/>
    <x v="5"/>
    <x v="5"/>
    <n v="8600"/>
    <x v="182"/>
    <n v="85.3"/>
    <n v="0"/>
    <n v="10"/>
    <n v="0"/>
    <x v="0"/>
    <n v="12.41"/>
    <n v="0"/>
    <x v="0"/>
    <n v="1.33"/>
    <n v="1.4430000000000001"/>
    <n v="12.41"/>
  </r>
  <r>
    <n v="1345"/>
    <d v="2025-08-29T00:00:00"/>
    <x v="0"/>
    <s v="Viernes"/>
    <x v="7"/>
    <x v="2"/>
    <x v="0"/>
    <x v="2"/>
    <x v="2"/>
    <x v="2"/>
    <n v="17400"/>
    <x v="211"/>
    <n v="72.2"/>
    <n v="0"/>
    <n v="81"/>
    <n v="0"/>
    <x v="0"/>
    <n v="49.71"/>
    <n v="0"/>
    <x v="0"/>
    <n v="5.34"/>
    <n v="2.8570000000000002"/>
    <n v="49.71"/>
  </r>
  <r>
    <n v="2082"/>
    <d v="2025-08-29T08:00:00"/>
    <x v="1"/>
    <s v="Viernes"/>
    <x v="7"/>
    <x v="2"/>
    <x v="0"/>
    <x v="3"/>
    <x v="3"/>
    <x v="3"/>
    <n v="9800"/>
    <x v="281"/>
    <n v="79.400000000000006"/>
    <n v="224.4"/>
    <n v="60"/>
    <n v="1"/>
    <x v="2"/>
    <n v="17.760000000000002"/>
    <n v="0"/>
    <x v="1"/>
    <n v="3.03"/>
    <n v="1.8120000000000001"/>
    <n v="17.760000000000002"/>
  </r>
  <r>
    <n v="242"/>
    <d v="2025-08-29T08:00:00"/>
    <x v="1"/>
    <s v="Viernes"/>
    <x v="7"/>
    <x v="2"/>
    <x v="0"/>
    <x v="4"/>
    <x v="4"/>
    <x v="4"/>
    <n v="12500"/>
    <x v="266"/>
    <n v="46.4"/>
    <n v="264.39999999999998"/>
    <n v="358"/>
    <n v="0"/>
    <x v="0"/>
    <n v="70.73"/>
    <n v="41.97"/>
    <x v="1"/>
    <n v="4.87"/>
    <n v="5.6580000000000004"/>
    <n v="28.76"/>
  </r>
  <r>
    <n v="610"/>
    <d v="2025-08-29T08:00:00"/>
    <x v="1"/>
    <s v="Viernes"/>
    <x v="7"/>
    <x v="2"/>
    <x v="0"/>
    <x v="5"/>
    <x v="5"/>
    <x v="5"/>
    <n v="8600"/>
    <x v="197"/>
    <n v="89.2"/>
    <n v="188.3"/>
    <n v="0"/>
    <n v="0"/>
    <x v="0"/>
    <n v="7.51"/>
    <n v="14.87"/>
    <x v="1"/>
    <n v="-0.49"/>
    <n v="0.873"/>
    <n v="0"/>
  </r>
  <r>
    <n v="1346"/>
    <d v="2025-08-29T08:00:00"/>
    <x v="1"/>
    <s v="Viernes"/>
    <x v="7"/>
    <x v="2"/>
    <x v="0"/>
    <x v="2"/>
    <x v="2"/>
    <x v="2"/>
    <n v="17400"/>
    <x v="191"/>
    <n v="78.2"/>
    <n v="197.3"/>
    <m/>
    <n v="0"/>
    <x v="0"/>
    <n v="40.590000000000003"/>
    <n v="24.11"/>
    <x v="1"/>
    <n v="2.78"/>
    <n v="2.3330000000000002"/>
    <n v="16.48"/>
  </r>
  <r>
    <n v="978"/>
    <d v="2025-08-29T08:00:00"/>
    <x v="1"/>
    <s v="Viernes"/>
    <x v="7"/>
    <x v="2"/>
    <x v="0"/>
    <x v="1"/>
    <x v="1"/>
    <x v="1"/>
    <n v="21000"/>
    <x v="235"/>
    <n v="46.2"/>
    <n v="336.6"/>
    <n v="426"/>
    <n v="1"/>
    <x v="3"/>
    <n v="218.16"/>
    <n v="67.290000000000006"/>
    <x v="1"/>
    <n v="24.85"/>
    <n v="10.388999999999999"/>
    <n v="150.87"/>
  </r>
  <r>
    <n v="1714"/>
    <d v="2025-08-29T08:00:00"/>
    <x v="1"/>
    <s v="Viernes"/>
    <x v="7"/>
    <x v="2"/>
    <x v="0"/>
    <x v="0"/>
    <x v="0"/>
    <x v="0"/>
    <n v="26000"/>
    <x v="249"/>
    <n v="56.8"/>
    <n v="307.7"/>
    <n v="160"/>
    <n v="0"/>
    <x v="0"/>
    <n v="160.03"/>
    <n v="83.33"/>
    <x v="1"/>
    <n v="12.68"/>
    <n v="6.1550000000000002"/>
    <n v="76.7"/>
  </r>
  <r>
    <n v="979"/>
    <d v="2025-08-29T14:00:00"/>
    <x v="2"/>
    <s v="Viernes"/>
    <x v="7"/>
    <x v="2"/>
    <x v="0"/>
    <x v="1"/>
    <x v="1"/>
    <x v="1"/>
    <n v="21000"/>
    <x v="327"/>
    <n v="42.3"/>
    <n v="842.3"/>
    <n v="375"/>
    <n v="1"/>
    <x v="3"/>
    <n v="217.53"/>
    <n v="165.45"/>
    <x v="1"/>
    <n v="8.85"/>
    <n v="10.359"/>
    <n v="52.08"/>
  </r>
  <r>
    <n v="243"/>
    <d v="2025-08-29T14:00:00"/>
    <x v="2"/>
    <s v="Viernes"/>
    <x v="7"/>
    <x v="2"/>
    <x v="0"/>
    <x v="4"/>
    <x v="4"/>
    <x v="4"/>
    <n v="12500"/>
    <x v="238"/>
    <n v="52.9"/>
    <n v="895.2"/>
    <n v="568"/>
    <n v="1"/>
    <x v="3"/>
    <n v="108.43"/>
    <n v="138.81"/>
    <x v="1"/>
    <n v="-2"/>
    <n v="8.6739999999999995"/>
    <n v="0"/>
  </r>
  <r>
    <n v="1715"/>
    <d v="2025-08-29T14:00:00"/>
    <x v="2"/>
    <s v="Viernes"/>
    <x v="7"/>
    <x v="2"/>
    <x v="0"/>
    <x v="0"/>
    <x v="0"/>
    <x v="0"/>
    <n v="26000"/>
    <x v="229"/>
    <n v="58.2"/>
    <n v="788.6"/>
    <n v="161"/>
    <n v="1"/>
    <x v="3"/>
    <n v="162.12"/>
    <n v="234.53"/>
    <x v="1"/>
    <n v="-5.0199999999999996"/>
    <n v="6.2350000000000003"/>
    <n v="0"/>
  </r>
  <r>
    <n v="2083"/>
    <d v="2025-08-29T14:00:00"/>
    <x v="2"/>
    <s v="Viernes"/>
    <x v="7"/>
    <x v="2"/>
    <x v="0"/>
    <x v="3"/>
    <x v="3"/>
    <x v="3"/>
    <n v="9800"/>
    <x v="280"/>
    <n v="60.3"/>
    <n v="772.2"/>
    <n v="74"/>
    <n v="1"/>
    <x v="3"/>
    <n v="24.48"/>
    <n v="0"/>
    <x v="1"/>
    <n v="4.05"/>
    <n v="2.4980000000000002"/>
    <n v="24.48"/>
  </r>
  <r>
    <n v="1347"/>
    <d v="2025-08-29T14:00:00"/>
    <x v="2"/>
    <s v="Viernes"/>
    <x v="7"/>
    <x v="2"/>
    <x v="0"/>
    <x v="2"/>
    <x v="2"/>
    <x v="2"/>
    <n v="17400"/>
    <x v="216"/>
    <n v="70.599999999999994"/>
    <n v="630.29999999999995"/>
    <n v="1270"/>
    <n v="1"/>
    <x v="3"/>
    <n v="209.65"/>
    <n v="81.52"/>
    <x v="1"/>
    <n v="21.38"/>
    <n v="12.048999999999999"/>
    <n v="128.13"/>
  </r>
  <r>
    <n v="611"/>
    <d v="2025-08-29T14:00:00"/>
    <x v="2"/>
    <s v="Viernes"/>
    <x v="7"/>
    <x v="2"/>
    <x v="0"/>
    <x v="5"/>
    <x v="5"/>
    <x v="5"/>
    <n v="8600"/>
    <x v="214"/>
    <n v="90.7"/>
    <n v="428"/>
    <n v="0"/>
    <n v="0"/>
    <x v="0"/>
    <n v="7.33"/>
    <n v="30.76"/>
    <x v="1"/>
    <n v="-1.6"/>
    <n v="0.85199999999999998"/>
    <n v="0"/>
  </r>
  <r>
    <n v="980"/>
    <d v="2025-08-29T20:00:00"/>
    <x v="3"/>
    <s v="Viernes"/>
    <x v="7"/>
    <x v="2"/>
    <x v="0"/>
    <x v="1"/>
    <x v="1"/>
    <x v="1"/>
    <n v="21000"/>
    <x v="324"/>
    <n v="58.1"/>
    <n v="0"/>
    <n v="385"/>
    <n v="1"/>
    <x v="3"/>
    <n v="268.99"/>
    <n v="0"/>
    <x v="2"/>
    <n v="68.75"/>
    <n v="12.808999999999999"/>
    <n v="268.99"/>
  </r>
  <r>
    <n v="2084"/>
    <d v="2025-08-29T20:00:00"/>
    <x v="3"/>
    <s v="Viernes"/>
    <x v="7"/>
    <x v="2"/>
    <x v="0"/>
    <x v="3"/>
    <x v="3"/>
    <x v="3"/>
    <n v="9800"/>
    <x v="263"/>
    <n v="70.599999999999994"/>
    <n v="0"/>
    <n v="321"/>
    <n v="1"/>
    <x v="3"/>
    <n v="103.15"/>
    <n v="0"/>
    <x v="2"/>
    <n v="26.39"/>
    <n v="10.526"/>
    <n v="103.15"/>
  </r>
  <r>
    <n v="1348"/>
    <d v="2025-08-29T20:00:00"/>
    <x v="3"/>
    <s v="Viernes"/>
    <x v="7"/>
    <x v="2"/>
    <x v="0"/>
    <x v="2"/>
    <x v="2"/>
    <x v="2"/>
    <n v="17400"/>
    <x v="259"/>
    <n v="69.599999999999994"/>
    <n v="0"/>
    <n v="1360"/>
    <n v="0"/>
    <x v="0"/>
    <n v="296.38"/>
    <n v="0"/>
    <x v="2"/>
    <n v="76.5"/>
    <n v="17.033000000000001"/>
    <n v="296.38"/>
  </r>
  <r>
    <n v="244"/>
    <d v="2025-08-29T20:00:00"/>
    <x v="3"/>
    <s v="Viernes"/>
    <x v="7"/>
    <x v="2"/>
    <x v="0"/>
    <x v="4"/>
    <x v="4"/>
    <x v="4"/>
    <n v="12500"/>
    <x v="252"/>
    <n v="52.4"/>
    <n v="0"/>
    <n v="74"/>
    <n v="0"/>
    <x v="0"/>
    <n v="40.520000000000003"/>
    <n v="0"/>
    <x v="2"/>
    <n v="10.53"/>
    <n v="3.242"/>
    <n v="40.520000000000003"/>
  </r>
  <r>
    <n v="612"/>
    <d v="2025-08-29T20:00:00"/>
    <x v="3"/>
    <s v="Viernes"/>
    <x v="7"/>
    <x v="2"/>
    <x v="0"/>
    <x v="5"/>
    <x v="5"/>
    <x v="5"/>
    <n v="8600"/>
    <x v="197"/>
    <n v="80"/>
    <n v="0"/>
    <n v="7"/>
    <n v="0"/>
    <x v="0"/>
    <n v="11.81"/>
    <n v="0"/>
    <x v="2"/>
    <n v="3.09"/>
    <n v="1.373"/>
    <n v="11.81"/>
  </r>
  <r>
    <n v="1716"/>
    <d v="2025-08-29T20:00:00"/>
    <x v="3"/>
    <s v="Viernes"/>
    <x v="7"/>
    <x v="2"/>
    <x v="0"/>
    <x v="0"/>
    <x v="0"/>
    <x v="0"/>
    <n v="26000"/>
    <x v="203"/>
    <n v="52.5"/>
    <n v="0"/>
    <n v="156"/>
    <n v="1"/>
    <x v="3"/>
    <n v="232.35"/>
    <n v="0"/>
    <x v="2"/>
    <n v="61.83"/>
    <n v="8.9369999999999994"/>
    <n v="232.35"/>
  </r>
  <r>
    <n v="613"/>
    <d v="2025-09-02T00:00:00"/>
    <x v="0"/>
    <s v="Martes"/>
    <x v="8"/>
    <x v="3"/>
    <x v="0"/>
    <x v="5"/>
    <x v="5"/>
    <x v="5"/>
    <n v="8600"/>
    <x v="43"/>
    <n v="84.9"/>
    <n v="0"/>
    <n v="41"/>
    <n v="1"/>
    <x v="1"/>
    <n v="21.87"/>
    <n v="0"/>
    <x v="0"/>
    <n v="2.35"/>
    <n v="2.5430000000000001"/>
    <n v="21.87"/>
  </r>
  <r>
    <n v="981"/>
    <d v="2025-09-02T00:00:00"/>
    <x v="0"/>
    <s v="Martes"/>
    <x v="8"/>
    <x v="3"/>
    <x v="0"/>
    <x v="1"/>
    <x v="1"/>
    <x v="1"/>
    <n v="21000"/>
    <x v="271"/>
    <n v="58.2"/>
    <n v="0"/>
    <n v="242"/>
    <n v="0"/>
    <x v="0"/>
    <n v="164.98"/>
    <n v="0"/>
    <x v="0"/>
    <n v="16.96"/>
    <n v="7.8559999999999999"/>
    <n v="164.98"/>
  </r>
  <r>
    <n v="1349"/>
    <d v="2025-09-02T00:00:00"/>
    <x v="0"/>
    <s v="Martes"/>
    <x v="8"/>
    <x v="3"/>
    <x v="0"/>
    <x v="2"/>
    <x v="2"/>
    <x v="2"/>
    <n v="17400"/>
    <x v="211"/>
    <n v="66.400000000000006"/>
    <n v="0"/>
    <n v="62"/>
    <n v="0"/>
    <x v="0"/>
    <n v="51.49"/>
    <n v="0"/>
    <x v="0"/>
    <n v="5.43"/>
    <n v="2.9590000000000001"/>
    <n v="51.49"/>
  </r>
  <r>
    <n v="2085"/>
    <d v="2025-09-02T00:00:00"/>
    <x v="0"/>
    <s v="Martes"/>
    <x v="8"/>
    <x v="3"/>
    <x v="0"/>
    <x v="3"/>
    <x v="3"/>
    <x v="3"/>
    <n v="9800"/>
    <x v="159"/>
    <n v="66.099999999999994"/>
    <n v="0"/>
    <n v="285"/>
    <n v="0"/>
    <x v="0"/>
    <n v="94.35"/>
    <n v="0"/>
    <x v="0"/>
    <n v="9.83"/>
    <n v="9.6280000000000001"/>
    <n v="94.35"/>
  </r>
  <r>
    <n v="1717"/>
    <d v="2025-09-02T00:00:00"/>
    <x v="0"/>
    <s v="Martes"/>
    <x v="8"/>
    <x v="3"/>
    <x v="0"/>
    <x v="0"/>
    <x v="0"/>
    <x v="0"/>
    <n v="26000"/>
    <x v="205"/>
    <n v="57"/>
    <n v="0"/>
    <n v="34"/>
    <n v="0"/>
    <x v="0"/>
    <n v="110.27"/>
    <n v="0"/>
    <x v="0"/>
    <n v="11.75"/>
    <n v="4.2409999999999997"/>
    <n v="110.27"/>
  </r>
  <r>
    <n v="245"/>
    <d v="2025-09-02T00:00:00"/>
    <x v="0"/>
    <s v="Martes"/>
    <x v="8"/>
    <x v="3"/>
    <x v="0"/>
    <x v="4"/>
    <x v="4"/>
    <x v="4"/>
    <n v="12500"/>
    <x v="172"/>
    <n v="64.8"/>
    <n v="0"/>
    <n v="0"/>
    <n v="0"/>
    <x v="0"/>
    <n v="22.04"/>
    <n v="0"/>
    <x v="0"/>
    <n v="2.38"/>
    <n v="1.7629999999999999"/>
    <n v="22.04"/>
  </r>
  <r>
    <n v="246"/>
    <d v="2025-09-02T08:00:00"/>
    <x v="1"/>
    <s v="Martes"/>
    <x v="8"/>
    <x v="3"/>
    <x v="0"/>
    <x v="4"/>
    <x v="4"/>
    <x v="4"/>
    <n v="12500"/>
    <x v="165"/>
    <n v="57.5"/>
    <n v="273"/>
    <n v="333"/>
    <n v="0"/>
    <x v="0"/>
    <n v="65.31"/>
    <n v="42.48"/>
    <x v="1"/>
    <n v="3.92"/>
    <n v="5.2249999999999996"/>
    <n v="22.83"/>
  </r>
  <r>
    <n v="982"/>
    <d v="2025-09-02T08:00:00"/>
    <x v="1"/>
    <s v="Martes"/>
    <x v="8"/>
    <x v="3"/>
    <x v="0"/>
    <x v="1"/>
    <x v="1"/>
    <x v="1"/>
    <n v="21000"/>
    <x v="210"/>
    <n v="52.4"/>
    <n v="281.7"/>
    <n v="421"/>
    <n v="0"/>
    <x v="0"/>
    <n v="191.21"/>
    <n v="56.74"/>
    <x v="1"/>
    <n v="23.01"/>
    <n v="9.1050000000000004"/>
    <n v="134.47"/>
  </r>
  <r>
    <n v="1350"/>
    <d v="2025-09-02T08:00:00"/>
    <x v="1"/>
    <s v="Martes"/>
    <x v="8"/>
    <x v="3"/>
    <x v="0"/>
    <x v="2"/>
    <x v="2"/>
    <x v="2"/>
    <n v="17400"/>
    <x v="176"/>
    <n v="66.400000000000006"/>
    <n v="304"/>
    <n v="26"/>
    <n v="0"/>
    <x v="0"/>
    <n v="35.229999999999997"/>
    <n v="35.29"/>
    <x v="1"/>
    <n v="0"/>
    <n v="2.0249999999999999"/>
    <n v="0"/>
  </r>
  <r>
    <n v="1718"/>
    <d v="2025-09-02T08:00:00"/>
    <x v="1"/>
    <s v="Martes"/>
    <x v="8"/>
    <x v="3"/>
    <x v="0"/>
    <x v="0"/>
    <x v="0"/>
    <x v="0"/>
    <n v="26000"/>
    <x v="197"/>
    <n v="71.5"/>
    <n v="281.8"/>
    <n v="172"/>
    <n v="0"/>
    <x v="0"/>
    <n v="162.16999999999999"/>
    <n v="73.92"/>
    <x v="1"/>
    <n v="15.1"/>
    <n v="6.2370000000000001"/>
    <n v="88.25"/>
  </r>
  <r>
    <n v="614"/>
    <d v="2025-09-02T08:00:00"/>
    <x v="1"/>
    <s v="Martes"/>
    <x v="8"/>
    <x v="3"/>
    <x v="0"/>
    <x v="5"/>
    <x v="5"/>
    <x v="5"/>
    <n v="8600"/>
    <x v="156"/>
    <n v="73.3"/>
    <n v="245.8"/>
    <n v="801"/>
    <n v="0"/>
    <x v="0"/>
    <n v="85.33"/>
    <n v="20.27"/>
    <x v="1"/>
    <n v="11.52"/>
    <n v="9.9220000000000006"/>
    <n v="65.06"/>
  </r>
  <r>
    <n v="2086"/>
    <d v="2025-09-02T08:00:00"/>
    <x v="1"/>
    <s v="Martes"/>
    <x v="8"/>
    <x v="3"/>
    <x v="0"/>
    <x v="3"/>
    <x v="3"/>
    <x v="3"/>
    <n v="9800"/>
    <x v="158"/>
    <n v="61.5"/>
    <n v="234.4"/>
    <n v="62"/>
    <n v="0"/>
    <x v="0"/>
    <n v="17.11"/>
    <n v="0"/>
    <x v="1"/>
    <n v="2.94"/>
    <n v="1.746"/>
    <n v="17.11"/>
  </r>
  <r>
    <n v="615"/>
    <d v="2025-09-02T14:00:00"/>
    <x v="2"/>
    <s v="Martes"/>
    <x v="8"/>
    <x v="3"/>
    <x v="0"/>
    <x v="5"/>
    <x v="5"/>
    <x v="5"/>
    <n v="8600"/>
    <x v="281"/>
    <n v="62.4"/>
    <n v="808.9"/>
    <n v="785"/>
    <n v="1"/>
    <x v="2"/>
    <n v="82.94"/>
    <n v="65.73"/>
    <x v="1"/>
    <n v="2.94"/>
    <n v="9.6440000000000001"/>
    <n v="17.21"/>
  </r>
  <r>
    <n v="1719"/>
    <d v="2025-09-02T14:00:00"/>
    <x v="2"/>
    <s v="Martes"/>
    <x v="8"/>
    <x v="3"/>
    <x v="0"/>
    <x v="0"/>
    <x v="0"/>
    <x v="0"/>
    <n v="26000"/>
    <x v="272"/>
    <n v="46.1"/>
    <n v="752.7"/>
    <n v="177"/>
    <n v="1"/>
    <x v="3"/>
    <n v="176.37"/>
    <n v="196.89"/>
    <x v="1"/>
    <n v="-1.39"/>
    <n v="6.7830000000000004"/>
    <n v="0"/>
  </r>
  <r>
    <n v="247"/>
    <d v="2025-09-02T14:00:00"/>
    <x v="2"/>
    <s v="Martes"/>
    <x v="8"/>
    <x v="3"/>
    <x v="0"/>
    <x v="4"/>
    <x v="4"/>
    <x v="4"/>
    <n v="12500"/>
    <x v="299"/>
    <n v="42.7"/>
    <n v="738.6"/>
    <m/>
    <n v="1"/>
    <x v="3"/>
    <n v="129.87"/>
    <n v="115.07"/>
    <x v="1"/>
    <n v="2.48"/>
    <n v="10.39"/>
    <n v="14.8"/>
  </r>
  <r>
    <n v="1351"/>
    <d v="2025-09-02T14:00:00"/>
    <x v="2"/>
    <s v="Martes"/>
    <x v="8"/>
    <x v="3"/>
    <x v="0"/>
    <x v="2"/>
    <x v="2"/>
    <x v="2"/>
    <n v="17400"/>
    <x v="328"/>
    <n v="65.400000000000006"/>
    <n v="844.1"/>
    <n v="1421"/>
    <n v="1"/>
    <x v="3"/>
    <n v="220.42"/>
    <n v="107.11"/>
    <x v="1"/>
    <n v="19.68"/>
    <n v="12.667999999999999"/>
    <n v="113.31"/>
  </r>
  <r>
    <n v="983"/>
    <d v="2025-09-02T14:00:00"/>
    <x v="2"/>
    <s v="Martes"/>
    <x v="8"/>
    <x v="3"/>
    <x v="0"/>
    <x v="1"/>
    <x v="1"/>
    <x v="1"/>
    <n v="21000"/>
    <x v="294"/>
    <m/>
    <n v="832.4"/>
    <n v="424"/>
    <n v="1"/>
    <x v="3"/>
    <n v="241.15"/>
    <n v="169.28"/>
    <x v="1"/>
    <n v="12.78"/>
    <n v="11.483000000000001"/>
    <n v="71.87"/>
  </r>
  <r>
    <n v="2087"/>
    <d v="2025-09-02T14:00:00"/>
    <x v="2"/>
    <s v="Martes"/>
    <x v="8"/>
    <x v="3"/>
    <x v="0"/>
    <x v="3"/>
    <x v="3"/>
    <x v="3"/>
    <n v="9800"/>
    <x v="281"/>
    <n v="68.2"/>
    <n v="766.2"/>
    <n v="55"/>
    <n v="1"/>
    <x v="2"/>
    <n v="17.05"/>
    <n v="0"/>
    <x v="1"/>
    <n v="2.89"/>
    <n v="1.74"/>
    <n v="17.05"/>
  </r>
  <r>
    <n v="2088"/>
    <d v="2025-09-02T20:00:00"/>
    <x v="3"/>
    <s v="Martes"/>
    <x v="8"/>
    <x v="3"/>
    <x v="0"/>
    <x v="3"/>
    <x v="3"/>
    <x v="3"/>
    <n v="9800"/>
    <x v="202"/>
    <n v="64.400000000000006"/>
    <n v="0"/>
    <m/>
    <n v="1"/>
    <x v="3"/>
    <n v="101.78"/>
    <n v="0"/>
    <x v="2"/>
    <n v="27.51"/>
    <n v="10.385999999999999"/>
    <n v="101.78"/>
  </r>
  <r>
    <n v="1352"/>
    <d v="2025-09-02T20:00:00"/>
    <x v="3"/>
    <s v="Martes"/>
    <x v="8"/>
    <x v="3"/>
    <x v="0"/>
    <x v="2"/>
    <x v="2"/>
    <x v="2"/>
    <n v="17400"/>
    <x v="276"/>
    <n v="54.3"/>
    <n v="0"/>
    <n v="1293"/>
    <n v="1"/>
    <x v="3"/>
    <n v="288.49"/>
    <n v="0"/>
    <x v="2"/>
    <n v="73.39"/>
    <n v="16.579999999999998"/>
    <n v="288.49"/>
  </r>
  <r>
    <n v="248"/>
    <d v="2025-09-02T20:00:00"/>
    <x v="3"/>
    <s v="Martes"/>
    <x v="8"/>
    <x v="3"/>
    <x v="0"/>
    <x v="4"/>
    <x v="4"/>
    <x v="4"/>
    <n v="12500"/>
    <x v="236"/>
    <m/>
    <n v="0"/>
    <n v="65"/>
    <n v="0"/>
    <x v="0"/>
    <n v="38.92"/>
    <n v="0"/>
    <x v="2"/>
    <n v="10.11"/>
    <n v="3.1139999999999999"/>
    <n v="38.92"/>
  </r>
  <r>
    <n v="616"/>
    <d v="2025-09-02T20:00:00"/>
    <x v="3"/>
    <s v="Martes"/>
    <x v="8"/>
    <x v="3"/>
    <x v="0"/>
    <x v="5"/>
    <x v="5"/>
    <x v="5"/>
    <n v="8600"/>
    <x v="228"/>
    <n v="75.5"/>
    <n v="0"/>
    <n v="67"/>
    <n v="0"/>
    <x v="0"/>
    <n v="21.33"/>
    <n v="0"/>
    <x v="2"/>
    <n v="5.67"/>
    <n v="2.48"/>
    <n v="21.33"/>
  </r>
  <r>
    <n v="984"/>
    <d v="2025-09-02T20:00:00"/>
    <x v="3"/>
    <s v="Martes"/>
    <x v="8"/>
    <x v="3"/>
    <x v="0"/>
    <x v="1"/>
    <x v="1"/>
    <x v="1"/>
    <n v="21000"/>
    <x v="207"/>
    <n v="56"/>
    <n v="0"/>
    <n v="381"/>
    <n v="1"/>
    <x v="3"/>
    <n v="295.98"/>
    <n v="0"/>
    <x v="2"/>
    <n v="75"/>
    <n v="14.093999999999999"/>
    <n v="295.98"/>
  </r>
  <r>
    <n v="1720"/>
    <d v="2025-09-02T20:00:00"/>
    <x v="3"/>
    <s v="Martes"/>
    <x v="8"/>
    <x v="3"/>
    <x v="0"/>
    <x v="0"/>
    <x v="0"/>
    <x v="0"/>
    <n v="26000"/>
    <x v="247"/>
    <n v="55.1"/>
    <n v="0"/>
    <n v="188"/>
    <n v="1"/>
    <x v="2"/>
    <n v="248.04"/>
    <n v="0"/>
    <x v="2"/>
    <n v="65.040000000000006"/>
    <n v="9.5399999999999991"/>
    <n v="248.04"/>
  </r>
  <r>
    <n v="2089"/>
    <d v="2025-09-06T00:00:00"/>
    <x v="0"/>
    <s v="Sabado"/>
    <x v="8"/>
    <x v="3"/>
    <x v="1"/>
    <x v="3"/>
    <x v="3"/>
    <x v="3"/>
    <n v="9800"/>
    <x v="121"/>
    <n v="72.900000000000006"/>
    <n v="0"/>
    <n v="329"/>
    <n v="0"/>
    <x v="0"/>
    <n v="94.15"/>
    <n v="0"/>
    <x v="0"/>
    <n v="9.9700000000000006"/>
    <n v="9.6069999999999993"/>
    <n v="94.15"/>
  </r>
  <r>
    <n v="985"/>
    <d v="2025-09-06T00:00:00"/>
    <x v="0"/>
    <s v="Sabado"/>
    <x v="8"/>
    <x v="3"/>
    <x v="1"/>
    <x v="1"/>
    <x v="1"/>
    <x v="1"/>
    <n v="21000"/>
    <x v="53"/>
    <n v="54.8"/>
    <n v="0"/>
    <n v="232"/>
    <n v="0"/>
    <x v="0"/>
    <n v="168.41"/>
    <n v="0"/>
    <x v="0"/>
    <n v="18.02"/>
    <n v="8.02"/>
    <n v="168.41"/>
  </r>
  <r>
    <n v="617"/>
    <d v="2025-09-06T00:00:00"/>
    <x v="0"/>
    <s v="Sabado"/>
    <x v="8"/>
    <x v="3"/>
    <x v="1"/>
    <x v="5"/>
    <x v="5"/>
    <x v="5"/>
    <n v="8600"/>
    <x v="140"/>
    <n v="93.9"/>
    <n v="0"/>
    <n v="0"/>
    <n v="0"/>
    <x v="0"/>
    <n v="12.21"/>
    <n v="0"/>
    <x v="0"/>
    <n v="1.29"/>
    <n v="1.42"/>
    <n v="12.21"/>
  </r>
  <r>
    <n v="1721"/>
    <d v="2025-09-06T00:00:00"/>
    <x v="0"/>
    <s v="Sabado"/>
    <x v="8"/>
    <x v="3"/>
    <x v="1"/>
    <x v="0"/>
    <x v="0"/>
    <x v="0"/>
    <n v="26000"/>
    <x v="11"/>
    <n v="65.599999999999994"/>
    <n v="0"/>
    <n v="37"/>
    <n v="1"/>
    <x v="2"/>
    <n v="75.260000000000005"/>
    <n v="0"/>
    <x v="0"/>
    <n v="8.2100000000000009"/>
    <n v="2.895"/>
    <n v="75.260000000000005"/>
  </r>
  <r>
    <n v="1353"/>
    <d v="2025-09-06T00:00:00"/>
    <x v="0"/>
    <s v="Sabado"/>
    <x v="8"/>
    <x v="3"/>
    <x v="1"/>
    <x v="2"/>
    <x v="2"/>
    <x v="2"/>
    <n v="17400"/>
    <x v="206"/>
    <n v="78.5"/>
    <n v="0"/>
    <n v="93"/>
    <n v="0"/>
    <x v="0"/>
    <n v="47.31"/>
    <n v="0"/>
    <x v="0"/>
    <n v="5.07"/>
    <n v="2.7189999999999999"/>
    <n v="47.31"/>
  </r>
  <r>
    <n v="249"/>
    <d v="2025-09-06T00:00:00"/>
    <x v="0"/>
    <s v="Sabado"/>
    <x v="8"/>
    <x v="3"/>
    <x v="1"/>
    <x v="4"/>
    <x v="4"/>
    <x v="4"/>
    <n v="12500"/>
    <x v="180"/>
    <n v="58"/>
    <n v="0"/>
    <n v="12"/>
    <n v="0"/>
    <x v="0"/>
    <n v="23.66"/>
    <n v="0"/>
    <x v="0"/>
    <n v="2.5299999999999998"/>
    <n v="1.893"/>
    <n v="23.66"/>
  </r>
  <r>
    <n v="1354"/>
    <d v="2025-09-06T08:00:00"/>
    <x v="1"/>
    <s v="Sabado"/>
    <x v="8"/>
    <x v="3"/>
    <x v="1"/>
    <x v="2"/>
    <x v="2"/>
    <x v="2"/>
    <n v="17400"/>
    <x v="43"/>
    <m/>
    <n v="231.7"/>
    <n v="18"/>
    <n v="0"/>
    <x v="0"/>
    <n v="37.979999999999997"/>
    <n v="25.76"/>
    <x v="0"/>
    <n v="1.34"/>
    <n v="2.1829999999999998"/>
    <n v="12.22"/>
  </r>
  <r>
    <n v="1722"/>
    <d v="2025-09-06T08:00:00"/>
    <x v="1"/>
    <s v="Sabado"/>
    <x v="8"/>
    <x v="3"/>
    <x v="1"/>
    <x v="0"/>
    <x v="0"/>
    <x v="0"/>
    <n v="26000"/>
    <x v="190"/>
    <n v="62"/>
    <n v="213"/>
    <n v="76"/>
    <n v="0"/>
    <x v="0"/>
    <n v="84.59"/>
    <n v="53.28"/>
    <x v="0"/>
    <n v="3.31"/>
    <n v="3.2530000000000001"/>
    <n v="31.31"/>
  </r>
  <r>
    <n v="250"/>
    <d v="2025-09-06T08:00:00"/>
    <x v="1"/>
    <s v="Sabado"/>
    <x v="8"/>
    <x v="3"/>
    <x v="1"/>
    <x v="4"/>
    <x v="4"/>
    <x v="4"/>
    <n v="12500"/>
    <x v="147"/>
    <n v="72.5"/>
    <n v="244.6"/>
    <n v="6"/>
    <n v="0"/>
    <x v="0"/>
    <n v="16.5"/>
    <n v="35.380000000000003"/>
    <x v="0"/>
    <n v="-0.83"/>
    <n v="1.32"/>
    <n v="0"/>
  </r>
  <r>
    <n v="2090"/>
    <d v="2025-09-06T08:00:00"/>
    <x v="1"/>
    <s v="Sabado"/>
    <x v="8"/>
    <x v="3"/>
    <x v="1"/>
    <x v="3"/>
    <x v="3"/>
    <x v="3"/>
    <n v="9800"/>
    <x v="105"/>
    <n v="80.599999999999994"/>
    <n v="206"/>
    <n v="123"/>
    <n v="0"/>
    <x v="0"/>
    <n v="28.65"/>
    <n v="0"/>
    <x v="0"/>
    <n v="3.13"/>
    <n v="2.923"/>
    <n v="28.65"/>
  </r>
  <r>
    <n v="618"/>
    <d v="2025-09-06T08:00:00"/>
    <x v="1"/>
    <s v="Sabado"/>
    <x v="8"/>
    <x v="3"/>
    <x v="1"/>
    <x v="5"/>
    <x v="5"/>
    <x v="5"/>
    <n v="8600"/>
    <x v="70"/>
    <n v="73.2"/>
    <n v="221.4"/>
    <n v="0"/>
    <n v="0"/>
    <x v="0"/>
    <n v="7.54"/>
    <n v="16.829999999999998"/>
    <x v="0"/>
    <n v="-0.4"/>
    <n v="0.877"/>
    <n v="0"/>
  </r>
  <r>
    <n v="986"/>
    <d v="2025-09-06T08:00:00"/>
    <x v="1"/>
    <s v="Sabado"/>
    <x v="8"/>
    <x v="3"/>
    <x v="1"/>
    <x v="1"/>
    <x v="1"/>
    <x v="1"/>
    <n v="21000"/>
    <x v="253"/>
    <n v="43.4"/>
    <n v="182.8"/>
    <n v="409"/>
    <n v="1"/>
    <x v="3"/>
    <m/>
    <n v="38.58"/>
    <x v="0"/>
    <n v="18.239999999999998"/>
    <m/>
    <m/>
  </r>
  <r>
    <n v="619"/>
    <d v="2025-09-06T14:00:00"/>
    <x v="2"/>
    <s v="Sabado"/>
    <x v="8"/>
    <x v="3"/>
    <x v="1"/>
    <x v="5"/>
    <x v="5"/>
    <x v="5"/>
    <n v="8600"/>
    <x v="181"/>
    <n v="77.099999999999994"/>
    <n v="572.20000000000005"/>
    <n v="0"/>
    <n v="0"/>
    <x v="0"/>
    <n v="7.17"/>
    <n v="43.83"/>
    <x v="0"/>
    <n v="-1.53"/>
    <n v="0.83399999999999996"/>
    <n v="0"/>
  </r>
  <r>
    <n v="987"/>
    <d v="2025-09-06T14:00:00"/>
    <x v="2"/>
    <s v="Sabado"/>
    <x v="8"/>
    <x v="3"/>
    <x v="1"/>
    <x v="1"/>
    <x v="1"/>
    <x v="1"/>
    <n v="21000"/>
    <x v="311"/>
    <n v="65.3"/>
    <n v="642.70000000000005"/>
    <n v="409"/>
    <n v="1"/>
    <x v="3"/>
    <n v="220.73"/>
    <n v="120.05"/>
    <x v="0"/>
    <n v="10.49"/>
    <n v="10.510999999999999"/>
    <n v="100.68"/>
  </r>
  <r>
    <n v="1723"/>
    <d v="2025-09-06T14:00:00"/>
    <x v="2"/>
    <s v="Sabado"/>
    <x v="8"/>
    <x v="3"/>
    <x v="1"/>
    <x v="0"/>
    <x v="0"/>
    <x v="0"/>
    <n v="26000"/>
    <x v="267"/>
    <n v="41.9"/>
    <n v="798.3"/>
    <n v="60"/>
    <n v="1"/>
    <x v="3"/>
    <n v="94.08"/>
    <n v="218.74"/>
    <x v="0"/>
    <n v="-5.47"/>
    <n v="3.6179999999999999"/>
    <n v="0"/>
  </r>
  <r>
    <n v="1355"/>
    <d v="2025-09-06T14:00:00"/>
    <x v="2"/>
    <s v="Sabado"/>
    <x v="8"/>
    <x v="3"/>
    <x v="1"/>
    <x v="2"/>
    <x v="2"/>
    <x v="2"/>
    <n v="17400"/>
    <x v="276"/>
    <n v="54.1"/>
    <n v="677.8"/>
    <n v="1633"/>
    <n v="1"/>
    <x v="3"/>
    <n v="245.64"/>
    <n v="82.12"/>
    <x v="0"/>
    <n v="17.48"/>
    <n v="14.117000000000001"/>
    <n v="163.52000000000001"/>
  </r>
  <r>
    <n v="2091"/>
    <d v="2025-09-06T14:00:00"/>
    <x v="2"/>
    <s v="Sabado"/>
    <x v="8"/>
    <x v="3"/>
    <x v="1"/>
    <x v="3"/>
    <x v="3"/>
    <x v="3"/>
    <n v="9800"/>
    <x v="252"/>
    <n v="72.5"/>
    <n v="682.4"/>
    <n v="118"/>
    <n v="0"/>
    <x v="0"/>
    <n v="25.52"/>
    <n v="0"/>
    <x v="0"/>
    <n v="2.72"/>
    <n v="2.6040000000000001"/>
    <n v="25.52"/>
  </r>
  <r>
    <n v="251"/>
    <d v="2025-09-06T14:00:00"/>
    <x v="2"/>
    <s v="Sabado"/>
    <x v="8"/>
    <x v="3"/>
    <x v="1"/>
    <x v="4"/>
    <x v="4"/>
    <x v="4"/>
    <n v="12500"/>
    <x v="329"/>
    <n v="40.799999999999997"/>
    <n v="806.3"/>
    <n v="39"/>
    <n v="0"/>
    <x v="0"/>
    <n v="16.53"/>
    <n v="109.51"/>
    <x v="0"/>
    <n v="-4.04"/>
    <n v="1.3220000000000001"/>
    <n v="0"/>
  </r>
  <r>
    <n v="1356"/>
    <d v="2025-09-06T20:00:00"/>
    <x v="3"/>
    <s v="Sabado"/>
    <x v="8"/>
    <x v="3"/>
    <x v="1"/>
    <x v="2"/>
    <x v="2"/>
    <x v="2"/>
    <n v="17400"/>
    <x v="298"/>
    <n v="67.7"/>
    <n v="0"/>
    <n v="1558"/>
    <n v="0"/>
    <x v="0"/>
    <n v="322.39999999999998"/>
    <n v="0"/>
    <x v="0"/>
    <n v="34.92"/>
    <n v="18.529"/>
    <n v="322.39999999999998"/>
  </r>
  <r>
    <n v="988"/>
    <d v="2025-09-06T20:00:00"/>
    <x v="3"/>
    <s v="Sabado"/>
    <x v="8"/>
    <x v="3"/>
    <x v="1"/>
    <x v="1"/>
    <x v="1"/>
    <x v="1"/>
    <n v="21000"/>
    <x v="220"/>
    <n v="59.5"/>
    <n v="0"/>
    <n v="435"/>
    <n v="0"/>
    <x v="0"/>
    <n v="283"/>
    <n v="0"/>
    <x v="0"/>
    <n v="31.64"/>
    <n v="13.476000000000001"/>
    <n v="283"/>
  </r>
  <r>
    <n v="1724"/>
    <d v="2025-09-06T20:00:00"/>
    <x v="3"/>
    <s v="Sabado"/>
    <x v="8"/>
    <x v="3"/>
    <x v="1"/>
    <x v="0"/>
    <x v="0"/>
    <x v="0"/>
    <n v="26000"/>
    <x v="208"/>
    <n v="53.4"/>
    <n v="0"/>
    <n v="72"/>
    <n v="0"/>
    <x v="0"/>
    <n v="123.51"/>
    <n v="0"/>
    <x v="0"/>
    <n v="12.82"/>
    <n v="4.75"/>
    <n v="123.51"/>
  </r>
  <r>
    <n v="252"/>
    <d v="2025-09-06T20:00:00"/>
    <x v="3"/>
    <s v="Sabado"/>
    <x v="8"/>
    <x v="3"/>
    <x v="1"/>
    <x v="4"/>
    <x v="4"/>
    <x v="4"/>
    <n v="12500"/>
    <x v="236"/>
    <n v="45.5"/>
    <n v="0"/>
    <n v="0"/>
    <n v="0"/>
    <x v="0"/>
    <n v="22.36"/>
    <n v="0"/>
    <x v="0"/>
    <n v="2.35"/>
    <n v="1.7889999999999999"/>
    <n v="22.36"/>
  </r>
  <r>
    <n v="2092"/>
    <d v="2025-09-06T20:00:00"/>
    <x v="3"/>
    <s v="Sabado"/>
    <x v="8"/>
    <x v="3"/>
    <x v="1"/>
    <x v="3"/>
    <x v="3"/>
    <x v="3"/>
    <n v="9800"/>
    <x v="195"/>
    <n v="62.4"/>
    <n v="0"/>
    <n v="328"/>
    <n v="0"/>
    <x v="0"/>
    <n v="103"/>
    <n v="0"/>
    <x v="0"/>
    <n v="10.8"/>
    <n v="10.51"/>
    <n v="103"/>
  </r>
  <r>
    <n v="620"/>
    <d v="2025-09-06T20:00:00"/>
    <x v="3"/>
    <s v="Sabado"/>
    <x v="8"/>
    <x v="3"/>
    <x v="1"/>
    <x v="5"/>
    <x v="5"/>
    <x v="5"/>
    <n v="8600"/>
    <x v="242"/>
    <n v="71.599999999999994"/>
    <n v="0"/>
    <n v="0"/>
    <n v="0"/>
    <x v="0"/>
    <n v="12.13"/>
    <n v="0"/>
    <x v="0"/>
    <n v="1.33"/>
    <n v="1.41"/>
    <n v="12.13"/>
  </r>
  <r>
    <n v="1725"/>
    <d v="2025-09-10T00:00:00"/>
    <x v="0"/>
    <s v="Miercoles"/>
    <x v="8"/>
    <x v="3"/>
    <x v="0"/>
    <x v="0"/>
    <x v="0"/>
    <x v="0"/>
    <n v="26000"/>
    <x v="97"/>
    <n v="60.4"/>
    <n v="0"/>
    <n v="65"/>
    <n v="0"/>
    <x v="0"/>
    <n v="114.72"/>
    <n v="0"/>
    <x v="0"/>
    <n v="12.39"/>
    <n v="4.4119999999999999"/>
    <n v="114.72"/>
  </r>
  <r>
    <n v="2093"/>
    <d v="2025-09-10T00:00:00"/>
    <x v="0"/>
    <s v="Miercoles"/>
    <x v="8"/>
    <x v="3"/>
    <x v="0"/>
    <x v="3"/>
    <x v="3"/>
    <x v="3"/>
    <n v="9800"/>
    <x v="260"/>
    <n v="82.6"/>
    <n v="0"/>
    <n v="265"/>
    <n v="1"/>
    <x v="1"/>
    <n v="95.36"/>
    <n v="0"/>
    <x v="0"/>
    <n v="10.220000000000001"/>
    <n v="9.7309999999999999"/>
    <n v="95.36"/>
  </r>
  <r>
    <n v="621"/>
    <d v="2025-09-10T00:00:00"/>
    <x v="0"/>
    <s v="Miercoles"/>
    <x v="8"/>
    <x v="3"/>
    <x v="0"/>
    <x v="5"/>
    <x v="5"/>
    <x v="5"/>
    <n v="8600"/>
    <x v="105"/>
    <n v="86.2"/>
    <n v="0"/>
    <n v="93"/>
    <n v="0"/>
    <x v="0"/>
    <n v="22.59"/>
    <n v="0"/>
    <x v="0"/>
    <n v="2.41"/>
    <n v="2.6269999999999998"/>
    <n v="22.59"/>
  </r>
  <r>
    <n v="1357"/>
    <d v="2025-09-10T00:00:00"/>
    <x v="0"/>
    <s v="Miercoles"/>
    <x v="8"/>
    <x v="3"/>
    <x v="0"/>
    <x v="2"/>
    <x v="2"/>
    <x v="2"/>
    <n v="17400"/>
    <x v="71"/>
    <n v="76.400000000000006"/>
    <n v="0"/>
    <n v="158"/>
    <n v="0"/>
    <x v="0"/>
    <n v="53.68"/>
    <n v="0"/>
    <x v="0"/>
    <n v="5.68"/>
    <n v="3.085"/>
    <n v="53.68"/>
  </r>
  <r>
    <n v="989"/>
    <d v="2025-09-10T00:00:00"/>
    <x v="0"/>
    <s v="Miercoles"/>
    <x v="8"/>
    <x v="3"/>
    <x v="0"/>
    <x v="1"/>
    <x v="1"/>
    <x v="1"/>
    <n v="21000"/>
    <x v="200"/>
    <n v="64.8"/>
    <n v="0"/>
    <n v="249"/>
    <n v="0"/>
    <x v="0"/>
    <n v="181.1"/>
    <n v="0"/>
    <x v="0"/>
    <n v="19.489999999999998"/>
    <n v="8.6240000000000006"/>
    <n v="181.1"/>
  </r>
  <r>
    <n v="253"/>
    <d v="2025-09-10T00:00:00"/>
    <x v="0"/>
    <s v="Miercoles"/>
    <x v="8"/>
    <x v="3"/>
    <x v="0"/>
    <x v="4"/>
    <x v="4"/>
    <x v="4"/>
    <n v="12500"/>
    <x v="260"/>
    <n v="52.8"/>
    <n v="0"/>
    <n v="31"/>
    <n v="0"/>
    <x v="0"/>
    <n v="24.07"/>
    <n v="0"/>
    <x v="0"/>
    <n v="2.59"/>
    <n v="1.9259999999999999"/>
    <n v="24.07"/>
  </r>
  <r>
    <n v="990"/>
    <d v="2025-09-10T08:00:00"/>
    <x v="1"/>
    <s v="Miercoles"/>
    <x v="8"/>
    <x v="3"/>
    <x v="0"/>
    <x v="1"/>
    <x v="1"/>
    <x v="1"/>
    <n v="21000"/>
    <x v="214"/>
    <n v="52.2"/>
    <n v="253.7"/>
    <n v="360"/>
    <n v="1"/>
    <x v="2"/>
    <n v="178.38"/>
    <n v="53.96"/>
    <x v="1"/>
    <n v="20.7"/>
    <n v="8.4939999999999998"/>
    <n v="124.42"/>
  </r>
  <r>
    <n v="1726"/>
    <d v="2025-09-10T08:00:00"/>
    <x v="1"/>
    <s v="Miercoles"/>
    <x v="8"/>
    <x v="3"/>
    <x v="0"/>
    <x v="0"/>
    <x v="0"/>
    <x v="0"/>
    <n v="26000"/>
    <x v="266"/>
    <n v="57.2"/>
    <n v="247.7"/>
    <n v="174"/>
    <n v="0"/>
    <x v="0"/>
    <n v="153.15"/>
    <n v="63.62"/>
    <x v="1"/>
    <n v="15.38"/>
    <n v="5.89"/>
    <n v="89.53"/>
  </r>
  <r>
    <n v="2094"/>
    <d v="2025-09-10T08:00:00"/>
    <x v="1"/>
    <s v="Miercoles"/>
    <x v="8"/>
    <x v="3"/>
    <x v="0"/>
    <x v="3"/>
    <x v="3"/>
    <x v="3"/>
    <n v="9800"/>
    <x v="206"/>
    <n v="78.5"/>
    <n v="145.5"/>
    <n v="54"/>
    <n v="0"/>
    <x v="0"/>
    <n v="17.670000000000002"/>
    <n v="0"/>
    <x v="1"/>
    <n v="3.1"/>
    <n v="1.8029999999999999"/>
    <n v="17.670000000000002"/>
  </r>
  <r>
    <n v="622"/>
    <d v="2025-09-10T08:00:00"/>
    <x v="1"/>
    <s v="Miercoles"/>
    <x v="8"/>
    <x v="3"/>
    <x v="0"/>
    <x v="5"/>
    <x v="5"/>
    <x v="5"/>
    <n v="8600"/>
    <x v="144"/>
    <n v="75"/>
    <n v="180.3"/>
    <n v="815"/>
    <n v="0"/>
    <x v="0"/>
    <n v="80.08"/>
    <n v="13.28"/>
    <x v="1"/>
    <n v="11.76"/>
    <n v="9.3119999999999994"/>
    <n v="66.8"/>
  </r>
  <r>
    <n v="1358"/>
    <d v="2025-09-10T08:00:00"/>
    <x v="1"/>
    <s v="Miercoles"/>
    <x v="8"/>
    <x v="3"/>
    <x v="0"/>
    <x v="2"/>
    <x v="2"/>
    <x v="2"/>
    <n v="17400"/>
    <x v="204"/>
    <n v="71.599999999999994"/>
    <n v="250.2"/>
    <n v="102"/>
    <n v="0"/>
    <x v="0"/>
    <n v="40.15"/>
    <n v="32.380000000000003"/>
    <x v="1"/>
    <n v="1.33"/>
    <n v="2.3069999999999999"/>
    <n v="7.77"/>
  </r>
  <r>
    <n v="254"/>
    <d v="2025-09-10T08:00:00"/>
    <x v="1"/>
    <s v="Miercoles"/>
    <x v="8"/>
    <x v="3"/>
    <x v="0"/>
    <x v="4"/>
    <x v="4"/>
    <x v="4"/>
    <n v="12500"/>
    <x v="159"/>
    <n v="56.3"/>
    <n v="273.60000000000002"/>
    <n v="284"/>
    <n v="0"/>
    <x v="0"/>
    <n v="59.62"/>
    <n v="39.36"/>
    <x v="1"/>
    <n v="3.49"/>
    <n v="4.7699999999999996"/>
    <n v="20.260000000000002"/>
  </r>
  <r>
    <n v="2095"/>
    <d v="2025-09-10T14:00:00"/>
    <x v="2"/>
    <s v="Miercoles"/>
    <x v="8"/>
    <x v="3"/>
    <x v="0"/>
    <x v="3"/>
    <x v="3"/>
    <x v="3"/>
    <n v="9800"/>
    <x v="254"/>
    <n v="74.5"/>
    <n v="542"/>
    <n v="62"/>
    <n v="1"/>
    <x v="2"/>
    <n v="17.71"/>
    <n v="0"/>
    <x v="1"/>
    <n v="3.01"/>
    <n v="1.8069999999999999"/>
    <n v="17.71"/>
  </r>
  <r>
    <n v="1727"/>
    <d v="2025-09-10T14:00:00"/>
    <x v="2"/>
    <s v="Miercoles"/>
    <x v="8"/>
    <x v="3"/>
    <x v="0"/>
    <x v="0"/>
    <x v="0"/>
    <x v="0"/>
    <n v="26000"/>
    <x v="225"/>
    <n v="56.7"/>
    <n v="720.5"/>
    <n v="186"/>
    <n v="1"/>
    <x v="3"/>
    <n v="185.24"/>
    <n v="194.12"/>
    <x v="1"/>
    <n v="-0.62"/>
    <n v="7.125"/>
    <n v="0"/>
  </r>
  <r>
    <n v="1359"/>
    <d v="2025-09-10T14:00:00"/>
    <x v="2"/>
    <s v="Miercoles"/>
    <x v="8"/>
    <x v="3"/>
    <x v="0"/>
    <x v="2"/>
    <x v="2"/>
    <x v="2"/>
    <n v="17400"/>
    <x v="226"/>
    <n v="66.3"/>
    <n v="721.4"/>
    <n v="1200"/>
    <n v="1"/>
    <x v="2"/>
    <n v="189.23"/>
    <n v="88.13"/>
    <x v="1"/>
    <n v="17.5"/>
    <n v="10.875"/>
    <n v="101.1"/>
  </r>
  <r>
    <n v="623"/>
    <d v="2025-09-10T14:00:00"/>
    <x v="2"/>
    <s v="Miercoles"/>
    <x v="8"/>
    <x v="3"/>
    <x v="0"/>
    <x v="5"/>
    <x v="5"/>
    <x v="5"/>
    <n v="8600"/>
    <x v="220"/>
    <n v="67.8"/>
    <n v="763.5"/>
    <n v="785"/>
    <n v="0"/>
    <x v="0"/>
    <n v="82.36"/>
    <n v="59.39"/>
    <x v="1"/>
    <n v="3.89"/>
    <n v="9.577"/>
    <n v="22.97"/>
  </r>
  <r>
    <n v="991"/>
    <d v="2025-09-10T14:00:00"/>
    <x v="2"/>
    <s v="Miercoles"/>
    <x v="8"/>
    <x v="3"/>
    <x v="0"/>
    <x v="1"/>
    <x v="1"/>
    <x v="1"/>
    <n v="21000"/>
    <x v="330"/>
    <n v="54"/>
    <n v="639.5"/>
    <n v="437"/>
    <n v="1"/>
    <x v="3"/>
    <n v="229.14"/>
    <n v="122.7"/>
    <x v="1"/>
    <n v="18.37"/>
    <n v="10.911"/>
    <n v="106.44"/>
  </r>
  <r>
    <n v="255"/>
    <d v="2025-09-10T14:00:00"/>
    <x v="2"/>
    <s v="Miercoles"/>
    <x v="8"/>
    <x v="3"/>
    <x v="0"/>
    <x v="4"/>
    <x v="4"/>
    <x v="4"/>
    <n v="12500"/>
    <x v="303"/>
    <n v="53.1"/>
    <n v="724.7"/>
    <n v="585"/>
    <n v="1"/>
    <x v="3"/>
    <n v="113.42"/>
    <n v="105"/>
    <x v="1"/>
    <n v="1.49"/>
    <n v="9.0739999999999998"/>
    <n v="8.42"/>
  </r>
  <r>
    <n v="256"/>
    <d v="2025-09-10T20:00:00"/>
    <x v="3"/>
    <s v="Miercoles"/>
    <x v="8"/>
    <x v="3"/>
    <x v="0"/>
    <x v="4"/>
    <x v="4"/>
    <x v="4"/>
    <n v="12500"/>
    <x v="271"/>
    <n v="63.9"/>
    <n v="0"/>
    <n v="79"/>
    <n v="0"/>
    <x v="0"/>
    <n v="41.69"/>
    <n v="0"/>
    <x v="2"/>
    <n v="11.25"/>
    <n v="3.335"/>
    <n v="41.69"/>
  </r>
  <r>
    <n v="2096"/>
    <d v="2025-09-10T20:00:00"/>
    <x v="3"/>
    <s v="Miercoles"/>
    <x v="8"/>
    <x v="3"/>
    <x v="0"/>
    <x v="3"/>
    <x v="3"/>
    <x v="3"/>
    <n v="9800"/>
    <x v="227"/>
    <n v="71.099999999999994"/>
    <n v="0"/>
    <n v="332"/>
    <n v="0"/>
    <x v="0"/>
    <n v="97.13"/>
    <n v="0"/>
    <x v="2"/>
    <n v="25.65"/>
    <n v="9.9109999999999996"/>
    <n v="97.13"/>
  </r>
  <r>
    <n v="992"/>
    <d v="2025-09-10T20:00:00"/>
    <x v="3"/>
    <s v="Miercoles"/>
    <x v="8"/>
    <x v="3"/>
    <x v="0"/>
    <x v="1"/>
    <x v="1"/>
    <x v="1"/>
    <n v="21000"/>
    <x v="324"/>
    <n v="57.6"/>
    <n v="0"/>
    <n v="390"/>
    <n v="1"/>
    <x v="3"/>
    <n v="286.63"/>
    <n v="0"/>
    <x v="2"/>
    <n v="72.8"/>
    <n v="13.648999999999999"/>
    <n v="286.63"/>
  </r>
  <r>
    <n v="1728"/>
    <d v="2025-09-10T20:00:00"/>
    <x v="3"/>
    <s v="Miercoles"/>
    <x v="8"/>
    <x v="3"/>
    <x v="0"/>
    <x v="0"/>
    <x v="0"/>
    <x v="0"/>
    <n v="26000"/>
    <x v="236"/>
    <n v="44.7"/>
    <n v="0"/>
    <n v="175"/>
    <n v="0"/>
    <x v="0"/>
    <n v="243.67"/>
    <n v="0"/>
    <x v="2"/>
    <n v="66.400000000000006"/>
    <n v="9.3719999999999999"/>
    <n v="243.67"/>
  </r>
  <r>
    <n v="1360"/>
    <d v="2025-09-10T20:00:00"/>
    <x v="3"/>
    <s v="Miercoles"/>
    <x v="8"/>
    <x v="3"/>
    <x v="0"/>
    <x v="2"/>
    <x v="2"/>
    <x v="2"/>
    <n v="17400"/>
    <x v="310"/>
    <n v="70.400000000000006"/>
    <n v="0"/>
    <n v="1360"/>
    <n v="1"/>
    <x v="3"/>
    <n v="291.16000000000003"/>
    <n v="0"/>
    <x v="2"/>
    <n v="75.03"/>
    <n v="16.733000000000001"/>
    <n v="291.16000000000003"/>
  </r>
  <r>
    <n v="624"/>
    <d v="2025-09-10T20:00:00"/>
    <x v="3"/>
    <s v="Miercoles"/>
    <x v="8"/>
    <x v="3"/>
    <x v="0"/>
    <x v="5"/>
    <x v="5"/>
    <x v="5"/>
    <n v="8600"/>
    <x v="200"/>
    <n v="86.8"/>
    <n v="0"/>
    <n v="119"/>
    <n v="0"/>
    <x v="0"/>
    <n v="24.21"/>
    <n v="0"/>
    <x v="2"/>
    <n v="6.57"/>
    <n v="2.8149999999999999"/>
    <n v="24.21"/>
  </r>
  <r>
    <n v="993"/>
    <d v="2025-09-14T00:00:00"/>
    <x v="0"/>
    <s v="Domingo"/>
    <x v="8"/>
    <x v="3"/>
    <x v="1"/>
    <x v="1"/>
    <x v="1"/>
    <x v="1"/>
    <n v="21000"/>
    <x v="199"/>
    <n v="68.599999999999994"/>
    <n v="0"/>
    <n v="261"/>
    <n v="0"/>
    <x v="0"/>
    <n v="174.81"/>
    <n v="0"/>
    <x v="0"/>
    <n v="17.739999999999998"/>
    <n v="8.3239999999999998"/>
    <n v="174.81"/>
  </r>
  <r>
    <n v="2097"/>
    <d v="2025-09-14T00:00:00"/>
    <x v="0"/>
    <s v="Domingo"/>
    <x v="8"/>
    <x v="3"/>
    <x v="1"/>
    <x v="3"/>
    <x v="3"/>
    <x v="3"/>
    <n v="9800"/>
    <x v="185"/>
    <n v="69.2"/>
    <n v="0"/>
    <n v="273"/>
    <n v="0"/>
    <x v="0"/>
    <n v="92.75"/>
    <n v="0"/>
    <x v="0"/>
    <n v="9.98"/>
    <n v="9.4640000000000004"/>
    <n v="92.75"/>
  </r>
  <r>
    <n v="625"/>
    <d v="2025-09-14T00:00:00"/>
    <x v="0"/>
    <s v="Domingo"/>
    <x v="8"/>
    <x v="3"/>
    <x v="1"/>
    <x v="5"/>
    <x v="5"/>
    <x v="5"/>
    <n v="8600"/>
    <x v="160"/>
    <n v="76.599999999999994"/>
    <n v="0"/>
    <n v="1"/>
    <n v="0"/>
    <x v="0"/>
    <n v="12.65"/>
    <n v="0"/>
    <x v="0"/>
    <n v="1.35"/>
    <n v="1.4710000000000001"/>
    <n v="12.65"/>
  </r>
  <r>
    <n v="257"/>
    <d v="2025-09-14T00:00:00"/>
    <x v="0"/>
    <s v="Domingo"/>
    <x v="8"/>
    <x v="3"/>
    <x v="1"/>
    <x v="4"/>
    <x v="4"/>
    <x v="4"/>
    <n v="12500"/>
    <x v="223"/>
    <n v="60"/>
    <n v="0"/>
    <n v="0"/>
    <n v="0"/>
    <x v="0"/>
    <n v="23.57"/>
    <n v="0"/>
    <x v="0"/>
    <n v="2.56"/>
    <n v="1.8859999999999999"/>
    <n v="23.57"/>
  </r>
  <r>
    <n v="1729"/>
    <d v="2025-09-14T00:00:00"/>
    <x v="0"/>
    <s v="Domingo"/>
    <x v="8"/>
    <x v="3"/>
    <x v="1"/>
    <x v="0"/>
    <x v="0"/>
    <x v="0"/>
    <n v="26000"/>
    <x v="136"/>
    <n v="79.099999999999994"/>
    <n v="0"/>
    <n v="16"/>
    <n v="1"/>
    <x v="2"/>
    <n v="67.11"/>
    <n v="0"/>
    <x v="0"/>
    <n v="7.47"/>
    <n v="2.581"/>
    <n v="67.11"/>
  </r>
  <r>
    <n v="1361"/>
    <d v="2025-09-14T00:00:00"/>
    <x v="0"/>
    <s v="Domingo"/>
    <x v="8"/>
    <x v="3"/>
    <x v="1"/>
    <x v="2"/>
    <x v="2"/>
    <x v="2"/>
    <n v="17400"/>
    <x v="199"/>
    <n v="70.400000000000006"/>
    <n v="0"/>
    <n v="38"/>
    <n v="0"/>
    <x v="0"/>
    <n v="50.51"/>
    <n v="0"/>
    <x v="0"/>
    <n v="5.48"/>
    <n v="2.903"/>
    <n v="50.51"/>
  </r>
  <r>
    <n v="1730"/>
    <d v="2025-09-14T08:00:00"/>
    <x v="1"/>
    <s v="Domingo"/>
    <x v="8"/>
    <x v="3"/>
    <x v="1"/>
    <x v="0"/>
    <x v="0"/>
    <x v="0"/>
    <n v="26000"/>
    <x v="197"/>
    <n v="71.5"/>
    <n v="218.1"/>
    <n v="44"/>
    <n v="0"/>
    <x v="0"/>
    <n v="79.84"/>
    <n v="59.35"/>
    <x v="0"/>
    <n v="2.34"/>
    <n v="3.0710000000000002"/>
    <n v="20.49"/>
  </r>
  <r>
    <n v="626"/>
    <d v="2025-09-14T08:00:00"/>
    <x v="1"/>
    <s v="Domingo"/>
    <x v="8"/>
    <x v="3"/>
    <x v="1"/>
    <x v="5"/>
    <x v="5"/>
    <x v="5"/>
    <n v="8600"/>
    <x v="160"/>
    <n v="85.7"/>
    <n v="208.2"/>
    <n v="0"/>
    <n v="0"/>
    <x v="0"/>
    <n v="8.08"/>
    <n v="16.309999999999999"/>
    <x v="0"/>
    <n v="-0.35"/>
    <n v="0.94"/>
    <n v="0"/>
  </r>
  <r>
    <n v="2098"/>
    <d v="2025-09-14T08:00:00"/>
    <x v="1"/>
    <s v="Domingo"/>
    <x v="8"/>
    <x v="3"/>
    <x v="1"/>
    <x v="3"/>
    <x v="3"/>
    <x v="3"/>
    <n v="9800"/>
    <x v="249"/>
    <n v="71.900000000000006"/>
    <n v="196.7"/>
    <n v="97"/>
    <n v="0"/>
    <x v="0"/>
    <n v="24.1"/>
    <n v="0"/>
    <x v="0"/>
    <n v="2.57"/>
    <n v="2.4590000000000001"/>
    <n v="24.1"/>
  </r>
  <r>
    <n v="1362"/>
    <d v="2025-09-14T08:00:00"/>
    <x v="1"/>
    <s v="Domingo"/>
    <x v="8"/>
    <x v="3"/>
    <x v="1"/>
    <x v="2"/>
    <x v="2"/>
    <x v="2"/>
    <n v="17400"/>
    <x v="242"/>
    <n v="79.400000000000006"/>
    <n v="167.9"/>
    <n v="86"/>
    <n v="0"/>
    <x v="0"/>
    <n v="41.61"/>
    <n v="20.81"/>
    <x v="0"/>
    <n v="2.2599999999999998"/>
    <n v="2.391"/>
    <n v="20.8"/>
  </r>
  <r>
    <n v="994"/>
    <d v="2025-09-14T08:00:00"/>
    <x v="1"/>
    <s v="Domingo"/>
    <x v="8"/>
    <x v="3"/>
    <x v="1"/>
    <x v="1"/>
    <x v="1"/>
    <x v="1"/>
    <n v="21000"/>
    <x v="192"/>
    <n v="40.299999999999997"/>
    <n v="239.3"/>
    <n v="423"/>
    <n v="0"/>
    <x v="0"/>
    <n v="204.6"/>
    <n v="49.16"/>
    <x v="0"/>
    <n v="16.760000000000002"/>
    <n v="9.7430000000000003"/>
    <n v="155.44"/>
  </r>
  <r>
    <n v="258"/>
    <d v="2025-09-14T08:00:00"/>
    <x v="1"/>
    <s v="Domingo"/>
    <x v="8"/>
    <x v="3"/>
    <x v="1"/>
    <x v="4"/>
    <x v="4"/>
    <x v="4"/>
    <n v="12500"/>
    <x v="205"/>
    <n v="55.5"/>
    <n v="232.3"/>
    <n v="0"/>
    <n v="0"/>
    <x v="0"/>
    <n v="15.07"/>
    <n v="37.299999999999997"/>
    <x v="0"/>
    <n v="-0.97"/>
    <n v="1.206"/>
    <n v="0"/>
  </r>
  <r>
    <n v="627"/>
    <d v="2025-09-14T14:00:00"/>
    <x v="2"/>
    <s v="Domingo"/>
    <x v="8"/>
    <x v="3"/>
    <x v="1"/>
    <x v="5"/>
    <x v="5"/>
    <x v="5"/>
    <n v="8600"/>
    <x v="190"/>
    <n v="87.1"/>
    <n v="520.6"/>
    <n v="39"/>
    <n v="0"/>
    <x v="0"/>
    <n v="9.49"/>
    <n v="39.83"/>
    <x v="0"/>
    <n v="-1.3"/>
    <n v="1.103"/>
    <n v="0"/>
  </r>
  <r>
    <n v="259"/>
    <d v="2025-09-14T14:00:00"/>
    <x v="2"/>
    <s v="Domingo"/>
    <x v="8"/>
    <x v="3"/>
    <x v="1"/>
    <x v="4"/>
    <x v="4"/>
    <x v="4"/>
    <n v="12500"/>
    <x v="264"/>
    <n v="50.9"/>
    <n v="779.2"/>
    <n v="7"/>
    <n v="0"/>
    <x v="0"/>
    <n v="15.46"/>
    <n v="123.86"/>
    <x v="0"/>
    <n v="-4.53"/>
    <n v="1.2370000000000001"/>
    <n v="0"/>
  </r>
  <r>
    <n v="2099"/>
    <d v="2025-09-14T14:00:00"/>
    <x v="2"/>
    <s v="Domingo"/>
    <x v="8"/>
    <x v="3"/>
    <x v="1"/>
    <x v="3"/>
    <x v="3"/>
    <x v="3"/>
    <n v="9800"/>
    <x v="281"/>
    <n v="70.900000000000006"/>
    <n v="723.2"/>
    <n v="104"/>
    <n v="1"/>
    <x v="2"/>
    <n v="24.94"/>
    <n v="0"/>
    <x v="0"/>
    <n v="2.69"/>
    <n v="2.5449999999999999"/>
    <n v="24.94"/>
  </r>
  <r>
    <n v="1731"/>
    <d v="2025-09-14T14:00:00"/>
    <x v="2"/>
    <s v="Domingo"/>
    <x v="8"/>
    <x v="3"/>
    <x v="1"/>
    <x v="0"/>
    <x v="0"/>
    <x v="0"/>
    <n v="26000"/>
    <x v="216"/>
    <n v="65.900000000000006"/>
    <n v="561.20000000000005"/>
    <n v="48"/>
    <n v="1"/>
    <x v="3"/>
    <n v="87.24"/>
    <n v="144.53"/>
    <x v="0"/>
    <n v="-2.5299999999999998"/>
    <n v="3.355"/>
    <n v="0"/>
  </r>
  <r>
    <n v="1363"/>
    <d v="2025-09-14T14:00:00"/>
    <x v="2"/>
    <s v="Domingo"/>
    <x v="8"/>
    <x v="3"/>
    <x v="1"/>
    <x v="2"/>
    <x v="2"/>
    <x v="2"/>
    <n v="17400"/>
    <x v="183"/>
    <n v="68.5"/>
    <n v="817.8"/>
    <n v="1538"/>
    <n v="1"/>
    <x v="2"/>
    <n v="247.49"/>
    <n v="105.01"/>
    <x v="0"/>
    <n v="15.54"/>
    <n v="14.224"/>
    <n v="142.47999999999999"/>
  </r>
  <r>
    <n v="995"/>
    <d v="2025-09-14T14:00:00"/>
    <x v="2"/>
    <s v="Domingo"/>
    <x v="8"/>
    <x v="3"/>
    <x v="1"/>
    <x v="1"/>
    <x v="1"/>
    <x v="1"/>
    <n v="21000"/>
    <x v="282"/>
    <n v="59.3"/>
    <n v="711.3"/>
    <n v="429"/>
    <n v="1"/>
    <x v="3"/>
    <n v="228.28"/>
    <n v="135.82"/>
    <x v="0"/>
    <n v="9.93"/>
    <n v="10.87"/>
    <n v="92.46"/>
  </r>
  <r>
    <n v="628"/>
    <d v="2025-09-14T20:00:00"/>
    <x v="3"/>
    <s v="Domingo"/>
    <x v="8"/>
    <x v="3"/>
    <x v="1"/>
    <x v="5"/>
    <x v="5"/>
    <x v="5"/>
    <n v="8600"/>
    <x v="190"/>
    <n v="84"/>
    <n v="0"/>
    <n v="23"/>
    <n v="0"/>
    <x v="0"/>
    <n v="123.82"/>
    <n v="0"/>
    <x v="0"/>
    <n v="1.57"/>
    <n v="14.398"/>
    <n v="123.82"/>
  </r>
  <r>
    <n v="1732"/>
    <d v="2025-09-14T20:00:00"/>
    <x v="3"/>
    <s v="Domingo"/>
    <x v="8"/>
    <x v="3"/>
    <x v="1"/>
    <x v="0"/>
    <x v="0"/>
    <x v="0"/>
    <n v="26000"/>
    <x v="271"/>
    <n v="54.8"/>
    <n v="0"/>
    <n v="62"/>
    <n v="0"/>
    <x v="0"/>
    <n v="140.21"/>
    <n v="0"/>
    <x v="0"/>
    <n v="15.41"/>
    <n v="5.3929999999999998"/>
    <n v="140.21"/>
  </r>
  <r>
    <n v="996"/>
    <d v="2025-09-14T20:00:00"/>
    <x v="3"/>
    <s v="Domingo"/>
    <x v="8"/>
    <x v="3"/>
    <x v="1"/>
    <x v="1"/>
    <x v="1"/>
    <x v="1"/>
    <n v="21000"/>
    <x v="166"/>
    <n v="63.7"/>
    <m/>
    <n v="440"/>
    <n v="0"/>
    <x v="0"/>
    <n v="278.45999999999998"/>
    <n v="0"/>
    <x v="0"/>
    <n v="29.57"/>
    <n v="13.26"/>
    <n v="278.45999999999998"/>
  </r>
  <r>
    <n v="260"/>
    <d v="2025-09-14T20:00:00"/>
    <x v="3"/>
    <s v="Domingo"/>
    <x v="8"/>
    <x v="3"/>
    <x v="1"/>
    <x v="4"/>
    <x v="4"/>
    <x v="4"/>
    <n v="12500"/>
    <x v="220"/>
    <n v="52.3"/>
    <n v="0"/>
    <n v="0"/>
    <n v="0"/>
    <x v="0"/>
    <n v="24.84"/>
    <n v="0"/>
    <x v="0"/>
    <n v="2.71"/>
    <n v="1.9870000000000001"/>
    <n v="24.84"/>
  </r>
  <r>
    <n v="2100"/>
    <d v="2025-09-14T20:00:00"/>
    <x v="3"/>
    <s v="Domingo"/>
    <x v="8"/>
    <x v="3"/>
    <x v="1"/>
    <x v="3"/>
    <x v="3"/>
    <x v="3"/>
    <n v="9800"/>
    <x v="227"/>
    <n v="73.5"/>
    <n v="0"/>
    <n v="283"/>
    <n v="0"/>
    <x v="0"/>
    <n v="96.16"/>
    <n v="0"/>
    <x v="0"/>
    <n v="10.130000000000001"/>
    <n v="9.8119999999999994"/>
    <n v="96.16"/>
  </r>
  <r>
    <n v="1364"/>
    <d v="2025-09-14T20:00:00"/>
    <x v="3"/>
    <s v="Domingo"/>
    <x v="8"/>
    <x v="3"/>
    <x v="1"/>
    <x v="2"/>
    <x v="2"/>
    <x v="2"/>
    <n v="17400"/>
    <x v="232"/>
    <n v="69.3"/>
    <n v="0"/>
    <n v="1481"/>
    <n v="1"/>
    <x v="3"/>
    <n v="300.57"/>
    <n v="0"/>
    <x v="0"/>
    <n v="31.38"/>
    <n v="17.274000000000001"/>
    <n v="300.57"/>
  </r>
  <r>
    <n v="629"/>
    <d v="2025-09-18T00:00:00"/>
    <x v="0"/>
    <s v="Jueves"/>
    <x v="8"/>
    <x v="3"/>
    <x v="0"/>
    <x v="5"/>
    <x v="5"/>
    <x v="5"/>
    <n v="8600"/>
    <x v="35"/>
    <n v="95.1"/>
    <n v="0"/>
    <n v="142"/>
    <n v="1"/>
    <x v="1"/>
    <n v="27.51"/>
    <n v="0"/>
    <x v="0"/>
    <n v="2.96"/>
    <n v="3.1989999999999998"/>
    <n v="27.51"/>
  </r>
  <r>
    <n v="1733"/>
    <d v="2025-09-18T00:00:00"/>
    <x v="0"/>
    <s v="Jueves"/>
    <x v="8"/>
    <x v="3"/>
    <x v="0"/>
    <x v="0"/>
    <x v="0"/>
    <x v="0"/>
    <n v="26000"/>
    <x v="106"/>
    <n v="63.7"/>
    <n v="0"/>
    <n v="54"/>
    <n v="0"/>
    <x v="0"/>
    <n v="106.96"/>
    <n v="0"/>
    <x v="0"/>
    <n v="11.78"/>
    <n v="4.1139999999999999"/>
    <n v="106.96"/>
  </r>
  <r>
    <n v="1365"/>
    <d v="2025-09-18T00:00:00"/>
    <x v="0"/>
    <s v="Jueves"/>
    <x v="8"/>
    <x v="3"/>
    <x v="0"/>
    <x v="2"/>
    <x v="2"/>
    <x v="2"/>
    <n v="17400"/>
    <x v="158"/>
    <n v="62.2"/>
    <n v="0"/>
    <n v="0"/>
    <n v="0"/>
    <x v="0"/>
    <n v="47.29"/>
    <n v="0"/>
    <x v="0"/>
    <n v="5.04"/>
    <n v="2.718"/>
    <n v="47.29"/>
  </r>
  <r>
    <n v="261"/>
    <d v="2025-09-18T00:00:00"/>
    <x v="0"/>
    <s v="Jueves"/>
    <x v="8"/>
    <x v="3"/>
    <x v="0"/>
    <x v="4"/>
    <x v="4"/>
    <x v="4"/>
    <n v="12500"/>
    <x v="228"/>
    <n v="48.9"/>
    <n v="0"/>
    <n v="0"/>
    <n v="0"/>
    <x v="0"/>
    <n v="23.6"/>
    <n v="0"/>
    <x v="0"/>
    <n v="2.61"/>
    <n v="1.8879999999999999"/>
    <n v="23.6"/>
  </r>
  <r>
    <n v="997"/>
    <d v="2025-09-18T00:00:00"/>
    <x v="0"/>
    <s v="Jueves"/>
    <x v="8"/>
    <x v="3"/>
    <x v="0"/>
    <x v="1"/>
    <x v="1"/>
    <x v="1"/>
    <n v="21000"/>
    <x v="155"/>
    <n v="60.4"/>
    <n v="0"/>
    <n v="191"/>
    <n v="0"/>
    <x v="0"/>
    <n v="167.01"/>
    <n v="0"/>
    <x v="0"/>
    <n v="18"/>
    <n v="7.9530000000000003"/>
    <n v="167.01"/>
  </r>
  <r>
    <n v="2101"/>
    <d v="2025-09-18T00:00:00"/>
    <x v="0"/>
    <s v="Jueves"/>
    <x v="8"/>
    <x v="3"/>
    <x v="0"/>
    <x v="3"/>
    <x v="3"/>
    <x v="3"/>
    <n v="9800"/>
    <x v="174"/>
    <n v="67.3"/>
    <n v="0"/>
    <n v="306"/>
    <n v="0"/>
    <x v="0"/>
    <n v="90.55"/>
    <n v="0"/>
    <x v="0"/>
    <n v="9.9600000000000009"/>
    <n v="9.24"/>
    <n v="90.55"/>
  </r>
  <r>
    <n v="998"/>
    <d v="2025-09-18T08:00:00"/>
    <x v="1"/>
    <s v="Jueves"/>
    <x v="8"/>
    <x v="3"/>
    <x v="0"/>
    <x v="1"/>
    <x v="1"/>
    <x v="1"/>
    <n v="21000"/>
    <x v="121"/>
    <n v="60.1"/>
    <n v="199.7"/>
    <n v="364"/>
    <n v="0"/>
    <x v="0"/>
    <n v="192.08"/>
    <n v="37.47"/>
    <x v="1"/>
    <n v="26.38"/>
    <n v="9.1470000000000002"/>
    <n v="154.61000000000001"/>
  </r>
  <r>
    <n v="1366"/>
    <d v="2025-09-18T08:00:00"/>
    <x v="1"/>
    <s v="Jueves"/>
    <x v="8"/>
    <x v="3"/>
    <x v="0"/>
    <x v="2"/>
    <x v="2"/>
    <x v="2"/>
    <n v="17400"/>
    <x v="192"/>
    <n v="78"/>
    <n v="181.9"/>
    <n v="80"/>
    <n v="0"/>
    <x v="0"/>
    <n v="40.130000000000003"/>
    <n v="20.61"/>
    <x v="1"/>
    <n v="3.36"/>
    <n v="2.306"/>
    <n v="19.52"/>
  </r>
  <r>
    <n v="1734"/>
    <d v="2025-09-18T08:00:00"/>
    <x v="1"/>
    <s v="Jueves"/>
    <x v="8"/>
    <x v="3"/>
    <x v="0"/>
    <x v="0"/>
    <x v="0"/>
    <x v="0"/>
    <n v="26000"/>
    <x v="43"/>
    <n v="60.4"/>
    <n v="245"/>
    <n v="167"/>
    <n v="0"/>
    <x v="0"/>
    <n v="152.83000000000001"/>
    <n v="64.349999999999994"/>
    <x v="1"/>
    <n v="14.91"/>
    <n v="5.8780000000000001"/>
    <n v="88.48"/>
  </r>
  <r>
    <n v="2102"/>
    <d v="2025-09-18T08:00:00"/>
    <x v="1"/>
    <s v="Jueves"/>
    <x v="8"/>
    <x v="3"/>
    <x v="0"/>
    <x v="3"/>
    <x v="3"/>
    <x v="3"/>
    <n v="9800"/>
    <x v="155"/>
    <n v="73.599999999999994"/>
    <n v="198.3"/>
    <n v="35"/>
    <n v="0"/>
    <x v="0"/>
    <n v="17.309999999999999"/>
    <n v="0"/>
    <x v="1"/>
    <n v="2.98"/>
    <n v="1.766"/>
    <n v="17.309999999999999"/>
  </r>
  <r>
    <n v="262"/>
    <d v="2025-09-18T08:00:00"/>
    <x v="1"/>
    <s v="Jueves"/>
    <x v="8"/>
    <x v="3"/>
    <x v="0"/>
    <x v="4"/>
    <x v="4"/>
    <x v="4"/>
    <n v="12500"/>
    <x v="115"/>
    <n v="57"/>
    <n v="190.9"/>
    <n v="326"/>
    <n v="0"/>
    <x v="0"/>
    <n v="67.92"/>
    <n v="31.27"/>
    <x v="1"/>
    <n v="6.19"/>
    <n v="5.4340000000000002"/>
    <n v="36.65"/>
  </r>
  <r>
    <n v="630"/>
    <d v="2025-09-18T08:00:00"/>
    <x v="1"/>
    <s v="Jueves"/>
    <x v="8"/>
    <x v="3"/>
    <x v="0"/>
    <x v="5"/>
    <x v="5"/>
    <x v="5"/>
    <n v="8600"/>
    <x v="182"/>
    <n v="81.3"/>
    <n v="108.9"/>
    <n v="847"/>
    <n v="0"/>
    <x v="0"/>
    <n v="111.74"/>
    <n v="7.91"/>
    <x v="1"/>
    <n v="17.170000000000002"/>
    <n v="12.993"/>
    <n v="103.83"/>
  </r>
  <r>
    <n v="631"/>
    <d v="2025-09-18T14:00:00"/>
    <x v="2"/>
    <s v="Jueves"/>
    <x v="8"/>
    <x v="3"/>
    <x v="0"/>
    <x v="5"/>
    <x v="5"/>
    <x v="5"/>
    <n v="8600"/>
    <x v="211"/>
    <n v="73.900000000000006"/>
    <n v="620.6"/>
    <n v="730"/>
    <n v="0"/>
    <x v="0"/>
    <n v="72.72"/>
    <n v="45.38"/>
    <x v="1"/>
    <n v="4.84"/>
    <n v="8.4559999999999995"/>
    <n v="27.34"/>
  </r>
  <r>
    <n v="999"/>
    <d v="2025-09-18T14:00:00"/>
    <x v="2"/>
    <s v="Jueves"/>
    <x v="8"/>
    <x v="3"/>
    <x v="0"/>
    <x v="1"/>
    <x v="1"/>
    <x v="1"/>
    <n v="21000"/>
    <x v="251"/>
    <n v="39.6"/>
    <n v="677"/>
    <n v="399"/>
    <n v="1"/>
    <x v="3"/>
    <n v="232.95"/>
    <n v="137.24"/>
    <x v="1"/>
    <n v="16.41"/>
    <n v="11.093"/>
    <n v="95.71"/>
  </r>
  <r>
    <n v="263"/>
    <d v="2025-09-18T14:00:00"/>
    <x v="2"/>
    <s v="Jueves"/>
    <x v="8"/>
    <x v="3"/>
    <x v="0"/>
    <x v="4"/>
    <x v="4"/>
    <x v="4"/>
    <n v="12500"/>
    <x v="267"/>
    <n v="50.8"/>
    <n v="727.5"/>
    <n v="576"/>
    <n v="1"/>
    <x v="3"/>
    <n v="104.87"/>
    <n v="115.45"/>
    <x v="1"/>
    <n v="-0.73"/>
    <n v="8.39"/>
    <n v="0"/>
  </r>
  <r>
    <n v="1367"/>
    <d v="2025-09-18T14:00:00"/>
    <x v="2"/>
    <s v="Jueves"/>
    <x v="8"/>
    <x v="3"/>
    <x v="0"/>
    <x v="2"/>
    <x v="2"/>
    <x v="2"/>
    <n v="17400"/>
    <x v="253"/>
    <n v="59.6"/>
    <n v="717.9"/>
    <n v="1370"/>
    <n v="1"/>
    <x v="3"/>
    <n v="203.78"/>
    <n v="88.85"/>
    <x v="1"/>
    <n v="20.100000000000001"/>
    <n v="11.711"/>
    <n v="114.93"/>
  </r>
  <r>
    <n v="2103"/>
    <d v="2025-09-18T14:00:00"/>
    <x v="2"/>
    <s v="Jueves"/>
    <x v="8"/>
    <x v="3"/>
    <x v="0"/>
    <x v="3"/>
    <x v="3"/>
    <x v="3"/>
    <n v="9800"/>
    <x v="231"/>
    <n v="54.5"/>
    <n v="791.9"/>
    <n v="70"/>
    <n v="1"/>
    <x v="3"/>
    <n v="21.7"/>
    <n v="0"/>
    <x v="1"/>
    <n v="3.66"/>
    <n v="2.214"/>
    <n v="21.7"/>
  </r>
  <r>
    <n v="1735"/>
    <d v="2025-09-18T14:00:00"/>
    <x v="2"/>
    <s v="Jueves"/>
    <x v="8"/>
    <x v="3"/>
    <x v="0"/>
    <x v="0"/>
    <x v="0"/>
    <x v="0"/>
    <n v="26000"/>
    <x v="194"/>
    <n v="61.5"/>
    <n v="680.8"/>
    <n v="176"/>
    <n v="1"/>
    <x v="3"/>
    <n v="174.85"/>
    <n v="167.35"/>
    <x v="1"/>
    <n v="1.31"/>
    <n v="6.7249999999999996"/>
    <n v="7.5"/>
  </r>
  <r>
    <n v="1000"/>
    <d v="2025-09-18T20:00:00"/>
    <x v="3"/>
    <s v="Jueves"/>
    <x v="8"/>
    <x v="3"/>
    <x v="0"/>
    <x v="1"/>
    <x v="1"/>
    <x v="1"/>
    <n v="21000"/>
    <x v="306"/>
    <n v="61.2"/>
    <n v="0"/>
    <n v="448"/>
    <n v="1"/>
    <x v="3"/>
    <n v="293.37"/>
    <n v="0"/>
    <x v="2"/>
    <n v="79.94"/>
    <n v="13.97"/>
    <n v="293.37"/>
  </r>
  <r>
    <n v="2104"/>
    <d v="2025-09-18T20:00:00"/>
    <x v="3"/>
    <s v="Jueves"/>
    <x v="8"/>
    <x v="3"/>
    <x v="0"/>
    <x v="3"/>
    <x v="3"/>
    <x v="3"/>
    <n v="9800"/>
    <x v="180"/>
    <n v="70.599999999999994"/>
    <n v="0"/>
    <n v="315"/>
    <n v="0"/>
    <x v="0"/>
    <n v="93.96"/>
    <n v="0"/>
    <x v="2"/>
    <n v="24.7"/>
    <n v="9.5879999999999992"/>
    <n v="93.96"/>
  </r>
  <r>
    <n v="1368"/>
    <d v="2025-09-18T20:00:00"/>
    <x v="3"/>
    <s v="Jueves"/>
    <x v="8"/>
    <x v="3"/>
    <x v="0"/>
    <x v="2"/>
    <x v="2"/>
    <x v="2"/>
    <n v="17400"/>
    <x v="263"/>
    <n v="68.900000000000006"/>
    <m/>
    <n v="1386"/>
    <n v="1"/>
    <x v="3"/>
    <n v="278.39999999999998"/>
    <n v="0"/>
    <x v="2"/>
    <n v="74.11"/>
    <n v="16"/>
    <n v="278.39999999999998"/>
  </r>
  <r>
    <n v="1736"/>
    <d v="2025-09-18T20:00:00"/>
    <x v="3"/>
    <s v="Jueves"/>
    <x v="8"/>
    <x v="3"/>
    <x v="0"/>
    <x v="0"/>
    <x v="0"/>
    <x v="0"/>
    <n v="26000"/>
    <x v="43"/>
    <n v="75.099999999999994"/>
    <n v="0"/>
    <n v="188"/>
    <n v="0"/>
    <x v="0"/>
    <n v="248.38"/>
    <n v="0"/>
    <x v="2"/>
    <n v="64.38"/>
    <n v="9.5530000000000008"/>
    <n v="248.38"/>
  </r>
  <r>
    <n v="632"/>
    <d v="2025-09-18T20:00:00"/>
    <x v="3"/>
    <s v="Jueves"/>
    <x v="8"/>
    <x v="3"/>
    <x v="0"/>
    <x v="5"/>
    <x v="5"/>
    <x v="5"/>
    <n v="8600"/>
    <x v="159"/>
    <n v="75.900000000000006"/>
    <n v="0"/>
    <n v="70"/>
    <n v="0"/>
    <x v="0"/>
    <n v="22.24"/>
    <n v="0"/>
    <x v="2"/>
    <n v="5.85"/>
    <n v="2.5859999999999999"/>
    <n v="22.24"/>
  </r>
  <r>
    <n v="264"/>
    <d v="2025-09-18T20:00:00"/>
    <x v="3"/>
    <s v="Jueves"/>
    <x v="8"/>
    <x v="3"/>
    <x v="0"/>
    <x v="4"/>
    <x v="4"/>
    <x v="4"/>
    <n v="12500"/>
    <x v="185"/>
    <n v="49.6"/>
    <n v="0"/>
    <n v="80"/>
    <n v="0"/>
    <x v="0"/>
    <n v="39.549999999999997"/>
    <n v="0"/>
    <x v="2"/>
    <n v="10.09"/>
    <n v="3.1640000000000001"/>
    <n v="39.549999999999997"/>
  </r>
  <r>
    <n v="1369"/>
    <d v="2025-09-22T00:00:00"/>
    <x v="0"/>
    <s v="Lunes"/>
    <x v="8"/>
    <x v="3"/>
    <x v="0"/>
    <x v="2"/>
    <x v="2"/>
    <x v="2"/>
    <n v="17400"/>
    <x v="116"/>
    <n v="79.599999999999994"/>
    <n v="0"/>
    <n v="163"/>
    <n v="0"/>
    <x v="0"/>
    <n v="57.14"/>
    <n v="0"/>
    <x v="0"/>
    <n v="6.17"/>
    <n v="3.2839999999999998"/>
    <n v="57.14"/>
  </r>
  <r>
    <n v="1001"/>
    <d v="2025-09-22T00:00:00"/>
    <x v="0"/>
    <s v="Lunes"/>
    <x v="8"/>
    <x v="3"/>
    <x v="0"/>
    <x v="1"/>
    <x v="1"/>
    <x v="1"/>
    <n v="21000"/>
    <x v="195"/>
    <n v="60.4"/>
    <n v="0"/>
    <n v="212"/>
    <n v="0"/>
    <x v="0"/>
    <n v="183.38"/>
    <n v="0"/>
    <x v="0"/>
    <n v="20.149999999999999"/>
    <n v="8.7319999999999993"/>
    <n v="183.38"/>
  </r>
  <r>
    <n v="1737"/>
    <d v="2025-09-22T00:00:00"/>
    <x v="0"/>
    <s v="Lunes"/>
    <x v="8"/>
    <x v="3"/>
    <x v="0"/>
    <x v="0"/>
    <x v="0"/>
    <x v="0"/>
    <n v="26000"/>
    <x v="186"/>
    <n v="64.2"/>
    <n v="0"/>
    <n v="55"/>
    <n v="1"/>
    <x v="2"/>
    <n v="125.04"/>
    <n v="0"/>
    <x v="0"/>
    <n v="13.7"/>
    <n v="4.8090000000000002"/>
    <n v="125.04"/>
  </r>
  <r>
    <n v="265"/>
    <d v="2025-09-22T00:00:00"/>
    <x v="0"/>
    <s v="Lunes"/>
    <x v="8"/>
    <x v="3"/>
    <x v="0"/>
    <x v="4"/>
    <x v="4"/>
    <x v="4"/>
    <n v="12500"/>
    <x v="184"/>
    <n v="59.5"/>
    <n v="0"/>
    <n v="0"/>
    <n v="0"/>
    <x v="0"/>
    <n v="23.87"/>
    <n v="0"/>
    <x v="0"/>
    <n v="2.58"/>
    <n v="1.91"/>
    <n v="23.87"/>
  </r>
  <r>
    <n v="633"/>
    <d v="2025-09-22T00:00:00"/>
    <x v="0"/>
    <s v="Lunes"/>
    <x v="8"/>
    <x v="3"/>
    <x v="0"/>
    <x v="5"/>
    <x v="5"/>
    <x v="5"/>
    <n v="8600"/>
    <x v="53"/>
    <n v="93.4"/>
    <n v="0"/>
    <n v="56"/>
    <n v="0"/>
    <x v="0"/>
    <n v="23.5"/>
    <n v="0"/>
    <x v="0"/>
    <n v="2.52"/>
    <n v="2.7330000000000001"/>
    <n v="23.5"/>
  </r>
  <r>
    <n v="2105"/>
    <d v="2025-09-22T00:00:00"/>
    <x v="0"/>
    <s v="Lunes"/>
    <x v="8"/>
    <x v="3"/>
    <x v="0"/>
    <x v="3"/>
    <x v="3"/>
    <x v="3"/>
    <n v="9800"/>
    <x v="21"/>
    <n v="84.4"/>
    <n v="0"/>
    <n v="318"/>
    <n v="1"/>
    <x v="1"/>
    <n v="101.1"/>
    <n v="0"/>
    <x v="0"/>
    <n v="10.78"/>
    <n v="10.316000000000001"/>
    <n v="101.1"/>
  </r>
  <r>
    <n v="1738"/>
    <d v="2025-09-22T08:00:00"/>
    <x v="1"/>
    <s v="Lunes"/>
    <x v="8"/>
    <x v="3"/>
    <x v="0"/>
    <x v="0"/>
    <x v="0"/>
    <x v="0"/>
    <n v="26000"/>
    <x v="161"/>
    <n v="65.099999999999994"/>
    <n v="153.80000000000001"/>
    <n v="183"/>
    <n v="1"/>
    <x v="2"/>
    <n v="146.31"/>
    <n v="40.130000000000003"/>
    <x v="1"/>
    <n v="18.739999999999998"/>
    <n v="5.6269999999999998"/>
    <n v="106.18"/>
  </r>
  <r>
    <n v="1370"/>
    <d v="2025-09-22T08:00:00"/>
    <x v="1"/>
    <s v="Lunes"/>
    <x v="8"/>
    <x v="3"/>
    <x v="0"/>
    <x v="2"/>
    <x v="2"/>
    <x v="2"/>
    <n v="17400"/>
    <x v="228"/>
    <n v="62.6"/>
    <n v="213.3"/>
    <m/>
    <n v="0"/>
    <x v="0"/>
    <n v="44.14"/>
    <n v="27.36"/>
    <x v="1"/>
    <n v="2.98"/>
    <n v="2.5369999999999999"/>
    <n v="16.78"/>
  </r>
  <r>
    <n v="2106"/>
    <d v="2025-09-22T08:00:00"/>
    <x v="1"/>
    <s v="Lunes"/>
    <x v="8"/>
    <x v="3"/>
    <x v="0"/>
    <x v="3"/>
    <x v="3"/>
    <x v="3"/>
    <n v="9800"/>
    <x v="156"/>
    <n v="76.5"/>
    <n v="158.69999999999999"/>
    <n v="102"/>
    <n v="0"/>
    <x v="0"/>
    <n v="21.44"/>
    <n v="0"/>
    <x v="1"/>
    <n v="3.6"/>
    <n v="2.1880000000000002"/>
    <n v="21.44"/>
  </r>
  <r>
    <n v="266"/>
    <d v="2025-09-22T08:00:00"/>
    <x v="1"/>
    <s v="Lunes"/>
    <x v="8"/>
    <x v="3"/>
    <x v="0"/>
    <x v="4"/>
    <x v="4"/>
    <x v="4"/>
    <n v="12500"/>
    <x v="186"/>
    <n v="55.2"/>
    <n v="202.6"/>
    <n v="379"/>
    <n v="1"/>
    <x v="2"/>
    <n v="69.14"/>
    <n v="31.91"/>
    <x v="1"/>
    <n v="6.51"/>
    <n v="5.5309999999999997"/>
    <n v="37.229999999999997"/>
  </r>
  <r>
    <n v="1002"/>
    <d v="2025-09-22T08:00:00"/>
    <x v="1"/>
    <s v="Lunes"/>
    <x v="8"/>
    <x v="3"/>
    <x v="0"/>
    <x v="1"/>
    <x v="1"/>
    <x v="1"/>
    <n v="21000"/>
    <x v="180"/>
    <n v="54"/>
    <n v="168.7"/>
    <n v="431"/>
    <n v="0"/>
    <x v="0"/>
    <n v="198.61"/>
    <n v="33.729999999999997"/>
    <x v="1"/>
    <n v="29.4"/>
    <n v="9.4580000000000002"/>
    <n v="164.88"/>
  </r>
  <r>
    <n v="634"/>
    <d v="2025-09-22T08:00:00"/>
    <x v="1"/>
    <s v="Lunes"/>
    <x v="8"/>
    <x v="3"/>
    <x v="0"/>
    <x v="5"/>
    <x v="5"/>
    <x v="5"/>
    <n v="8600"/>
    <x v="97"/>
    <n v="76.7"/>
    <n v="111.4"/>
    <n v="814"/>
    <n v="0"/>
    <x v="0"/>
    <n v="114.74"/>
    <n v="8.26"/>
    <x v="1"/>
    <n v="18.829999999999998"/>
    <n v="13.342000000000001"/>
    <n v="106.48"/>
  </r>
  <r>
    <n v="267"/>
    <d v="2025-09-22T14:00:00"/>
    <x v="2"/>
    <s v="Lunes"/>
    <x v="8"/>
    <x v="3"/>
    <x v="0"/>
    <x v="4"/>
    <x v="4"/>
    <x v="4"/>
    <n v="12500"/>
    <x v="254"/>
    <n v="50.7"/>
    <n v="591.29999999999995"/>
    <n v="576"/>
    <n v="1"/>
    <x v="2"/>
    <n v="111.05"/>
    <n v="86.8"/>
    <x v="1"/>
    <n v="4.1100000000000003"/>
    <n v="8.8840000000000003"/>
    <n v="24.25"/>
  </r>
  <r>
    <n v="1003"/>
    <d v="2025-09-22T14:00:00"/>
    <x v="2"/>
    <s v="Lunes"/>
    <x v="8"/>
    <x v="3"/>
    <x v="0"/>
    <x v="1"/>
    <x v="1"/>
    <x v="1"/>
    <n v="21000"/>
    <x v="272"/>
    <n v="54.6"/>
    <n v="681.9"/>
    <n v="384"/>
    <n v="1"/>
    <x v="3"/>
    <n v="196.45"/>
    <n v="133.47"/>
    <x v="1"/>
    <n v="10.98"/>
    <n v="9.3550000000000004"/>
    <n v="62.98"/>
  </r>
  <r>
    <n v="1371"/>
    <d v="2025-09-22T14:00:00"/>
    <x v="2"/>
    <s v="Lunes"/>
    <x v="8"/>
    <x v="3"/>
    <x v="0"/>
    <x v="2"/>
    <x v="2"/>
    <x v="2"/>
    <n v="17400"/>
    <x v="226"/>
    <n v="74.2"/>
    <n v="735"/>
    <n v="1248"/>
    <n v="1"/>
    <x v="2"/>
    <n v="2295.19"/>
    <n v="96.67"/>
    <x v="1"/>
    <n v="19.87"/>
    <n v="131.90700000000001"/>
    <n v="2198.52"/>
  </r>
  <r>
    <n v="2107"/>
    <d v="2025-09-22T14:00:00"/>
    <x v="2"/>
    <s v="Lunes"/>
    <x v="8"/>
    <x v="3"/>
    <x v="0"/>
    <x v="3"/>
    <x v="3"/>
    <x v="3"/>
    <n v="9800"/>
    <x v="43"/>
    <n v="79.8"/>
    <n v="598.6"/>
    <n v="63"/>
    <n v="0"/>
    <x v="0"/>
    <n v="16.79"/>
    <n v="0"/>
    <x v="1"/>
    <n v="2.84"/>
    <n v="1.7130000000000001"/>
    <n v="16.79"/>
  </r>
  <r>
    <n v="635"/>
    <d v="2025-09-22T14:00:00"/>
    <x v="2"/>
    <s v="Lunes"/>
    <x v="8"/>
    <x v="3"/>
    <x v="0"/>
    <x v="5"/>
    <x v="5"/>
    <x v="5"/>
    <n v="8600"/>
    <x v="183"/>
    <n v="69.8"/>
    <n v="666.2"/>
    <n v="799"/>
    <n v="1"/>
    <x v="2"/>
    <n v="84.39"/>
    <n v="52.73"/>
    <x v="1"/>
    <n v="5.62"/>
    <n v="9.8130000000000006"/>
    <n v="31.66"/>
  </r>
  <r>
    <n v="1739"/>
    <d v="2025-09-22T14:00:00"/>
    <x v="2"/>
    <s v="Lunes"/>
    <x v="8"/>
    <x v="3"/>
    <x v="0"/>
    <x v="0"/>
    <x v="0"/>
    <x v="0"/>
    <n v="26000"/>
    <x v="230"/>
    <n v="53.6"/>
    <n v="597.29999999999995"/>
    <n v="187"/>
    <n v="1"/>
    <x v="3"/>
    <n v="161.32"/>
    <n v="147.71"/>
    <x v="1"/>
    <m/>
    <n v="6.2050000000000001"/>
    <n v="13.61"/>
  </r>
  <r>
    <n v="2108"/>
    <d v="2025-09-22T20:00:00"/>
    <x v="3"/>
    <s v="Lunes"/>
    <x v="8"/>
    <x v="3"/>
    <x v="0"/>
    <x v="3"/>
    <x v="3"/>
    <x v="3"/>
    <n v="9800"/>
    <x v="266"/>
    <n v="64.5"/>
    <n v="0"/>
    <n v="294"/>
    <n v="0"/>
    <x v="0"/>
    <n v="94.09"/>
    <n v="0"/>
    <x v="2"/>
    <n v="24.51"/>
    <n v="9.6010000000000009"/>
    <n v="94.09"/>
  </r>
  <r>
    <n v="268"/>
    <d v="2025-09-22T20:00:00"/>
    <x v="3"/>
    <s v="Lunes"/>
    <x v="8"/>
    <x v="3"/>
    <x v="0"/>
    <x v="4"/>
    <x v="4"/>
    <x v="4"/>
    <n v="12500"/>
    <x v="43"/>
    <n v="52.1"/>
    <n v="0"/>
    <n v="47"/>
    <n v="0"/>
    <x v="0"/>
    <n v="34.659999999999997"/>
    <n v="0"/>
    <x v="2"/>
    <n v="9.26"/>
    <n v="2.7730000000000001"/>
    <n v="34.659999999999997"/>
  </r>
  <r>
    <n v="1372"/>
    <d v="2025-09-22T20:00:00"/>
    <x v="3"/>
    <s v="Lunes"/>
    <x v="8"/>
    <x v="3"/>
    <x v="0"/>
    <x v="2"/>
    <x v="2"/>
    <x v="2"/>
    <n v="17400"/>
    <x v="214"/>
    <n v="57.5"/>
    <n v="0"/>
    <n v="1231"/>
    <n v="1"/>
    <x v="2"/>
    <n v="288.77999999999997"/>
    <n v="0"/>
    <x v="2"/>
    <n v="76.44"/>
    <n v="16.597000000000001"/>
    <n v="288.77999999999997"/>
  </r>
  <r>
    <n v="636"/>
    <d v="2025-09-22T20:00:00"/>
    <x v="3"/>
    <s v="Lunes"/>
    <x v="8"/>
    <x v="3"/>
    <x v="0"/>
    <x v="5"/>
    <x v="5"/>
    <x v="5"/>
    <n v="8600"/>
    <x v="105"/>
    <n v="73.8"/>
    <n v="0"/>
    <n v="14"/>
    <n v="0"/>
    <x v="0"/>
    <n v="18.420000000000002"/>
    <n v="0"/>
    <x v="2"/>
    <n v="4.96"/>
    <n v="2.1419999999999999"/>
    <n v="18.420000000000002"/>
  </r>
  <r>
    <n v="1004"/>
    <d v="2025-09-22T20:00:00"/>
    <x v="3"/>
    <s v="Lunes"/>
    <x v="8"/>
    <x v="3"/>
    <x v="0"/>
    <x v="1"/>
    <x v="1"/>
    <x v="1"/>
    <n v="21000"/>
    <x v="247"/>
    <n v="59.1"/>
    <n v="0"/>
    <n v="403"/>
    <n v="1"/>
    <x v="2"/>
    <n v="299.81"/>
    <n v="0"/>
    <x v="2"/>
    <n v="80.98"/>
    <n v="14.276999999999999"/>
    <n v="299.81"/>
  </r>
  <r>
    <n v="1740"/>
    <d v="2025-09-22T20:00:00"/>
    <x v="3"/>
    <s v="Lunes"/>
    <x v="8"/>
    <x v="3"/>
    <x v="0"/>
    <x v="0"/>
    <x v="0"/>
    <x v="0"/>
    <n v="26000"/>
    <x v="256"/>
    <n v="61.6"/>
    <n v="0"/>
    <n v="170"/>
    <n v="0"/>
    <x v="0"/>
    <m/>
    <n v="0"/>
    <x v="2"/>
    <n v="62.81"/>
    <m/>
    <m/>
  </r>
  <r>
    <n v="2109"/>
    <d v="2025-09-26T00:00:00"/>
    <x v="0"/>
    <s v="Viernes"/>
    <x v="8"/>
    <x v="3"/>
    <x v="0"/>
    <x v="3"/>
    <x v="3"/>
    <x v="3"/>
    <n v="9800"/>
    <x v="161"/>
    <n v="73.900000000000006"/>
    <n v="0"/>
    <n v="319"/>
    <n v="1"/>
    <x v="2"/>
    <n v="95.05"/>
    <n v="0"/>
    <x v="0"/>
    <n v="10.5"/>
    <n v="9.6989999999999998"/>
    <n v="95.05"/>
  </r>
  <r>
    <n v="269"/>
    <d v="2025-09-26T00:00:00"/>
    <x v="0"/>
    <s v="Viernes"/>
    <x v="8"/>
    <x v="3"/>
    <x v="0"/>
    <x v="4"/>
    <x v="4"/>
    <x v="4"/>
    <n v="12500"/>
    <x v="52"/>
    <n v="61.8"/>
    <n v="0"/>
    <n v="0"/>
    <n v="0"/>
    <x v="0"/>
    <n v="22.76"/>
    <n v="0"/>
    <x v="0"/>
    <n v="2.46"/>
    <n v="1.821"/>
    <n v="22.76"/>
  </r>
  <r>
    <n v="637"/>
    <d v="2025-09-26T00:00:00"/>
    <x v="0"/>
    <s v="Viernes"/>
    <x v="8"/>
    <x v="3"/>
    <x v="0"/>
    <x v="5"/>
    <x v="5"/>
    <x v="5"/>
    <n v="8600"/>
    <x v="24"/>
    <n v="81"/>
    <n v="0"/>
    <n v="56"/>
    <n v="1"/>
    <x v="1"/>
    <n v="25.33"/>
    <n v="0"/>
    <x v="0"/>
    <n v="2.74"/>
    <n v="2.9449999999999998"/>
    <n v="25.33"/>
  </r>
  <r>
    <n v="1005"/>
    <d v="2025-09-26T00:00:00"/>
    <x v="0"/>
    <s v="Viernes"/>
    <x v="8"/>
    <x v="3"/>
    <x v="0"/>
    <x v="1"/>
    <x v="1"/>
    <x v="1"/>
    <n v="21000"/>
    <x v="11"/>
    <n v="65.599999999999994"/>
    <n v="0"/>
    <n v="210"/>
    <n v="1"/>
    <x v="2"/>
    <n v="178.55"/>
    <n v="0"/>
    <x v="0"/>
    <n v="19.05"/>
    <n v="8.5020000000000007"/>
    <n v="178.55"/>
  </r>
  <r>
    <n v="1373"/>
    <d v="2025-09-26T00:00:00"/>
    <x v="0"/>
    <s v="Viernes"/>
    <x v="8"/>
    <x v="3"/>
    <x v="0"/>
    <x v="2"/>
    <x v="2"/>
    <x v="2"/>
    <n v="17400"/>
    <x v="185"/>
    <n v="62.4"/>
    <n v="0"/>
    <n v="0"/>
    <n v="0"/>
    <x v="0"/>
    <n v="51.59"/>
    <n v="0"/>
    <x v="0"/>
    <n v="5.6"/>
    <n v="2.9649999999999999"/>
    <n v="51.59"/>
  </r>
  <r>
    <n v="1741"/>
    <d v="2025-09-26T00:00:00"/>
    <x v="0"/>
    <s v="Viernes"/>
    <x v="8"/>
    <x v="3"/>
    <x v="0"/>
    <x v="0"/>
    <x v="0"/>
    <x v="0"/>
    <n v="26000"/>
    <x v="143"/>
    <n v="71.900000000000006"/>
    <n v="0"/>
    <n v="56"/>
    <n v="1"/>
    <x v="1"/>
    <n v="106.08"/>
    <n v="0"/>
    <x v="0"/>
    <n v="11.29"/>
    <n v="4.08"/>
    <n v="106.08"/>
  </r>
  <r>
    <n v="2110"/>
    <d v="2025-09-26T08:00:00"/>
    <x v="1"/>
    <s v="Viernes"/>
    <x v="8"/>
    <x v="3"/>
    <x v="0"/>
    <x v="3"/>
    <x v="3"/>
    <x v="3"/>
    <n v="9800"/>
    <x v="115"/>
    <n v="76.7"/>
    <n v="128.19999999999999"/>
    <n v="59"/>
    <n v="0"/>
    <x v="0"/>
    <n v="18.7"/>
    <n v="0"/>
    <x v="1"/>
    <n v="3.38"/>
    <n v="1.9079999999999999"/>
    <n v="18.7"/>
  </r>
  <r>
    <n v="1374"/>
    <d v="2025-09-26T08:00:00"/>
    <x v="1"/>
    <s v="Viernes"/>
    <x v="8"/>
    <x v="3"/>
    <x v="0"/>
    <x v="2"/>
    <x v="2"/>
    <x v="2"/>
    <n v="17400"/>
    <x v="213"/>
    <m/>
    <n v="159.19999999999999"/>
    <n v="229"/>
    <n v="0"/>
    <x v="0"/>
    <n v="45.13"/>
    <n v="19.39"/>
    <x v="1"/>
    <n v="4.5199999999999996"/>
    <n v="2.5939999999999999"/>
    <n v="25.74"/>
  </r>
  <r>
    <n v="1006"/>
    <d v="2025-09-26T08:00:00"/>
    <x v="1"/>
    <s v="Viernes"/>
    <x v="8"/>
    <x v="3"/>
    <x v="0"/>
    <x v="1"/>
    <x v="1"/>
    <x v="1"/>
    <n v="21000"/>
    <x v="201"/>
    <n v="62.1"/>
    <n v="152.6"/>
    <n v="393"/>
    <n v="1"/>
    <x v="2"/>
    <n v="198.67"/>
    <n v="31.47"/>
    <x v="1"/>
    <n v="29.58"/>
    <n v="9.4600000000000009"/>
    <n v="167.2"/>
  </r>
  <r>
    <n v="1742"/>
    <d v="2025-09-26T08:00:00"/>
    <x v="1"/>
    <s v="Viernes"/>
    <x v="8"/>
    <x v="3"/>
    <x v="0"/>
    <x v="0"/>
    <x v="0"/>
    <x v="0"/>
    <n v="26000"/>
    <x v="204"/>
    <n v="49.3"/>
    <n v="170.9"/>
    <m/>
    <n v="0"/>
    <x v="0"/>
    <n v="154.72999999999999"/>
    <n v="44.92"/>
    <x v="1"/>
    <n v="18.440000000000001"/>
    <n v="5.9509999999999996"/>
    <n v="109.81"/>
  </r>
  <r>
    <n v="270"/>
    <d v="2025-09-26T08:00:00"/>
    <x v="1"/>
    <s v="Viernes"/>
    <x v="8"/>
    <x v="3"/>
    <x v="0"/>
    <x v="4"/>
    <x v="4"/>
    <x v="4"/>
    <n v="12500"/>
    <x v="160"/>
    <n v="64.5"/>
    <n v="161"/>
    <n v="347"/>
    <n v="1"/>
    <x v="2"/>
    <n v="68.94"/>
    <n v="24.76"/>
    <x v="1"/>
    <n v="7.7"/>
    <n v="5.5149999999999997"/>
    <n v="44.18"/>
  </r>
  <r>
    <n v="638"/>
    <d v="2025-09-26T08:00:00"/>
    <x v="1"/>
    <s v="Viernes"/>
    <x v="8"/>
    <x v="3"/>
    <x v="0"/>
    <x v="5"/>
    <x v="5"/>
    <x v="5"/>
    <n v="8600"/>
    <x v="21"/>
    <n v="91.1"/>
    <n v="152.30000000000001"/>
    <n v="812"/>
    <n v="1"/>
    <x v="1"/>
    <n v="82.63"/>
    <n v="12.13"/>
    <x v="1"/>
    <n v="11.76"/>
    <n v="9.6080000000000005"/>
    <n v="70.5"/>
  </r>
  <r>
    <n v="639"/>
    <d v="2025-09-26T14:00:00"/>
    <x v="2"/>
    <s v="Viernes"/>
    <x v="8"/>
    <x v="3"/>
    <x v="0"/>
    <x v="5"/>
    <x v="5"/>
    <x v="5"/>
    <n v="8600"/>
    <x v="164"/>
    <n v="77.8"/>
    <n v="725"/>
    <n v="773"/>
    <n v="0"/>
    <x v="0"/>
    <n v="86.59"/>
    <n v="56.89"/>
    <x v="1"/>
    <n v="5.27"/>
    <n v="10.069000000000001"/>
    <n v="29.7"/>
  </r>
  <r>
    <n v="2111"/>
    <d v="2025-09-26T14:00:00"/>
    <x v="2"/>
    <s v="Viernes"/>
    <x v="8"/>
    <x v="3"/>
    <x v="0"/>
    <x v="3"/>
    <x v="3"/>
    <x v="3"/>
    <n v="9800"/>
    <x v="310"/>
    <n v="84.2"/>
    <n v="544.6"/>
    <n v="55"/>
    <n v="1"/>
    <x v="3"/>
    <n v="20.27"/>
    <n v="0"/>
    <x v="1"/>
    <n v="3.58"/>
    <n v="2.0680000000000001"/>
    <n v="20.27"/>
  </r>
  <r>
    <n v="1743"/>
    <d v="2025-09-26T14:00:00"/>
    <x v="2"/>
    <s v="Viernes"/>
    <x v="8"/>
    <x v="3"/>
    <x v="0"/>
    <x v="0"/>
    <x v="0"/>
    <x v="0"/>
    <n v="26000"/>
    <x v="177"/>
    <n v="53.5"/>
    <n v="531.79999999999995"/>
    <n v="174"/>
    <n v="1"/>
    <x v="3"/>
    <n v="162.82"/>
    <n v="145.97"/>
    <x v="1"/>
    <n v="2.92"/>
    <n v="6.2619999999999996"/>
    <n v="16.850000000000001"/>
  </r>
  <r>
    <n v="271"/>
    <d v="2025-09-26T14:00:00"/>
    <x v="2"/>
    <s v="Viernes"/>
    <x v="8"/>
    <x v="3"/>
    <x v="0"/>
    <x v="4"/>
    <x v="4"/>
    <x v="4"/>
    <n v="12500"/>
    <x v="203"/>
    <n v="61.2"/>
    <n v="536.5"/>
    <n v="603"/>
    <n v="1"/>
    <x v="3"/>
    <n v="111.67"/>
    <n v="82.1"/>
    <x v="1"/>
    <n v="4.92"/>
    <n v="8.9339999999999993"/>
    <n v="29.57"/>
  </r>
  <r>
    <n v="1375"/>
    <d v="2025-09-26T14:00:00"/>
    <x v="2"/>
    <s v="Viernes"/>
    <x v="8"/>
    <x v="3"/>
    <x v="0"/>
    <x v="2"/>
    <x v="2"/>
    <x v="2"/>
    <n v="17400"/>
    <x v="201"/>
    <n v="75.2"/>
    <n v="545.20000000000005"/>
    <n v="1296"/>
    <n v="1"/>
    <x v="2"/>
    <n v="191.35"/>
    <n v="70.510000000000005"/>
    <x v="1"/>
    <n v="20.77"/>
    <n v="10.997"/>
    <n v="120.84"/>
  </r>
  <r>
    <n v="1007"/>
    <d v="2025-09-26T14:00:00"/>
    <x v="2"/>
    <s v="Viernes"/>
    <x v="8"/>
    <x v="3"/>
    <x v="0"/>
    <x v="1"/>
    <x v="1"/>
    <x v="1"/>
    <n v="21000"/>
    <x v="296"/>
    <m/>
    <n v="650"/>
    <n v="428"/>
    <n v="1"/>
    <x v="3"/>
    <n v="206.04"/>
    <n v="127.64"/>
    <x v="1"/>
    <n v="14.06"/>
    <n v="9.8109999999999999"/>
    <n v="78.400000000000006"/>
  </r>
  <r>
    <n v="1744"/>
    <d v="2025-09-26T20:00:00"/>
    <x v="3"/>
    <s v="Viernes"/>
    <x v="8"/>
    <x v="3"/>
    <x v="0"/>
    <x v="0"/>
    <x v="0"/>
    <x v="0"/>
    <n v="26000"/>
    <x v="242"/>
    <n v="66.599999999999994"/>
    <n v="0"/>
    <n v="186"/>
    <n v="0"/>
    <x v="0"/>
    <n v="248.79"/>
    <n v="0"/>
    <x v="2"/>
    <n v="68.569999999999993"/>
    <n v="9.5690000000000008"/>
    <n v="248.79"/>
  </r>
  <r>
    <n v="1376"/>
    <d v="2025-09-26T20:00:00"/>
    <x v="3"/>
    <s v="Viernes"/>
    <x v="8"/>
    <x v="3"/>
    <x v="0"/>
    <x v="2"/>
    <x v="2"/>
    <x v="2"/>
    <n v="17400"/>
    <x v="121"/>
    <n v="64.7"/>
    <n v="0"/>
    <n v="1473"/>
    <n v="0"/>
    <x v="0"/>
    <n v="280.93"/>
    <n v="0"/>
    <x v="2"/>
    <n v="76.13"/>
    <n v="16.145"/>
    <n v="280.93"/>
  </r>
  <r>
    <n v="272"/>
    <d v="2025-09-26T20:00:00"/>
    <x v="3"/>
    <s v="Viernes"/>
    <x v="8"/>
    <x v="3"/>
    <x v="0"/>
    <x v="4"/>
    <x v="4"/>
    <x v="4"/>
    <n v="12500"/>
    <x v="70"/>
    <n v="50.8"/>
    <n v="0"/>
    <n v="63"/>
    <n v="0"/>
    <x v="0"/>
    <n v="37.44"/>
    <n v="0"/>
    <x v="2"/>
    <n v="9.9700000000000006"/>
    <n v="2.9950000000000001"/>
    <n v="37.44"/>
  </r>
  <r>
    <n v="640"/>
    <d v="2025-09-26T20:00:00"/>
    <x v="3"/>
    <s v="Viernes"/>
    <x v="8"/>
    <x v="3"/>
    <x v="0"/>
    <x v="5"/>
    <x v="5"/>
    <x v="5"/>
    <n v="8600"/>
    <x v="11"/>
    <n v="97"/>
    <n v="0"/>
    <n v="103"/>
    <n v="1"/>
    <x v="2"/>
    <n v="25.35"/>
    <n v="0"/>
    <x v="2"/>
    <n v="6.78"/>
    <n v="2.948"/>
    <n v="25.35"/>
  </r>
  <r>
    <n v="1008"/>
    <d v="2025-09-26T20:00:00"/>
    <x v="3"/>
    <s v="Viernes"/>
    <x v="8"/>
    <x v="3"/>
    <x v="0"/>
    <x v="1"/>
    <x v="1"/>
    <x v="1"/>
    <n v="21000"/>
    <x v="271"/>
    <n v="79.3"/>
    <n v="0"/>
    <n v="400"/>
    <n v="0"/>
    <x v="0"/>
    <n v="264.39999999999998"/>
    <n v="0"/>
    <x v="2"/>
    <n v="70.94"/>
    <n v="12.59"/>
    <n v="264.39999999999998"/>
  </r>
  <r>
    <n v="2112"/>
    <d v="2025-09-26T20:00:00"/>
    <x v="3"/>
    <s v="Viernes"/>
    <x v="8"/>
    <x v="3"/>
    <x v="0"/>
    <x v="3"/>
    <x v="3"/>
    <x v="3"/>
    <n v="9800"/>
    <x v="135"/>
    <n v="86.4"/>
    <n v="0"/>
    <n v="296"/>
    <n v="0"/>
    <x v="0"/>
    <n v="94.44"/>
    <n v="0"/>
    <x v="2"/>
    <n v="25.22"/>
    <n v="9.6370000000000005"/>
    <n v="94.44"/>
  </r>
  <r>
    <n v="641"/>
    <d v="2025-09-30T00:00:00"/>
    <x v="0"/>
    <s v="Martes"/>
    <x v="8"/>
    <x v="3"/>
    <x v="0"/>
    <x v="5"/>
    <x v="5"/>
    <x v="5"/>
    <n v="8600"/>
    <x v="105"/>
    <n v="89.4"/>
    <n v="0"/>
    <n v="125"/>
    <n v="0"/>
    <x v="0"/>
    <n v="23.64"/>
    <n v="0"/>
    <x v="0"/>
    <n v="2.63"/>
    <n v="2.7490000000000001"/>
    <n v="23.64"/>
  </r>
  <r>
    <n v="2113"/>
    <d v="2025-09-30T00:00:00"/>
    <x v="0"/>
    <s v="Martes"/>
    <x v="8"/>
    <x v="3"/>
    <x v="0"/>
    <x v="3"/>
    <x v="3"/>
    <x v="3"/>
    <n v="9800"/>
    <x v="20"/>
    <n v="91.7"/>
    <n v="0"/>
    <n v="314"/>
    <n v="1"/>
    <x v="1"/>
    <n v="95.48"/>
    <n v="0"/>
    <x v="0"/>
    <n v="10.44"/>
    <n v="9.7430000000000003"/>
    <n v="95.48"/>
  </r>
  <r>
    <n v="1377"/>
    <d v="2025-09-30T00:00:00"/>
    <x v="0"/>
    <s v="Martes"/>
    <x v="8"/>
    <x v="3"/>
    <x v="0"/>
    <x v="2"/>
    <x v="2"/>
    <x v="2"/>
    <n v="17400"/>
    <x v="105"/>
    <n v="63"/>
    <n v="0"/>
    <n v="6"/>
    <n v="0"/>
    <x v="0"/>
    <n v="48.77"/>
    <n v="0"/>
    <x v="0"/>
    <n v="5.32"/>
    <n v="2.8029999999999999"/>
    <n v="48.77"/>
  </r>
  <r>
    <n v="1009"/>
    <d v="2025-09-30T00:00:00"/>
    <x v="0"/>
    <s v="Martes"/>
    <x v="8"/>
    <x v="3"/>
    <x v="0"/>
    <x v="1"/>
    <x v="1"/>
    <x v="1"/>
    <n v="21000"/>
    <x v="170"/>
    <n v="65.3"/>
    <n v="0"/>
    <n v="210"/>
    <n v="0"/>
    <x v="0"/>
    <n v="179.73"/>
    <n v="0"/>
    <x v="0"/>
    <n v="19.2"/>
    <n v="8.5589999999999993"/>
    <n v="179.73"/>
  </r>
  <r>
    <n v="273"/>
    <d v="2025-09-30T00:00:00"/>
    <x v="0"/>
    <s v="Martes"/>
    <x v="8"/>
    <x v="3"/>
    <x v="0"/>
    <x v="4"/>
    <x v="4"/>
    <x v="4"/>
    <n v="12500"/>
    <x v="35"/>
    <n v="61.2"/>
    <n v="0"/>
    <n v="0"/>
    <n v="0"/>
    <x v="0"/>
    <n v="23.92"/>
    <n v="0"/>
    <x v="0"/>
    <m/>
    <n v="1.9139999999999999"/>
    <n v="23.92"/>
  </r>
  <r>
    <n v="1745"/>
    <d v="2025-09-30T00:00:00"/>
    <x v="0"/>
    <s v="Martes"/>
    <x v="8"/>
    <x v="3"/>
    <x v="0"/>
    <x v="0"/>
    <x v="0"/>
    <x v="0"/>
    <n v="26000"/>
    <x v="36"/>
    <n v="62"/>
    <n v="0"/>
    <m/>
    <n v="1"/>
    <x v="1"/>
    <n v="108.86"/>
    <n v="0"/>
    <x v="0"/>
    <n v="11.93"/>
    <n v="4.1870000000000003"/>
    <n v="108.86"/>
  </r>
  <r>
    <n v="2114"/>
    <d v="2025-09-30T08:00:00"/>
    <x v="1"/>
    <s v="Martes"/>
    <x v="8"/>
    <x v="3"/>
    <x v="0"/>
    <x v="3"/>
    <x v="3"/>
    <x v="3"/>
    <n v="9800"/>
    <x v="131"/>
    <n v="79.7"/>
    <n v="168.6"/>
    <n v="73"/>
    <n v="1"/>
    <x v="2"/>
    <n v="19.79"/>
    <n v="0"/>
    <x v="1"/>
    <n v="3.43"/>
    <n v="2.0190000000000001"/>
    <n v="19.79"/>
  </r>
  <r>
    <n v="274"/>
    <d v="2025-09-30T08:00:00"/>
    <x v="1"/>
    <s v="Martes"/>
    <x v="8"/>
    <x v="3"/>
    <x v="0"/>
    <x v="4"/>
    <x v="4"/>
    <x v="4"/>
    <n v="12500"/>
    <x v="40"/>
    <n v="68.5"/>
    <n v="133.4"/>
    <n v="372"/>
    <n v="1"/>
    <x v="1"/>
    <n v="75.98"/>
    <n v="20.03"/>
    <x v="1"/>
    <n v="9.77"/>
    <n v="6.0780000000000003"/>
    <n v="55.95"/>
  </r>
  <r>
    <n v="1378"/>
    <d v="2025-09-30T08:00:00"/>
    <x v="1"/>
    <s v="Martes"/>
    <x v="8"/>
    <x v="3"/>
    <x v="0"/>
    <x v="2"/>
    <x v="2"/>
    <x v="2"/>
    <n v="17400"/>
    <x v="136"/>
    <n v="79.7"/>
    <n v="142.9"/>
    <n v="105"/>
    <n v="0"/>
    <x v="0"/>
    <n v="38.86"/>
    <n v="19.149999999999999"/>
    <x v="1"/>
    <n v="3.5"/>
    <n v="2.2330000000000001"/>
    <n v="19.71"/>
  </r>
  <r>
    <n v="642"/>
    <d v="2025-09-30T08:00:00"/>
    <x v="1"/>
    <s v="Martes"/>
    <x v="8"/>
    <x v="3"/>
    <x v="0"/>
    <x v="5"/>
    <x v="5"/>
    <x v="5"/>
    <n v="8600"/>
    <x v="12"/>
    <n v="92.3"/>
    <m/>
    <n v="773"/>
    <n v="1"/>
    <x v="1"/>
    <n v="113.02"/>
    <n v="7"/>
    <x v="1"/>
    <n v="18.71"/>
    <n v="13.141999999999999"/>
    <n v="106.02"/>
  </r>
  <r>
    <n v="1746"/>
    <d v="2025-09-30T08:00:00"/>
    <x v="1"/>
    <s v="Martes"/>
    <x v="8"/>
    <x v="3"/>
    <x v="0"/>
    <x v="0"/>
    <x v="0"/>
    <x v="0"/>
    <n v="26000"/>
    <x v="147"/>
    <n v="67.400000000000006"/>
    <n v="90.7"/>
    <n v="145"/>
    <n v="0"/>
    <x v="0"/>
    <n v="228"/>
    <n v="23.05"/>
    <x v="1"/>
    <n v="36.44"/>
    <n v="8.7690000000000001"/>
    <n v="204.95"/>
  </r>
  <r>
    <n v="1010"/>
    <d v="2025-09-30T08:00:00"/>
    <x v="1"/>
    <s v="Martes"/>
    <x v="8"/>
    <x v="3"/>
    <x v="0"/>
    <x v="1"/>
    <x v="1"/>
    <x v="1"/>
    <n v="21000"/>
    <x v="164"/>
    <n v="63.2"/>
    <n v="182.8"/>
    <n v="363"/>
    <n v="0"/>
    <x v="0"/>
    <n v="202.96"/>
    <n v="37.090000000000003"/>
    <x v="1"/>
    <n v="28.4"/>
    <n v="9.6649999999999991"/>
    <n v="165.87"/>
  </r>
  <r>
    <n v="275"/>
    <d v="2025-09-30T14:00:00"/>
    <x v="2"/>
    <s v="Martes"/>
    <x v="8"/>
    <x v="3"/>
    <x v="0"/>
    <x v="4"/>
    <x v="4"/>
    <x v="4"/>
    <n v="12500"/>
    <x v="220"/>
    <n v="59"/>
    <n v="633"/>
    <n v="582"/>
    <n v="0"/>
    <x v="0"/>
    <n v="99.47"/>
    <n v="96.34"/>
    <x v="1"/>
    <n v="0.55000000000000004"/>
    <n v="7.9580000000000002"/>
    <n v="3.13"/>
  </r>
  <r>
    <n v="643"/>
    <d v="2025-09-30T14:00:00"/>
    <x v="2"/>
    <s v="Martes"/>
    <x v="8"/>
    <x v="3"/>
    <x v="0"/>
    <x v="5"/>
    <x v="5"/>
    <x v="5"/>
    <n v="8600"/>
    <x v="206"/>
    <n v="68.400000000000006"/>
    <n v="533.29999999999995"/>
    <n v="866"/>
    <n v="0"/>
    <x v="0"/>
    <n v="83.69"/>
    <n v="38.74"/>
    <x v="1"/>
    <n v="7.83"/>
    <n v="9.7309999999999999"/>
    <n v="44.95"/>
  </r>
  <r>
    <n v="1747"/>
    <d v="2025-09-30T14:00:00"/>
    <x v="2"/>
    <s v="Martes"/>
    <x v="8"/>
    <x v="3"/>
    <x v="0"/>
    <x v="0"/>
    <x v="0"/>
    <x v="0"/>
    <n v="26000"/>
    <x v="43"/>
    <n v="65.5"/>
    <n v="650.20000000000005"/>
    <n v="168"/>
    <n v="1"/>
    <x v="3"/>
    <m/>
    <n v="173.43"/>
    <x v="1"/>
    <n v="-1.25"/>
    <m/>
    <m/>
  </r>
  <r>
    <n v="1379"/>
    <d v="2025-09-30T14:00:00"/>
    <x v="2"/>
    <s v="Martes"/>
    <x v="8"/>
    <x v="3"/>
    <x v="0"/>
    <x v="2"/>
    <x v="2"/>
    <x v="2"/>
    <n v="17400"/>
    <x v="298"/>
    <n v="66.599999999999994"/>
    <n v="688.7"/>
    <n v="1394"/>
    <n v="0"/>
    <x v="0"/>
    <n v="207.26"/>
    <n v="83.53"/>
    <x v="1"/>
    <n v="21.95"/>
    <n v="11.911"/>
    <n v="123.73"/>
  </r>
  <r>
    <n v="1011"/>
    <d v="2025-09-30T14:00:00"/>
    <x v="2"/>
    <s v="Martes"/>
    <x v="8"/>
    <x v="3"/>
    <x v="0"/>
    <x v="1"/>
    <x v="1"/>
    <x v="1"/>
    <n v="21000"/>
    <x v="293"/>
    <n v="60.4"/>
    <n v="679.3"/>
    <n v="391"/>
    <n v="1"/>
    <x v="3"/>
    <n v="200.55"/>
    <n v="136.93"/>
    <x v="1"/>
    <n v="10.87"/>
    <n v="9.5500000000000007"/>
    <n v="63.62"/>
  </r>
  <r>
    <n v="2115"/>
    <d v="2025-09-30T14:00:00"/>
    <x v="2"/>
    <s v="Martes"/>
    <x v="8"/>
    <x v="3"/>
    <x v="0"/>
    <x v="3"/>
    <x v="3"/>
    <x v="3"/>
    <n v="9800"/>
    <x v="245"/>
    <n v="65.8"/>
    <n v="636"/>
    <n v="83"/>
    <n v="1"/>
    <x v="3"/>
    <n v="21.11"/>
    <n v="0"/>
    <x v="1"/>
    <n v="3.65"/>
    <n v="2.1539999999999999"/>
    <n v="21.11"/>
  </r>
  <r>
    <n v="1012"/>
    <d v="2025-09-30T20:00:00"/>
    <x v="3"/>
    <s v="Martes"/>
    <x v="8"/>
    <x v="3"/>
    <x v="0"/>
    <x v="1"/>
    <x v="1"/>
    <x v="1"/>
    <n v="21000"/>
    <x v="183"/>
    <n v="48.2"/>
    <n v="0"/>
    <n v="416"/>
    <n v="1"/>
    <x v="2"/>
    <n v="288.23"/>
    <n v="0"/>
    <x v="2"/>
    <n v="76.78"/>
    <n v="13.725"/>
    <n v="288.23"/>
  </r>
  <r>
    <n v="2116"/>
    <d v="2025-09-30T20:00:00"/>
    <x v="3"/>
    <s v="Martes"/>
    <x v="8"/>
    <x v="3"/>
    <x v="0"/>
    <x v="3"/>
    <x v="3"/>
    <x v="3"/>
    <n v="9800"/>
    <x v="266"/>
    <n v="72.7"/>
    <n v="0"/>
    <n v="314"/>
    <n v="0"/>
    <x v="0"/>
    <n v="97.61"/>
    <n v="0"/>
    <x v="2"/>
    <n v="26.48"/>
    <n v="9.9600000000000009"/>
    <n v="97.61"/>
  </r>
  <r>
    <n v="644"/>
    <d v="2025-09-30T20:00:00"/>
    <x v="3"/>
    <s v="Martes"/>
    <x v="8"/>
    <x v="3"/>
    <x v="0"/>
    <x v="5"/>
    <x v="5"/>
    <x v="5"/>
    <n v="8600"/>
    <x v="145"/>
    <n v="74.400000000000006"/>
    <n v="0"/>
    <n v="31"/>
    <n v="1"/>
    <x v="2"/>
    <n v="20.99"/>
    <n v="0"/>
    <x v="2"/>
    <n v="5.52"/>
    <n v="2.4409999999999998"/>
    <n v="20.99"/>
  </r>
  <r>
    <n v="1748"/>
    <d v="2025-09-30T20:00:00"/>
    <x v="3"/>
    <s v="Martes"/>
    <x v="8"/>
    <x v="3"/>
    <x v="0"/>
    <x v="0"/>
    <x v="0"/>
    <x v="0"/>
    <n v="26000"/>
    <x v="298"/>
    <n v="54.8"/>
    <n v="0"/>
    <n v="167"/>
    <n v="0"/>
    <x v="0"/>
    <n v="265.93"/>
    <n v="0"/>
    <x v="2"/>
    <n v="72.28"/>
    <n v="10.228"/>
    <n v="265.93"/>
  </r>
  <r>
    <n v="276"/>
    <d v="2025-09-30T20:00:00"/>
    <x v="3"/>
    <s v="Martes"/>
    <x v="8"/>
    <x v="3"/>
    <x v="0"/>
    <x v="4"/>
    <x v="4"/>
    <x v="4"/>
    <n v="12500"/>
    <x v="204"/>
    <n v="60.9"/>
    <n v="0"/>
    <n v="99"/>
    <n v="0"/>
    <x v="0"/>
    <n v="39.49"/>
    <n v="0"/>
    <x v="2"/>
    <n v="10.54"/>
    <n v="3.1589999999999998"/>
    <n v="39.49"/>
  </r>
  <r>
    <n v="1380"/>
    <d v="2025-09-30T20:00:00"/>
    <x v="3"/>
    <s v="Martes"/>
    <x v="8"/>
    <x v="3"/>
    <x v="0"/>
    <x v="2"/>
    <x v="2"/>
    <x v="2"/>
    <n v="17400"/>
    <x v="159"/>
    <n v="73.8"/>
    <n v="0"/>
    <n v="1239"/>
    <n v="0"/>
    <x v="0"/>
    <n v="270.79000000000002"/>
    <n v="0"/>
    <x v="2"/>
    <n v="73.41"/>
    <n v="15.563000000000001"/>
    <n v="270.79000000000002"/>
  </r>
  <r>
    <n v="2117"/>
    <d v="2025-10-04T00:00:00"/>
    <x v="0"/>
    <s v="Sabado"/>
    <x v="9"/>
    <x v="3"/>
    <x v="1"/>
    <x v="3"/>
    <x v="3"/>
    <x v="3"/>
    <n v="9800"/>
    <x v="172"/>
    <n v="82.1"/>
    <n v="0"/>
    <n v="278"/>
    <n v="1"/>
    <x v="1"/>
    <n v="93.81"/>
    <n v="0"/>
    <x v="0"/>
    <n v="10.39"/>
    <n v="9.5719999999999992"/>
    <n v="93.81"/>
  </r>
  <r>
    <n v="277"/>
    <d v="2025-10-04T00:00:00"/>
    <x v="0"/>
    <s v="Sabado"/>
    <x v="9"/>
    <x v="3"/>
    <x v="1"/>
    <x v="4"/>
    <x v="4"/>
    <x v="4"/>
    <n v="12500"/>
    <x v="123"/>
    <n v="60.8"/>
    <n v="0"/>
    <m/>
    <n v="0"/>
    <x v="0"/>
    <n v="25.11"/>
    <n v="0"/>
    <x v="0"/>
    <n v="2.79"/>
    <n v="2.0089999999999999"/>
    <n v="25.11"/>
  </r>
  <r>
    <n v="645"/>
    <d v="2025-10-04T00:00:00"/>
    <x v="0"/>
    <s v="Sabado"/>
    <x v="9"/>
    <x v="3"/>
    <x v="1"/>
    <x v="5"/>
    <x v="5"/>
    <x v="5"/>
    <n v="8600"/>
    <x v="65"/>
    <n v="90.6"/>
    <n v="0"/>
    <n v="22"/>
    <n v="0"/>
    <x v="0"/>
    <n v="12.28"/>
    <n v="0"/>
    <x v="0"/>
    <n v="1.31"/>
    <n v="1.4279999999999999"/>
    <n v="12.28"/>
  </r>
  <r>
    <n v="1013"/>
    <d v="2025-10-04T00:00:00"/>
    <x v="0"/>
    <s v="Sabado"/>
    <x v="9"/>
    <x v="3"/>
    <x v="1"/>
    <x v="1"/>
    <x v="1"/>
    <x v="1"/>
    <n v="21000"/>
    <x v="101"/>
    <n v="61.9"/>
    <n v="0"/>
    <n v="189"/>
    <n v="1"/>
    <x v="2"/>
    <n v="160.47"/>
    <n v="0"/>
    <x v="0"/>
    <n v="17.440000000000001"/>
    <n v="7.641"/>
    <n v="160.47"/>
  </r>
  <r>
    <n v="1749"/>
    <d v="2025-10-04T00:00:00"/>
    <x v="0"/>
    <s v="Sabado"/>
    <x v="9"/>
    <x v="3"/>
    <x v="1"/>
    <x v="0"/>
    <x v="0"/>
    <x v="0"/>
    <n v="26000"/>
    <x v="154"/>
    <n v="57.3"/>
    <n v="0"/>
    <m/>
    <n v="1"/>
    <x v="1"/>
    <n v="78.569999999999993"/>
    <n v="0"/>
    <x v="0"/>
    <n v="8.8000000000000007"/>
    <n v="3.0219999999999998"/>
    <n v="78.569999999999993"/>
  </r>
  <r>
    <n v="1381"/>
    <d v="2025-10-04T00:00:00"/>
    <x v="0"/>
    <s v="Sabado"/>
    <x v="9"/>
    <x v="3"/>
    <x v="1"/>
    <x v="2"/>
    <x v="2"/>
    <x v="2"/>
    <n v="17400"/>
    <x v="147"/>
    <n v="74.099999999999994"/>
    <n v="0"/>
    <n v="112"/>
    <n v="0"/>
    <x v="0"/>
    <n v="51.45"/>
    <n v="0"/>
    <x v="0"/>
    <n v="5.78"/>
    <n v="2.9569999999999999"/>
    <n v="51.45"/>
  </r>
  <r>
    <n v="2118"/>
    <d v="2025-10-04T08:00:00"/>
    <x v="1"/>
    <s v="Sabado"/>
    <x v="9"/>
    <x v="3"/>
    <x v="1"/>
    <x v="3"/>
    <x v="3"/>
    <x v="3"/>
    <n v="9800"/>
    <x v="205"/>
    <n v="73.400000000000006"/>
    <n v="131"/>
    <n v="125"/>
    <n v="0"/>
    <x v="0"/>
    <n v="26.5"/>
    <n v="0"/>
    <x v="0"/>
    <n v="2.79"/>
    <n v="2.7040000000000002"/>
    <n v="26.5"/>
  </r>
  <r>
    <n v="1014"/>
    <d v="2025-10-04T08:00:00"/>
    <x v="1"/>
    <s v="Sabado"/>
    <x v="9"/>
    <x v="3"/>
    <x v="1"/>
    <x v="1"/>
    <x v="1"/>
    <x v="1"/>
    <n v="21000"/>
    <x v="195"/>
    <n v="44"/>
    <n v="171.8"/>
    <n v="391"/>
    <n v="0"/>
    <x v="0"/>
    <n v="200.87"/>
    <n v="36.869999999999997"/>
    <x v="0"/>
    <n v="17.989999999999998"/>
    <n v="9.5649999999999995"/>
    <n v="164"/>
  </r>
  <r>
    <n v="646"/>
    <d v="2025-10-04T08:00:00"/>
    <x v="1"/>
    <s v="Sabado"/>
    <x v="9"/>
    <x v="3"/>
    <x v="1"/>
    <x v="5"/>
    <x v="5"/>
    <x v="5"/>
    <n v="8600"/>
    <x v="178"/>
    <n v="83.3"/>
    <n v="97.1"/>
    <n v="96"/>
    <n v="0"/>
    <x v="0"/>
    <n v="17.32"/>
    <n v="6.79"/>
    <x v="0"/>
    <n v="1.17"/>
    <n v="2.0139999999999998"/>
    <n v="10.53"/>
  </r>
  <r>
    <n v="278"/>
    <d v="2025-10-04T08:00:00"/>
    <x v="1"/>
    <s v="Sabado"/>
    <x v="9"/>
    <x v="3"/>
    <x v="1"/>
    <x v="4"/>
    <x v="4"/>
    <x v="4"/>
    <n v="12500"/>
    <x v="115"/>
    <n v="57.6"/>
    <n v="157.69999999999999"/>
    <n v="25"/>
    <n v="0"/>
    <x v="0"/>
    <n v="16.78"/>
    <n v="23.43"/>
    <x v="0"/>
    <n v="-0.28999999999999998"/>
    <n v="1.3420000000000001"/>
    <n v="0"/>
  </r>
  <r>
    <n v="1382"/>
    <d v="2025-10-04T08:00:00"/>
    <x v="1"/>
    <s v="Sabado"/>
    <x v="9"/>
    <x v="3"/>
    <x v="1"/>
    <x v="2"/>
    <x v="2"/>
    <x v="2"/>
    <n v="17400"/>
    <x v="153"/>
    <n v="73.900000000000006"/>
    <n v="111.3"/>
    <n v="195"/>
    <n v="1"/>
    <x v="2"/>
    <n v="55.06"/>
    <n v="13.94"/>
    <x v="0"/>
    <n v="4.45"/>
    <n v="3.1640000000000001"/>
    <n v="41.12"/>
  </r>
  <r>
    <n v="1750"/>
    <d v="2025-10-04T08:00:00"/>
    <x v="1"/>
    <s v="Sabado"/>
    <x v="9"/>
    <x v="3"/>
    <x v="1"/>
    <x v="0"/>
    <x v="0"/>
    <x v="0"/>
    <n v="26000"/>
    <x v="167"/>
    <n v="63.3"/>
    <n v="125.2"/>
    <n v="64"/>
    <n v="1"/>
    <x v="1"/>
    <n v="86.98"/>
    <n v="34.57"/>
    <x v="0"/>
    <n v="5.69"/>
    <n v="3.3450000000000002"/>
    <n v="52.41"/>
  </r>
  <r>
    <n v="2119"/>
    <d v="2025-10-04T14:00:00"/>
    <x v="2"/>
    <s v="Sabado"/>
    <x v="9"/>
    <x v="3"/>
    <x v="1"/>
    <x v="3"/>
    <x v="3"/>
    <x v="3"/>
    <n v="9800"/>
    <x v="195"/>
    <n v="63"/>
    <n v="769.4"/>
    <n v="151"/>
    <n v="0"/>
    <x v="0"/>
    <n v="28.28"/>
    <n v="0"/>
    <x v="0"/>
    <n v="3"/>
    <n v="2.8860000000000001"/>
    <n v="28.28"/>
  </r>
  <r>
    <n v="1015"/>
    <d v="2025-10-04T14:00:00"/>
    <x v="2"/>
    <s v="Sabado"/>
    <x v="9"/>
    <x v="3"/>
    <x v="1"/>
    <x v="1"/>
    <x v="1"/>
    <x v="1"/>
    <n v="21000"/>
    <x v="331"/>
    <n v="59.1"/>
    <n v="493"/>
    <n v="383"/>
    <n v="1"/>
    <x v="3"/>
    <n v="233.59"/>
    <n v="99.1"/>
    <x v="0"/>
    <n v="15.12"/>
    <n v="11.122999999999999"/>
    <n v="134.49"/>
  </r>
  <r>
    <n v="1751"/>
    <d v="2025-10-04T14:00:00"/>
    <x v="2"/>
    <s v="Sabado"/>
    <x v="9"/>
    <x v="3"/>
    <x v="1"/>
    <x v="0"/>
    <x v="0"/>
    <x v="0"/>
    <n v="26000"/>
    <x v="197"/>
    <n v="60.9"/>
    <n v="677.2"/>
    <n v="62"/>
    <n v="0"/>
    <x v="0"/>
    <n v="77.680000000000007"/>
    <n v="170.44"/>
    <x v="0"/>
    <n v="-4"/>
    <n v="2.988"/>
    <n v="0"/>
  </r>
  <r>
    <n v="279"/>
    <d v="2025-10-04T14:00:00"/>
    <x v="2"/>
    <s v="Sabado"/>
    <x v="9"/>
    <x v="3"/>
    <x v="1"/>
    <x v="4"/>
    <x v="4"/>
    <x v="4"/>
    <n v="12500"/>
    <x v="234"/>
    <n v="55.5"/>
    <n v="595"/>
    <n v="99"/>
    <n v="0"/>
    <x v="0"/>
    <n v="22.46"/>
    <n v="90.9"/>
    <x v="0"/>
    <n v="-2.94"/>
    <n v="1.7969999999999999"/>
    <n v="0"/>
  </r>
  <r>
    <n v="647"/>
    <d v="2025-10-04T14:00:00"/>
    <x v="2"/>
    <s v="Sabado"/>
    <x v="9"/>
    <x v="3"/>
    <x v="1"/>
    <x v="5"/>
    <x v="5"/>
    <x v="5"/>
    <n v="8600"/>
    <x v="255"/>
    <n v="87.2"/>
    <n v="415.5"/>
    <n v="0"/>
    <n v="0"/>
    <x v="0"/>
    <n v="7.42"/>
    <n v="30.58"/>
    <x v="0"/>
    <n v="-1.02"/>
    <n v="0.86299999999999999"/>
    <n v="0"/>
  </r>
  <r>
    <n v="1383"/>
    <d v="2025-10-04T14:00:00"/>
    <x v="2"/>
    <s v="Sabado"/>
    <x v="9"/>
    <x v="3"/>
    <x v="1"/>
    <x v="2"/>
    <x v="2"/>
    <x v="2"/>
    <n v="17400"/>
    <x v="225"/>
    <n v="77"/>
    <n v="564.70000000000005"/>
    <n v="1541"/>
    <n v="1"/>
    <x v="3"/>
    <n v="224.3"/>
    <n v="73.930000000000007"/>
    <x v="0"/>
    <n v="16.87"/>
    <n v="12.891"/>
    <n v="150.37"/>
  </r>
  <r>
    <n v="1752"/>
    <d v="2025-10-04T20:00:00"/>
    <x v="3"/>
    <s v="Sabado"/>
    <x v="9"/>
    <x v="3"/>
    <x v="1"/>
    <x v="0"/>
    <x v="0"/>
    <x v="0"/>
    <n v="26000"/>
    <x v="140"/>
    <n v="75.8"/>
    <n v="0"/>
    <n v="74"/>
    <n v="1"/>
    <x v="1"/>
    <n v="121.66"/>
    <n v="0"/>
    <x v="0"/>
    <n v="13.02"/>
    <n v="4.6790000000000003"/>
    <n v="121.66"/>
  </r>
  <r>
    <n v="1384"/>
    <d v="2025-10-04T20:00:00"/>
    <x v="3"/>
    <s v="Sabado"/>
    <x v="9"/>
    <x v="3"/>
    <x v="1"/>
    <x v="2"/>
    <x v="2"/>
    <x v="2"/>
    <n v="17400"/>
    <x v="298"/>
    <n v="72.3"/>
    <n v="0"/>
    <n v="1584"/>
    <n v="0"/>
    <x v="0"/>
    <n v="297.76"/>
    <n v="0"/>
    <x v="0"/>
    <n v="32.520000000000003"/>
    <n v="17.113"/>
    <n v="297.76"/>
  </r>
  <r>
    <n v="1016"/>
    <d v="2025-10-04T20:00:00"/>
    <x v="3"/>
    <s v="Sabado"/>
    <x v="9"/>
    <x v="3"/>
    <x v="1"/>
    <x v="1"/>
    <x v="1"/>
    <x v="1"/>
    <n v="21000"/>
    <x v="209"/>
    <n v="49.2"/>
    <n v="0"/>
    <n v="350"/>
    <n v="1"/>
    <x v="2"/>
    <n v="287.17"/>
    <n v="0"/>
    <x v="0"/>
    <n v="31.59"/>
    <n v="13.675000000000001"/>
    <n v="287.17"/>
  </r>
  <r>
    <n v="2120"/>
    <d v="2025-10-04T20:00:00"/>
    <x v="3"/>
    <s v="Sabado"/>
    <x v="9"/>
    <x v="3"/>
    <x v="1"/>
    <x v="3"/>
    <x v="3"/>
    <x v="3"/>
    <n v="9800"/>
    <x v="158"/>
    <n v="81.400000000000006"/>
    <n v="0"/>
    <n v="308"/>
    <n v="0"/>
    <x v="0"/>
    <n v="86.45"/>
    <n v="0"/>
    <x v="0"/>
    <n v="9.6"/>
    <n v="8.8209999999999997"/>
    <n v="86.45"/>
  </r>
  <r>
    <n v="280"/>
    <d v="2025-10-04T20:00:00"/>
    <x v="3"/>
    <s v="Sabado"/>
    <x v="9"/>
    <x v="3"/>
    <x v="1"/>
    <x v="4"/>
    <x v="4"/>
    <x v="4"/>
    <n v="12500"/>
    <x v="182"/>
    <n v="60.7"/>
    <n v="0"/>
    <n v="0"/>
    <n v="0"/>
    <x v="0"/>
    <n v="24.1"/>
    <n v="0"/>
    <x v="0"/>
    <n v="2.63"/>
    <n v="1.9279999999999999"/>
    <n v="24.1"/>
  </r>
  <r>
    <n v="648"/>
    <d v="2025-10-04T20:00:00"/>
    <x v="3"/>
    <s v="Sabado"/>
    <x v="9"/>
    <x v="3"/>
    <x v="1"/>
    <x v="5"/>
    <x v="5"/>
    <x v="5"/>
    <n v="8600"/>
    <x v="121"/>
    <n v="77.599999999999994"/>
    <n v="0"/>
    <n v="0"/>
    <n v="0"/>
    <x v="0"/>
    <n v="12.66"/>
    <n v="0"/>
    <x v="0"/>
    <n v="1.38"/>
    <n v="1.472"/>
    <n v="12.66"/>
  </r>
  <r>
    <n v="281"/>
    <d v="2025-10-08T00:00:00"/>
    <x v="0"/>
    <s v="Miercoles"/>
    <x v="9"/>
    <x v="3"/>
    <x v="0"/>
    <x v="4"/>
    <x v="4"/>
    <x v="4"/>
    <n v="12500"/>
    <x v="33"/>
    <n v="62.1"/>
    <n v="0"/>
    <n v="47"/>
    <n v="0"/>
    <x v="0"/>
    <n v="25.96"/>
    <n v="0"/>
    <x v="0"/>
    <n v="2.79"/>
    <n v="2.077"/>
    <n v="25.96"/>
  </r>
  <r>
    <n v="1017"/>
    <d v="2025-10-08T00:00:00"/>
    <x v="0"/>
    <s v="Miercoles"/>
    <x v="9"/>
    <x v="3"/>
    <x v="0"/>
    <x v="1"/>
    <x v="1"/>
    <x v="1"/>
    <n v="21000"/>
    <x v="72"/>
    <n v="57.3"/>
    <n v="0"/>
    <n v="206"/>
    <n v="1"/>
    <x v="2"/>
    <n v="177.56"/>
    <n v="0"/>
    <x v="0"/>
    <n v="19.73"/>
    <n v="8.4550000000000001"/>
    <n v="177.56"/>
  </r>
  <r>
    <n v="2121"/>
    <d v="2025-10-08T00:00:00"/>
    <x v="0"/>
    <s v="Miercoles"/>
    <x v="9"/>
    <x v="3"/>
    <x v="0"/>
    <x v="3"/>
    <x v="3"/>
    <x v="3"/>
    <n v="9800"/>
    <x v="43"/>
    <n v="80.7"/>
    <n v="0"/>
    <n v="274"/>
    <n v="1"/>
    <x v="1"/>
    <n v="98.67"/>
    <n v="0"/>
    <x v="0"/>
    <n v="10.69"/>
    <n v="10.068"/>
    <n v="98.67"/>
  </r>
  <r>
    <n v="649"/>
    <d v="2025-10-08T00:00:00"/>
    <x v="0"/>
    <s v="Miercoles"/>
    <x v="9"/>
    <x v="3"/>
    <x v="0"/>
    <x v="5"/>
    <x v="5"/>
    <x v="5"/>
    <n v="8600"/>
    <x v="101"/>
    <n v="87"/>
    <n v="0"/>
    <n v="80"/>
    <n v="1"/>
    <x v="2"/>
    <n v="23.16"/>
    <n v="0"/>
    <x v="0"/>
    <n v="2.48"/>
    <n v="2.6930000000000001"/>
    <n v="23.16"/>
  </r>
  <r>
    <n v="1753"/>
    <d v="2025-10-08T00:00:00"/>
    <x v="0"/>
    <s v="Miercoles"/>
    <x v="9"/>
    <x v="3"/>
    <x v="0"/>
    <x v="0"/>
    <x v="0"/>
    <x v="0"/>
    <n v="26000"/>
    <x v="136"/>
    <n v="72.099999999999994"/>
    <n v="0"/>
    <n v="52"/>
    <n v="1"/>
    <x v="2"/>
    <n v="114.77"/>
    <n v="0"/>
    <x v="0"/>
    <n v="12.6"/>
    <n v="4.4139999999999997"/>
    <n v="114.77"/>
  </r>
  <r>
    <n v="1385"/>
    <d v="2025-10-08T00:00:00"/>
    <x v="0"/>
    <s v="Miercoles"/>
    <x v="9"/>
    <x v="3"/>
    <x v="0"/>
    <x v="2"/>
    <x v="2"/>
    <x v="2"/>
    <n v="17400"/>
    <x v="185"/>
    <n v="85.1"/>
    <n v="0"/>
    <n v="142"/>
    <n v="0"/>
    <x v="0"/>
    <n v="52.08"/>
    <n v="0"/>
    <x v="0"/>
    <n v="5.67"/>
    <n v="2.9929999999999999"/>
    <n v="52.08"/>
  </r>
  <r>
    <n v="282"/>
    <d v="2025-10-08T08:00:00"/>
    <x v="1"/>
    <s v="Miercoles"/>
    <x v="9"/>
    <x v="3"/>
    <x v="0"/>
    <x v="4"/>
    <x v="4"/>
    <x v="4"/>
    <n v="12500"/>
    <x v="95"/>
    <n v="70.900000000000006"/>
    <n v="122.3"/>
    <n v="387"/>
    <n v="1"/>
    <x v="1"/>
    <n v="82.87"/>
    <n v="20.37"/>
    <x v="1"/>
    <n v="11.13"/>
    <n v="6.63"/>
    <n v="62.5"/>
  </r>
  <r>
    <n v="1754"/>
    <d v="2025-10-08T08:00:00"/>
    <x v="1"/>
    <s v="Miercoles"/>
    <x v="9"/>
    <x v="3"/>
    <x v="0"/>
    <x v="0"/>
    <x v="0"/>
    <x v="0"/>
    <n v="26000"/>
    <x v="56"/>
    <m/>
    <n v="89.6"/>
    <m/>
    <n v="0"/>
    <x v="0"/>
    <n v="233.51"/>
    <n v="23.55"/>
    <x v="1"/>
    <n v="36.340000000000003"/>
    <n v="8.9809999999999999"/>
    <n v="209.96"/>
  </r>
  <r>
    <n v="1386"/>
    <d v="2025-10-08T08:00:00"/>
    <x v="1"/>
    <s v="Miercoles"/>
    <x v="9"/>
    <x v="3"/>
    <x v="0"/>
    <x v="2"/>
    <x v="2"/>
    <x v="2"/>
    <n v="17400"/>
    <x v="152"/>
    <n v="74.8"/>
    <n v="91.1"/>
    <n v="80"/>
    <n v="0"/>
    <x v="0"/>
    <n v="46.66"/>
    <n v="11.41"/>
    <x v="1"/>
    <n v="6.02"/>
    <n v="2.6819999999999999"/>
    <n v="35.25"/>
  </r>
  <r>
    <n v="650"/>
    <d v="2025-10-08T08:00:00"/>
    <x v="1"/>
    <s v="Miercoles"/>
    <x v="9"/>
    <x v="3"/>
    <x v="0"/>
    <x v="5"/>
    <x v="5"/>
    <x v="5"/>
    <n v="8600"/>
    <x v="12"/>
    <n v="83.6"/>
    <n v="60.6"/>
    <n v="908"/>
    <n v="1"/>
    <x v="1"/>
    <n v="127.24"/>
    <n v="4.1900000000000004"/>
    <x v="1"/>
    <n v="21.61"/>
    <n v="14.795"/>
    <n v="123.05"/>
  </r>
  <r>
    <n v="2122"/>
    <d v="2025-10-08T08:00:00"/>
    <x v="1"/>
    <s v="Miercoles"/>
    <x v="9"/>
    <x v="3"/>
    <x v="0"/>
    <x v="3"/>
    <x v="3"/>
    <x v="3"/>
    <n v="9800"/>
    <x v="223"/>
    <m/>
    <n v="83.4"/>
    <n v="53"/>
    <n v="0"/>
    <x v="0"/>
    <n v="30.54"/>
    <n v="0"/>
    <x v="1"/>
    <n v="5.31"/>
    <n v="3.1160000000000001"/>
    <n v="30.54"/>
  </r>
  <r>
    <n v="1018"/>
    <d v="2025-10-08T08:00:00"/>
    <x v="1"/>
    <s v="Miercoles"/>
    <x v="9"/>
    <x v="3"/>
    <x v="0"/>
    <x v="1"/>
    <x v="1"/>
    <x v="1"/>
    <n v="21000"/>
    <x v="178"/>
    <n v="55.5"/>
    <n v="128.30000000000001"/>
    <m/>
    <n v="0"/>
    <x v="0"/>
    <n v="190.83"/>
    <n v="25.04"/>
    <x v="1"/>
    <n v="28.2"/>
    <n v="9.0869999999999997"/>
    <n v="165.79"/>
  </r>
  <r>
    <n v="651"/>
    <d v="2025-10-08T14:00:00"/>
    <x v="2"/>
    <s v="Miercoles"/>
    <x v="9"/>
    <x v="3"/>
    <x v="0"/>
    <x v="5"/>
    <x v="5"/>
    <x v="5"/>
    <n v="8600"/>
    <x v="200"/>
    <n v="76.5"/>
    <n v="591.79999999999995"/>
    <n v="780"/>
    <n v="0"/>
    <x v="0"/>
    <n v="82.25"/>
    <n v="44.01"/>
    <x v="1"/>
    <n v="6.96"/>
    <n v="9.5640000000000001"/>
    <n v="38.24"/>
  </r>
  <r>
    <n v="283"/>
    <d v="2025-10-08T14:00:00"/>
    <x v="2"/>
    <s v="Miercoles"/>
    <x v="9"/>
    <x v="3"/>
    <x v="0"/>
    <x v="4"/>
    <x v="4"/>
    <x v="4"/>
    <n v="12500"/>
    <x v="247"/>
    <n v="55.6"/>
    <n v="562.1"/>
    <n v="545"/>
    <n v="1"/>
    <x v="2"/>
    <n v="102.5"/>
    <n v="88.09"/>
    <x v="1"/>
    <m/>
    <n v="8.1999999999999993"/>
    <n v="14.41"/>
  </r>
  <r>
    <n v="1019"/>
    <d v="2025-10-08T14:00:00"/>
    <x v="2"/>
    <s v="Miercoles"/>
    <x v="9"/>
    <x v="3"/>
    <x v="0"/>
    <x v="1"/>
    <x v="1"/>
    <x v="1"/>
    <n v="21000"/>
    <x v="203"/>
    <n v="55"/>
    <n v="675.5"/>
    <n v="379"/>
    <n v="1"/>
    <x v="3"/>
    <n v="198.71"/>
    <n v="144.54"/>
    <x v="1"/>
    <n v="9.73"/>
    <n v="9.4619999999999997"/>
    <n v="54.17"/>
  </r>
  <r>
    <n v="1387"/>
    <d v="2025-10-08T14:00:00"/>
    <x v="2"/>
    <s v="Miercoles"/>
    <x v="9"/>
    <x v="3"/>
    <x v="0"/>
    <x v="2"/>
    <x v="2"/>
    <x v="2"/>
    <n v="17400"/>
    <x v="298"/>
    <n v="77.599999999999994"/>
    <n v="552.20000000000005"/>
    <n v="1199"/>
    <n v="0"/>
    <x v="0"/>
    <n v="193.99"/>
    <n v="65.959999999999994"/>
    <x v="1"/>
    <n v="22.53"/>
    <n v="11.148999999999999"/>
    <n v="128.03"/>
  </r>
  <r>
    <n v="2123"/>
    <d v="2025-10-08T14:00:00"/>
    <x v="2"/>
    <s v="Miercoles"/>
    <x v="9"/>
    <x v="3"/>
    <x v="0"/>
    <x v="3"/>
    <x v="3"/>
    <x v="3"/>
    <n v="9800"/>
    <x v="191"/>
    <n v="69.8"/>
    <n v="632.20000000000005"/>
    <n v="75"/>
    <n v="1"/>
    <x v="2"/>
    <n v="19.350000000000001"/>
    <n v="0"/>
    <x v="1"/>
    <n v="3.41"/>
    <n v="1.974"/>
    <n v="19.350000000000001"/>
  </r>
  <r>
    <n v="1755"/>
    <d v="2025-10-08T14:00:00"/>
    <x v="2"/>
    <s v="Miercoles"/>
    <x v="9"/>
    <x v="3"/>
    <x v="0"/>
    <x v="0"/>
    <x v="0"/>
    <x v="0"/>
    <n v="26000"/>
    <x v="201"/>
    <n v="57.7"/>
    <n v="562.79999999999995"/>
    <n v="149"/>
    <n v="1"/>
    <x v="2"/>
    <n v="149.72999999999999"/>
    <n v="135.18"/>
    <x v="1"/>
    <n v="2.52"/>
    <n v="5.7590000000000003"/>
    <n v="14.55"/>
  </r>
  <r>
    <n v="2124"/>
    <d v="2025-10-08T20:00:00"/>
    <x v="3"/>
    <s v="Miercoles"/>
    <x v="9"/>
    <x v="3"/>
    <x v="0"/>
    <x v="3"/>
    <x v="3"/>
    <x v="3"/>
    <n v="9800"/>
    <x v="184"/>
    <n v="84.2"/>
    <n v="0"/>
    <n v="330"/>
    <n v="0"/>
    <x v="0"/>
    <n v="98.13"/>
    <n v="0"/>
    <x v="2"/>
    <n v="26.98"/>
    <n v="10.013"/>
    <n v="98.13"/>
  </r>
  <r>
    <n v="652"/>
    <d v="2025-10-08T20:00:00"/>
    <x v="3"/>
    <s v="Miercoles"/>
    <x v="9"/>
    <x v="3"/>
    <x v="0"/>
    <x v="5"/>
    <x v="5"/>
    <x v="5"/>
    <n v="8600"/>
    <x v="101"/>
    <m/>
    <n v="0"/>
    <n v="11"/>
    <n v="1"/>
    <x v="2"/>
    <n v="19.190000000000001"/>
    <n v="0"/>
    <x v="2"/>
    <n v="5.25"/>
    <n v="2.2309999999999999"/>
    <n v="19.190000000000001"/>
  </r>
  <r>
    <n v="284"/>
    <d v="2025-10-08T20:00:00"/>
    <x v="3"/>
    <s v="Miercoles"/>
    <x v="9"/>
    <x v="3"/>
    <x v="0"/>
    <x v="4"/>
    <x v="4"/>
    <x v="4"/>
    <n v="12500"/>
    <x v="53"/>
    <n v="49.6"/>
    <n v="0"/>
    <m/>
    <n v="0"/>
    <x v="0"/>
    <m/>
    <n v="0"/>
    <x v="2"/>
    <n v="10.44"/>
    <m/>
    <m/>
  </r>
  <r>
    <n v="1756"/>
    <d v="2025-10-08T20:00:00"/>
    <x v="3"/>
    <s v="Miercoles"/>
    <x v="9"/>
    <x v="3"/>
    <x v="0"/>
    <x v="0"/>
    <x v="0"/>
    <x v="0"/>
    <n v="26000"/>
    <x v="15"/>
    <n v="69.400000000000006"/>
    <n v="0"/>
    <n v="177"/>
    <n v="1"/>
    <x v="2"/>
    <n v="246.04"/>
    <n v="0"/>
    <x v="2"/>
    <n v="66.06"/>
    <n v="9.4629999999999992"/>
    <n v="246.04"/>
  </r>
  <r>
    <n v="1020"/>
    <d v="2025-10-08T20:00:00"/>
    <x v="3"/>
    <s v="Miercoles"/>
    <x v="9"/>
    <x v="3"/>
    <x v="0"/>
    <x v="1"/>
    <x v="1"/>
    <x v="1"/>
    <n v="21000"/>
    <x v="298"/>
    <n v="64.2"/>
    <n v="0"/>
    <n v="388"/>
    <n v="0"/>
    <x v="0"/>
    <n v="301.01"/>
    <n v="0"/>
    <x v="2"/>
    <n v="79.44"/>
    <n v="14.334"/>
    <n v="301.01"/>
  </r>
  <r>
    <n v="1388"/>
    <d v="2025-10-08T20:00:00"/>
    <x v="3"/>
    <s v="Miercoles"/>
    <x v="9"/>
    <x v="3"/>
    <x v="0"/>
    <x v="2"/>
    <x v="2"/>
    <x v="2"/>
    <n v="17400"/>
    <x v="130"/>
    <n v="79.099999999999994"/>
    <n v="0"/>
    <m/>
    <n v="0"/>
    <x v="0"/>
    <n v="279.02999999999997"/>
    <n v="0"/>
    <x v="2"/>
    <n v="72.91"/>
    <n v="16.036000000000001"/>
    <n v="279.02999999999997"/>
  </r>
  <r>
    <n v="2125"/>
    <d v="2025-10-12T00:00:00"/>
    <x v="0"/>
    <s v="Domingo"/>
    <x v="9"/>
    <x v="3"/>
    <x v="1"/>
    <x v="3"/>
    <x v="3"/>
    <x v="3"/>
    <n v="9800"/>
    <x v="142"/>
    <n v="84.5"/>
    <n v="0"/>
    <n v="318"/>
    <n v="1"/>
    <x v="1"/>
    <n v="94.02"/>
    <n v="0"/>
    <x v="0"/>
    <n v="10.42"/>
    <n v="9.5939999999999994"/>
    <n v="94.02"/>
  </r>
  <r>
    <n v="285"/>
    <d v="2025-10-12T00:00:00"/>
    <x v="0"/>
    <s v="Domingo"/>
    <x v="9"/>
    <x v="3"/>
    <x v="1"/>
    <x v="4"/>
    <x v="4"/>
    <x v="4"/>
    <n v="12500"/>
    <x v="50"/>
    <n v="71.099999999999994"/>
    <n v="0"/>
    <n v="33"/>
    <n v="0"/>
    <x v="0"/>
    <n v="25.91"/>
    <n v="0"/>
    <x v="0"/>
    <n v="2.83"/>
    <n v="2.073"/>
    <n v="25.91"/>
  </r>
  <r>
    <n v="1389"/>
    <d v="2025-10-12T00:00:00"/>
    <x v="0"/>
    <s v="Domingo"/>
    <x v="9"/>
    <x v="3"/>
    <x v="1"/>
    <x v="2"/>
    <x v="2"/>
    <x v="2"/>
    <n v="17400"/>
    <x v="185"/>
    <n v="68.400000000000006"/>
    <n v="0"/>
    <n v="146"/>
    <n v="0"/>
    <x v="0"/>
    <n v="53.85"/>
    <n v="0"/>
    <x v="0"/>
    <n v="5.76"/>
    <n v="3.0950000000000002"/>
    <n v="53.85"/>
  </r>
  <r>
    <n v="1757"/>
    <d v="2025-10-12T00:00:00"/>
    <x v="0"/>
    <s v="Domingo"/>
    <x v="9"/>
    <x v="3"/>
    <x v="1"/>
    <x v="0"/>
    <x v="0"/>
    <x v="0"/>
    <n v="26000"/>
    <x v="55"/>
    <n v="68.599999999999994"/>
    <n v="0"/>
    <n v="0"/>
    <n v="0"/>
    <x v="0"/>
    <n v="44.97"/>
    <n v="0"/>
    <x v="0"/>
    <n v="4.74"/>
    <n v="1.73"/>
    <n v="44.97"/>
  </r>
  <r>
    <n v="653"/>
    <d v="2025-10-12T00:00:00"/>
    <x v="0"/>
    <s v="Domingo"/>
    <x v="9"/>
    <x v="3"/>
    <x v="1"/>
    <x v="5"/>
    <x v="5"/>
    <x v="5"/>
    <n v="8600"/>
    <x v="32"/>
    <n v="88.1"/>
    <n v="0"/>
    <n v="46"/>
    <n v="0"/>
    <x v="0"/>
    <n v="15.31"/>
    <n v="0"/>
    <x v="0"/>
    <n v="1.69"/>
    <n v="1.78"/>
    <n v="15.31"/>
  </r>
  <r>
    <n v="1021"/>
    <d v="2025-10-12T00:00:00"/>
    <x v="0"/>
    <s v="Domingo"/>
    <x v="9"/>
    <x v="3"/>
    <x v="1"/>
    <x v="1"/>
    <x v="1"/>
    <x v="1"/>
    <n v="21000"/>
    <x v="124"/>
    <n v="58.8"/>
    <n v="0"/>
    <n v="207"/>
    <n v="1"/>
    <x v="2"/>
    <n v="174.7"/>
    <n v="0"/>
    <x v="0"/>
    <n v="18.690000000000001"/>
    <n v="8.3190000000000008"/>
    <n v="174.7"/>
  </r>
  <r>
    <n v="1758"/>
    <d v="2025-10-12T08:00:00"/>
    <x v="1"/>
    <s v="Domingo"/>
    <x v="9"/>
    <x v="3"/>
    <x v="1"/>
    <x v="0"/>
    <x v="0"/>
    <x v="0"/>
    <n v="26000"/>
    <x v="78"/>
    <n v="67.599999999999994"/>
    <n v="81.599999999999994"/>
    <n v="16"/>
    <n v="0"/>
    <x v="0"/>
    <n v="49.16"/>
    <n v="22.75"/>
    <x v="0"/>
    <n v="2.91"/>
    <n v="1.891"/>
    <n v="26.41"/>
  </r>
  <r>
    <n v="1390"/>
    <d v="2025-10-12T08:00:00"/>
    <x v="1"/>
    <s v="Domingo"/>
    <x v="9"/>
    <x v="3"/>
    <x v="1"/>
    <x v="2"/>
    <x v="2"/>
    <x v="2"/>
    <n v="17400"/>
    <x v="182"/>
    <n v="69"/>
    <n v="121.6"/>
    <n v="0"/>
    <n v="0"/>
    <x v="0"/>
    <n v="34.200000000000003"/>
    <n v="14.67"/>
    <x v="0"/>
    <n v="2.11"/>
    <n v="1.966"/>
    <n v="19.53"/>
  </r>
  <r>
    <n v="286"/>
    <d v="2025-10-12T08:00:00"/>
    <x v="1"/>
    <s v="Domingo"/>
    <x v="9"/>
    <x v="3"/>
    <x v="1"/>
    <x v="4"/>
    <x v="4"/>
    <x v="4"/>
    <n v="12500"/>
    <x v="144"/>
    <n v="62.1"/>
    <n v="102"/>
    <n v="22"/>
    <n v="0"/>
    <x v="0"/>
    <n v="23.35"/>
    <n v="16.78"/>
    <x v="0"/>
    <n v="0.72"/>
    <n v="1.8680000000000001"/>
    <n v="6.57"/>
  </r>
  <r>
    <n v="2126"/>
    <d v="2025-10-12T08:00:00"/>
    <x v="1"/>
    <s v="Domingo"/>
    <x v="9"/>
    <x v="3"/>
    <x v="1"/>
    <x v="3"/>
    <x v="3"/>
    <x v="3"/>
    <n v="9800"/>
    <x v="15"/>
    <n v="74.5"/>
    <n v="102.9"/>
    <n v="131"/>
    <n v="1"/>
    <x v="2"/>
    <n v="47.39"/>
    <n v="0"/>
    <x v="0"/>
    <n v="5.17"/>
    <n v="4.8360000000000003"/>
    <n v="47.39"/>
  </r>
  <r>
    <n v="1022"/>
    <d v="2025-10-12T08:00:00"/>
    <x v="1"/>
    <s v="Domingo"/>
    <x v="9"/>
    <x v="3"/>
    <x v="1"/>
    <x v="1"/>
    <x v="1"/>
    <x v="1"/>
    <n v="21000"/>
    <x v="179"/>
    <n v="56.3"/>
    <n v="111.3"/>
    <n v="402"/>
    <n v="0"/>
    <x v="0"/>
    <n v="267.72000000000003"/>
    <n v="22.32"/>
    <x v="0"/>
    <n v="26.9"/>
    <n v="12.749000000000001"/>
    <n v="245.4"/>
  </r>
  <r>
    <n v="654"/>
    <d v="2025-10-12T08:00:00"/>
    <x v="1"/>
    <s v="Domingo"/>
    <x v="9"/>
    <x v="3"/>
    <x v="1"/>
    <x v="5"/>
    <x v="5"/>
    <x v="5"/>
    <n v="8600"/>
    <x v="163"/>
    <n v="83.2"/>
    <n v="110.4"/>
    <n v="0"/>
    <n v="0"/>
    <x v="0"/>
    <n v="12.54"/>
    <n v="7.83"/>
    <x v="0"/>
    <n v="0.51"/>
    <n v="1.458"/>
    <n v="4.71"/>
  </r>
  <r>
    <n v="1391"/>
    <d v="2025-10-12T14:00:00"/>
    <x v="2"/>
    <s v="Domingo"/>
    <x v="9"/>
    <x v="3"/>
    <x v="1"/>
    <x v="2"/>
    <x v="2"/>
    <x v="2"/>
    <n v="17400"/>
    <x v="247"/>
    <n v="73.8"/>
    <n v="557.70000000000005"/>
    <n v="1646"/>
    <n v="1"/>
    <x v="2"/>
    <n v="221.77"/>
    <n v="71.12"/>
    <x v="0"/>
    <n v="16.18"/>
    <n v="12.744999999999999"/>
    <n v="150.65"/>
  </r>
  <r>
    <n v="287"/>
    <d v="2025-10-12T14:00:00"/>
    <x v="2"/>
    <s v="Domingo"/>
    <x v="9"/>
    <x v="3"/>
    <x v="1"/>
    <x v="4"/>
    <x v="4"/>
    <x v="4"/>
    <n v="12500"/>
    <x v="249"/>
    <n v="62.9"/>
    <m/>
    <n v="30"/>
    <n v="0"/>
    <x v="0"/>
    <n v="16.82"/>
    <n v="94.2"/>
    <x v="0"/>
    <n v="-3.3"/>
    <n v="1.3460000000000001"/>
    <n v="0"/>
  </r>
  <r>
    <n v="1023"/>
    <d v="2025-10-12T14:00:00"/>
    <x v="2"/>
    <s v="Domingo"/>
    <x v="9"/>
    <x v="3"/>
    <x v="1"/>
    <x v="1"/>
    <x v="1"/>
    <x v="1"/>
    <n v="21000"/>
    <x v="280"/>
    <n v="46.5"/>
    <n v="480.9"/>
    <n v="398"/>
    <n v="1"/>
    <x v="3"/>
    <n v="209.2"/>
    <n v="90.88"/>
    <x v="0"/>
    <n v="12.92"/>
    <n v="9.9619999999999997"/>
    <n v="118.32"/>
  </r>
  <r>
    <n v="2127"/>
    <d v="2025-10-12T14:00:00"/>
    <x v="2"/>
    <s v="Domingo"/>
    <x v="9"/>
    <x v="3"/>
    <x v="1"/>
    <x v="3"/>
    <x v="3"/>
    <x v="3"/>
    <n v="9800"/>
    <x v="190"/>
    <n v="70.5"/>
    <n v="608"/>
    <n v="126"/>
    <n v="0"/>
    <x v="0"/>
    <n v="26.85"/>
    <n v="0"/>
    <x v="0"/>
    <n v="2.96"/>
    <n v="2.74"/>
    <n v="26.85"/>
  </r>
  <r>
    <n v="655"/>
    <d v="2025-10-12T14:00:00"/>
    <x v="2"/>
    <s v="Domingo"/>
    <x v="9"/>
    <x v="3"/>
    <x v="1"/>
    <x v="5"/>
    <x v="5"/>
    <x v="5"/>
    <n v="8600"/>
    <x v="97"/>
    <n v="73.2"/>
    <m/>
    <n v="33"/>
    <n v="0"/>
    <x v="0"/>
    <n v="9.43"/>
    <n v="42.62"/>
    <x v="0"/>
    <n v="-1.48"/>
    <n v="1.097"/>
    <n v="0"/>
  </r>
  <r>
    <n v="1759"/>
    <d v="2025-10-12T14:00:00"/>
    <x v="2"/>
    <s v="Domingo"/>
    <x v="9"/>
    <x v="3"/>
    <x v="1"/>
    <x v="0"/>
    <x v="0"/>
    <x v="0"/>
    <n v="26000"/>
    <x v="247"/>
    <n v="63.6"/>
    <n v="562.70000000000005"/>
    <n v="0"/>
    <n v="0"/>
    <x v="0"/>
    <n v="32.21"/>
    <n v="151.24"/>
    <x v="0"/>
    <n v="-5.19"/>
    <n v="1.2390000000000001"/>
    <n v="0"/>
  </r>
  <r>
    <n v="1760"/>
    <d v="2025-10-12T20:00:00"/>
    <x v="3"/>
    <s v="Domingo"/>
    <x v="9"/>
    <x v="3"/>
    <x v="1"/>
    <x v="0"/>
    <x v="0"/>
    <x v="0"/>
    <n v="26000"/>
    <x v="165"/>
    <n v="66.099999999999994"/>
    <n v="0"/>
    <n v="0"/>
    <n v="0"/>
    <x v="0"/>
    <n v="378.04"/>
    <n v="0"/>
    <x v="0"/>
    <n v="4.97"/>
    <n v="14.54"/>
    <n v="378.04"/>
  </r>
  <r>
    <n v="288"/>
    <d v="2025-10-12T20:00:00"/>
    <x v="3"/>
    <s v="Domingo"/>
    <x v="9"/>
    <x v="3"/>
    <x v="1"/>
    <x v="4"/>
    <x v="4"/>
    <x v="4"/>
    <n v="12500"/>
    <x v="161"/>
    <n v="73.599999999999994"/>
    <m/>
    <n v="0"/>
    <n v="0"/>
    <x v="0"/>
    <n v="22.79"/>
    <n v="0"/>
    <x v="0"/>
    <n v="2.44"/>
    <n v="1.823"/>
    <n v="22.79"/>
  </r>
  <r>
    <n v="656"/>
    <d v="2025-10-12T20:00:00"/>
    <x v="3"/>
    <s v="Domingo"/>
    <x v="9"/>
    <x v="3"/>
    <x v="1"/>
    <x v="5"/>
    <x v="5"/>
    <x v="5"/>
    <n v="8600"/>
    <x v="146"/>
    <n v="98.2"/>
    <n v="0"/>
    <n v="9"/>
    <n v="0"/>
    <x v="0"/>
    <n v="13.55"/>
    <n v="0"/>
    <x v="0"/>
    <n v="1.42"/>
    <n v="1.5760000000000001"/>
    <n v="13.55"/>
  </r>
  <r>
    <n v="1392"/>
    <d v="2025-10-12T20:00:00"/>
    <x v="3"/>
    <s v="Domingo"/>
    <x v="9"/>
    <x v="3"/>
    <x v="1"/>
    <x v="2"/>
    <x v="2"/>
    <x v="2"/>
    <n v="17400"/>
    <x v="188"/>
    <n v="78.099999999999994"/>
    <n v="0"/>
    <n v="1564"/>
    <n v="0"/>
    <x v="0"/>
    <n v="316.22000000000003"/>
    <n v="0"/>
    <x v="0"/>
    <n v="34.090000000000003"/>
    <n v="18.173999999999999"/>
    <n v="316.22000000000003"/>
  </r>
  <r>
    <n v="2128"/>
    <d v="2025-10-12T20:00:00"/>
    <x v="3"/>
    <s v="Domingo"/>
    <x v="9"/>
    <x v="3"/>
    <x v="1"/>
    <x v="3"/>
    <x v="3"/>
    <x v="3"/>
    <n v="9800"/>
    <x v="161"/>
    <n v="68.7"/>
    <n v="0"/>
    <n v="321"/>
    <n v="1"/>
    <x v="2"/>
    <n v="89.6"/>
    <n v="0"/>
    <x v="0"/>
    <n v="9.7799999999999994"/>
    <n v="9.1430000000000007"/>
    <n v="89.6"/>
  </r>
  <r>
    <n v="1024"/>
    <d v="2025-10-12T20:00:00"/>
    <x v="3"/>
    <s v="Domingo"/>
    <x v="9"/>
    <x v="3"/>
    <x v="1"/>
    <x v="1"/>
    <x v="1"/>
    <x v="1"/>
    <n v="21000"/>
    <x v="208"/>
    <n v="53.2"/>
    <n v="0"/>
    <n v="422"/>
    <n v="0"/>
    <x v="0"/>
    <n v="293.23"/>
    <n v="0"/>
    <x v="0"/>
    <n v="31.93"/>
    <n v="13.962999999999999"/>
    <n v="293.23"/>
  </r>
  <r>
    <n v="289"/>
    <d v="2025-10-16T00:00:00"/>
    <x v="0"/>
    <s v="Jueves"/>
    <x v="9"/>
    <x v="3"/>
    <x v="0"/>
    <x v="4"/>
    <x v="4"/>
    <x v="4"/>
    <n v="12500"/>
    <x v="96"/>
    <n v="67.599999999999994"/>
    <n v="0"/>
    <n v="40"/>
    <n v="0"/>
    <x v="0"/>
    <n v="25.56"/>
    <n v="0"/>
    <x v="0"/>
    <n v="2.8"/>
    <n v="2.0449999999999999"/>
    <n v="25.56"/>
  </r>
  <r>
    <n v="657"/>
    <d v="2025-10-16T00:00:00"/>
    <x v="0"/>
    <s v="Jueves"/>
    <x v="9"/>
    <x v="3"/>
    <x v="0"/>
    <x v="5"/>
    <x v="5"/>
    <x v="5"/>
    <n v="8600"/>
    <x v="89"/>
    <n v="81.8"/>
    <n v="0"/>
    <n v="0"/>
    <n v="1"/>
    <x v="1"/>
    <n v="21.12"/>
    <n v="0"/>
    <x v="0"/>
    <n v="2.33"/>
    <n v="2.456"/>
    <n v="21.12"/>
  </r>
  <r>
    <n v="2129"/>
    <d v="2025-10-16T00:00:00"/>
    <x v="0"/>
    <s v="Jueves"/>
    <x v="9"/>
    <x v="3"/>
    <x v="0"/>
    <x v="3"/>
    <x v="3"/>
    <x v="3"/>
    <n v="9800"/>
    <x v="123"/>
    <n v="76.7"/>
    <n v="0"/>
    <n v="314"/>
    <n v="1"/>
    <x v="1"/>
    <n v="95.34"/>
    <n v="0"/>
    <x v="0"/>
    <n v="10.72"/>
    <n v="9.7289999999999992"/>
    <n v="95.34"/>
  </r>
  <r>
    <n v="1025"/>
    <d v="2025-10-16T00:00:00"/>
    <x v="0"/>
    <s v="Jueves"/>
    <x v="9"/>
    <x v="3"/>
    <x v="0"/>
    <x v="1"/>
    <x v="1"/>
    <x v="1"/>
    <n v="21000"/>
    <x v="146"/>
    <n v="57.7"/>
    <n v="0"/>
    <n v="205"/>
    <n v="1"/>
    <x v="1"/>
    <n v="178.77"/>
    <n v="0"/>
    <x v="0"/>
    <n v="19.77"/>
    <n v="8.5129999999999999"/>
    <n v="178.77"/>
  </r>
  <r>
    <n v="1761"/>
    <d v="2025-10-16T00:00:00"/>
    <x v="0"/>
    <s v="Jueves"/>
    <x v="9"/>
    <x v="3"/>
    <x v="0"/>
    <x v="0"/>
    <x v="0"/>
    <x v="0"/>
    <n v="26000"/>
    <x v="79"/>
    <n v="60.8"/>
    <n v="0"/>
    <n v="52"/>
    <n v="1"/>
    <x v="1"/>
    <n v="112.68"/>
    <n v="0"/>
    <x v="0"/>
    <n v="11.99"/>
    <n v="4.3339999999999996"/>
    <n v="112.68"/>
  </r>
  <r>
    <n v="1393"/>
    <d v="2025-10-16T00:00:00"/>
    <x v="0"/>
    <s v="Jueves"/>
    <x v="9"/>
    <x v="3"/>
    <x v="0"/>
    <x v="2"/>
    <x v="2"/>
    <x v="2"/>
    <n v="17400"/>
    <x v="101"/>
    <n v="69.400000000000006"/>
    <n v="0"/>
    <n v="0"/>
    <n v="0"/>
    <x v="0"/>
    <n v="45.29"/>
    <n v="0"/>
    <x v="0"/>
    <n v="4.97"/>
    <n v="2.6030000000000002"/>
    <n v="45.29"/>
  </r>
  <r>
    <n v="1394"/>
    <d v="2025-10-16T08:00:00"/>
    <x v="1"/>
    <s v="Jueves"/>
    <x v="9"/>
    <x v="3"/>
    <x v="0"/>
    <x v="2"/>
    <x v="2"/>
    <x v="2"/>
    <n v="17400"/>
    <x v="21"/>
    <n v="70.3"/>
    <n v="85.7"/>
    <n v="17"/>
    <n v="0"/>
    <x v="0"/>
    <n v="44.43"/>
    <n v="11.07"/>
    <x v="1"/>
    <n v="5.81"/>
    <n v="2.5529999999999999"/>
    <n v="33.36"/>
  </r>
  <r>
    <n v="290"/>
    <d v="2025-10-16T08:00:00"/>
    <x v="1"/>
    <s v="Jueves"/>
    <x v="9"/>
    <x v="3"/>
    <x v="0"/>
    <x v="4"/>
    <x v="4"/>
    <x v="4"/>
    <n v="12500"/>
    <x v="89"/>
    <n v="62.2"/>
    <n v="69.7"/>
    <n v="386"/>
    <n v="1"/>
    <x v="1"/>
    <n v="114.2"/>
    <n v="10.02"/>
    <x v="1"/>
    <n v="18.41"/>
    <n v="9.1359999999999992"/>
    <n v="104.18"/>
  </r>
  <r>
    <n v="1026"/>
    <d v="2025-10-16T08:00:00"/>
    <x v="1"/>
    <s v="Jueves"/>
    <x v="9"/>
    <x v="3"/>
    <x v="0"/>
    <x v="1"/>
    <x v="1"/>
    <x v="1"/>
    <n v="21000"/>
    <x v="20"/>
    <n v="60"/>
    <n v="87.6"/>
    <n v="424"/>
    <n v="1"/>
    <x v="1"/>
    <n v="287.98"/>
    <n v="18.809999999999999"/>
    <x v="1"/>
    <n v="48.18"/>
    <n v="13.712999999999999"/>
    <n v="269.17"/>
  </r>
  <r>
    <n v="2130"/>
    <d v="2025-10-16T08:00:00"/>
    <x v="1"/>
    <s v="Jueves"/>
    <x v="9"/>
    <x v="3"/>
    <x v="0"/>
    <x v="3"/>
    <x v="3"/>
    <x v="3"/>
    <n v="9800"/>
    <x v="73"/>
    <n v="89.8"/>
    <n v="80"/>
    <m/>
    <n v="1"/>
    <x v="1"/>
    <n v="33.03"/>
    <n v="0"/>
    <x v="1"/>
    <n v="5.82"/>
    <n v="3.37"/>
    <n v="33.03"/>
  </r>
  <r>
    <n v="1762"/>
    <d v="2025-10-16T08:00:00"/>
    <x v="1"/>
    <s v="Jueves"/>
    <x v="9"/>
    <x v="3"/>
    <x v="0"/>
    <x v="0"/>
    <x v="0"/>
    <x v="0"/>
    <n v="26000"/>
    <x v="143"/>
    <n v="71.2"/>
    <n v="44"/>
    <n v="158"/>
    <n v="1"/>
    <x v="1"/>
    <n v="255.46"/>
    <n v="12.05"/>
    <x v="1"/>
    <n v="41.57"/>
    <n v="9.8249999999999993"/>
    <n v="243.41"/>
  </r>
  <r>
    <n v="658"/>
    <d v="2025-10-16T08:00:00"/>
    <x v="1"/>
    <s v="Jueves"/>
    <x v="9"/>
    <x v="3"/>
    <x v="0"/>
    <x v="5"/>
    <x v="5"/>
    <x v="5"/>
    <n v="8600"/>
    <x v="260"/>
    <m/>
    <n v="64.8"/>
    <n v="764"/>
    <n v="1"/>
    <x v="1"/>
    <n v="115.58"/>
    <n v="4.67"/>
    <x v="1"/>
    <n v="19.579999999999998"/>
    <n v="13.44"/>
    <n v="110.91"/>
  </r>
  <r>
    <n v="291"/>
    <d v="2025-10-16T14:00:00"/>
    <x v="2"/>
    <s v="Jueves"/>
    <x v="9"/>
    <x v="3"/>
    <x v="0"/>
    <x v="4"/>
    <x v="4"/>
    <x v="4"/>
    <n v="12500"/>
    <x v="228"/>
    <n v="61.2"/>
    <n v="658.2"/>
    <n v="593"/>
    <n v="0"/>
    <x v="0"/>
    <n v="467.26"/>
    <n v="97.69"/>
    <x v="1"/>
    <n v="2.15"/>
    <n v="37.381"/>
    <n v="369.57"/>
  </r>
  <r>
    <n v="659"/>
    <d v="2025-10-16T14:00:00"/>
    <x v="2"/>
    <s v="Jueves"/>
    <x v="9"/>
    <x v="3"/>
    <x v="0"/>
    <x v="5"/>
    <x v="5"/>
    <x v="5"/>
    <n v="8600"/>
    <x v="165"/>
    <n v="78.900000000000006"/>
    <n v="475.7"/>
    <m/>
    <n v="0"/>
    <x v="0"/>
    <n v="82.53"/>
    <n v="34.14"/>
    <x v="1"/>
    <n v="8.51"/>
    <n v="9.5969999999999995"/>
    <n v="48.39"/>
  </r>
  <r>
    <n v="1395"/>
    <d v="2025-10-16T14:00:00"/>
    <x v="2"/>
    <s v="Jueves"/>
    <x v="9"/>
    <x v="3"/>
    <x v="0"/>
    <x v="2"/>
    <x v="2"/>
    <x v="2"/>
    <n v="17400"/>
    <x v="164"/>
    <n v="68.599999999999994"/>
    <n v="605.9"/>
    <n v="1340"/>
    <n v="0"/>
    <x v="0"/>
    <m/>
    <n v="70.48"/>
    <x v="1"/>
    <n v="26.54"/>
    <m/>
    <m/>
  </r>
  <r>
    <n v="1027"/>
    <d v="2025-10-16T14:00:00"/>
    <x v="2"/>
    <s v="Jueves"/>
    <x v="9"/>
    <x v="3"/>
    <x v="0"/>
    <x v="1"/>
    <x v="1"/>
    <x v="1"/>
    <n v="21000"/>
    <x v="277"/>
    <n v="59.7"/>
    <n v="480.9"/>
    <n v="420"/>
    <n v="1"/>
    <x v="3"/>
    <n v="217.57"/>
    <n v="103.6"/>
    <x v="1"/>
    <n v="19.690000000000001"/>
    <n v="10.36"/>
    <n v="113.97"/>
  </r>
  <r>
    <n v="2131"/>
    <d v="2025-10-16T14:00:00"/>
    <x v="2"/>
    <s v="Jueves"/>
    <x v="9"/>
    <x v="3"/>
    <x v="0"/>
    <x v="3"/>
    <x v="3"/>
    <x v="3"/>
    <n v="9800"/>
    <x v="204"/>
    <n v="64.8"/>
    <n v="583.6"/>
    <n v="71"/>
    <n v="0"/>
    <x v="0"/>
    <n v="18.600000000000001"/>
    <n v="0"/>
    <x v="1"/>
    <n v="3.3"/>
    <n v="1.8979999999999999"/>
    <n v="18.600000000000001"/>
  </r>
  <r>
    <n v="1763"/>
    <d v="2025-10-16T14:00:00"/>
    <x v="2"/>
    <s v="Jueves"/>
    <x v="9"/>
    <x v="3"/>
    <x v="0"/>
    <x v="0"/>
    <x v="0"/>
    <x v="0"/>
    <n v="26000"/>
    <x v="158"/>
    <n v="69.099999999999994"/>
    <n v="492.6"/>
    <n v="190"/>
    <n v="0"/>
    <x v="0"/>
    <n v="155.53"/>
    <n v="123.22"/>
    <x v="1"/>
    <n v="5.62"/>
    <n v="5.9820000000000002"/>
    <n v="32.31"/>
  </r>
  <r>
    <n v="2132"/>
    <d v="2025-10-16T20:00:00"/>
    <x v="3"/>
    <s v="Jueves"/>
    <x v="9"/>
    <x v="3"/>
    <x v="0"/>
    <x v="3"/>
    <x v="3"/>
    <x v="3"/>
    <n v="9800"/>
    <x v="184"/>
    <n v="92.7"/>
    <n v="0"/>
    <n v="314"/>
    <n v="0"/>
    <x v="0"/>
    <n v="97.99"/>
    <n v="0"/>
    <x v="2"/>
    <n v="26.24"/>
    <n v="9.9990000000000006"/>
    <n v="97.99"/>
  </r>
  <r>
    <n v="1764"/>
    <d v="2025-10-16T20:00:00"/>
    <x v="3"/>
    <s v="Jueves"/>
    <x v="9"/>
    <x v="3"/>
    <x v="0"/>
    <x v="0"/>
    <x v="0"/>
    <x v="0"/>
    <n v="26000"/>
    <x v="161"/>
    <n v="62.1"/>
    <n v="0"/>
    <n v="153"/>
    <n v="1"/>
    <x v="2"/>
    <n v="251.12"/>
    <n v="0"/>
    <x v="2"/>
    <n v="68.760000000000005"/>
    <n v="9.6579999999999995"/>
    <n v="251.12"/>
  </r>
  <r>
    <n v="1028"/>
    <d v="2025-10-16T20:00:00"/>
    <x v="3"/>
    <s v="Jueves"/>
    <x v="9"/>
    <x v="3"/>
    <x v="0"/>
    <x v="1"/>
    <x v="1"/>
    <x v="1"/>
    <n v="21000"/>
    <x v="236"/>
    <n v="56.6"/>
    <n v="0"/>
    <n v="412"/>
    <n v="0"/>
    <x v="0"/>
    <n v="311.22000000000003"/>
    <n v="0"/>
    <x v="2"/>
    <n v="84.81"/>
    <n v="14.82"/>
    <n v="311.22000000000003"/>
  </r>
  <r>
    <n v="660"/>
    <d v="2025-10-16T20:00:00"/>
    <x v="3"/>
    <s v="Jueves"/>
    <x v="9"/>
    <x v="3"/>
    <x v="0"/>
    <x v="5"/>
    <x v="5"/>
    <x v="5"/>
    <n v="8600"/>
    <x v="205"/>
    <n v="79.3"/>
    <n v="0"/>
    <n v="147"/>
    <n v="0"/>
    <x v="0"/>
    <n v="28.02"/>
    <n v="0"/>
    <x v="2"/>
    <n v="7.63"/>
    <n v="3.258"/>
    <n v="28.02"/>
  </r>
  <r>
    <n v="1396"/>
    <d v="2025-10-16T20:00:00"/>
    <x v="3"/>
    <s v="Jueves"/>
    <x v="9"/>
    <x v="3"/>
    <x v="0"/>
    <x v="2"/>
    <x v="2"/>
    <x v="2"/>
    <n v="17400"/>
    <x v="189"/>
    <n v="75.599999999999994"/>
    <n v="0"/>
    <n v="1360"/>
    <n v="0"/>
    <x v="0"/>
    <n v="276.61"/>
    <n v="0"/>
    <x v="2"/>
    <n v="75.459999999999994"/>
    <n v="15.897"/>
    <n v="276.61"/>
  </r>
  <r>
    <n v="292"/>
    <d v="2025-10-16T20:00:00"/>
    <x v="3"/>
    <s v="Jueves"/>
    <x v="9"/>
    <x v="3"/>
    <x v="0"/>
    <x v="4"/>
    <x v="4"/>
    <x v="4"/>
    <n v="12500"/>
    <x v="184"/>
    <n v="63.6"/>
    <m/>
    <n v="91"/>
    <n v="0"/>
    <x v="0"/>
    <n v="39.58"/>
    <n v="0"/>
    <x v="2"/>
    <n v="10.89"/>
    <n v="3.1659999999999999"/>
    <n v="39.58"/>
  </r>
  <r>
    <n v="2133"/>
    <d v="2025-10-20T00:00:00"/>
    <x v="0"/>
    <s v="Lunes"/>
    <x v="9"/>
    <x v="3"/>
    <x v="0"/>
    <x v="3"/>
    <x v="3"/>
    <x v="3"/>
    <n v="9800"/>
    <x v="145"/>
    <n v="70.900000000000006"/>
    <n v="0"/>
    <n v="297"/>
    <n v="1"/>
    <x v="2"/>
    <n v="108.32"/>
    <n v="0"/>
    <x v="0"/>
    <n v="12.14"/>
    <n v="11.053000000000001"/>
    <n v="108.32"/>
  </r>
  <r>
    <n v="1029"/>
    <d v="2025-10-20T00:00:00"/>
    <x v="0"/>
    <s v="Lunes"/>
    <x v="9"/>
    <x v="3"/>
    <x v="0"/>
    <x v="1"/>
    <x v="1"/>
    <x v="1"/>
    <n v="21000"/>
    <x v="146"/>
    <n v="69.5"/>
    <n v="0"/>
    <n v="200"/>
    <n v="1"/>
    <x v="1"/>
    <n v="168.28"/>
    <n v="0"/>
    <x v="0"/>
    <n v="18.36"/>
    <n v="8.0129999999999999"/>
    <n v="168.28"/>
  </r>
  <r>
    <n v="1765"/>
    <d v="2025-10-20T00:00:00"/>
    <x v="0"/>
    <s v="Lunes"/>
    <x v="9"/>
    <x v="3"/>
    <x v="0"/>
    <x v="0"/>
    <x v="0"/>
    <x v="0"/>
    <n v="26000"/>
    <x v="60"/>
    <n v="75.400000000000006"/>
    <n v="0"/>
    <n v="54"/>
    <n v="1"/>
    <x v="1"/>
    <n v="128.71"/>
    <n v="0"/>
    <x v="0"/>
    <n v="14.09"/>
    <n v="4.95"/>
    <n v="128.71"/>
  </r>
  <r>
    <n v="1397"/>
    <d v="2025-10-20T00:00:00"/>
    <x v="0"/>
    <s v="Lunes"/>
    <x v="9"/>
    <x v="3"/>
    <x v="0"/>
    <x v="2"/>
    <x v="2"/>
    <x v="2"/>
    <n v="17400"/>
    <x v="40"/>
    <n v="68.8"/>
    <n v="0"/>
    <n v="125"/>
    <n v="0"/>
    <x v="0"/>
    <n v="55.12"/>
    <n v="0"/>
    <x v="0"/>
    <n v="6.17"/>
    <n v="3.1680000000000001"/>
    <n v="55.12"/>
  </r>
  <r>
    <n v="661"/>
    <d v="2025-10-20T00:00:00"/>
    <x v="0"/>
    <s v="Lunes"/>
    <x v="9"/>
    <x v="3"/>
    <x v="0"/>
    <x v="5"/>
    <x v="5"/>
    <x v="5"/>
    <n v="8600"/>
    <x v="78"/>
    <n v="99"/>
    <n v="0"/>
    <n v="69"/>
    <n v="1"/>
    <x v="1"/>
    <n v="270.08999999999997"/>
    <n v="0"/>
    <x v="0"/>
    <n v="2.89"/>
    <n v="31.405999999999999"/>
    <n v="270.08999999999997"/>
  </r>
  <r>
    <n v="293"/>
    <d v="2025-10-20T00:00:00"/>
    <x v="0"/>
    <s v="Lunes"/>
    <x v="9"/>
    <x v="3"/>
    <x v="0"/>
    <x v="4"/>
    <x v="4"/>
    <x v="4"/>
    <n v="12500"/>
    <x v="31"/>
    <n v="71.400000000000006"/>
    <n v="0"/>
    <n v="5"/>
    <n v="0"/>
    <x v="0"/>
    <n v="24.62"/>
    <n v="0"/>
    <x v="0"/>
    <n v="2.69"/>
    <n v="1.97"/>
    <n v="24.62"/>
  </r>
  <r>
    <n v="1030"/>
    <d v="2025-10-20T08:00:00"/>
    <x v="1"/>
    <s v="Lunes"/>
    <x v="9"/>
    <x v="3"/>
    <x v="0"/>
    <x v="1"/>
    <x v="1"/>
    <x v="1"/>
    <n v="21000"/>
    <x v="99"/>
    <m/>
    <n v="74.3"/>
    <n v="412"/>
    <n v="1"/>
    <x v="2"/>
    <n v="304.7"/>
    <n v="15.17"/>
    <x v="1"/>
    <n v="51.68"/>
    <n v="14.51"/>
    <n v="289.52999999999997"/>
  </r>
  <r>
    <n v="2134"/>
    <d v="2025-10-20T08:00:00"/>
    <x v="1"/>
    <s v="Lunes"/>
    <x v="9"/>
    <x v="3"/>
    <x v="0"/>
    <x v="3"/>
    <x v="3"/>
    <x v="3"/>
    <n v="9800"/>
    <x v="97"/>
    <n v="77.599999999999994"/>
    <n v="82.9"/>
    <n v="66"/>
    <n v="0"/>
    <x v="0"/>
    <n v="31.91"/>
    <n v="0"/>
    <x v="1"/>
    <n v="5.62"/>
    <n v="3.2559999999999998"/>
    <n v="31.91"/>
  </r>
  <r>
    <n v="1766"/>
    <d v="2025-10-20T08:00:00"/>
    <x v="1"/>
    <s v="Lunes"/>
    <x v="9"/>
    <x v="3"/>
    <x v="0"/>
    <x v="0"/>
    <x v="0"/>
    <x v="0"/>
    <n v="26000"/>
    <x v="168"/>
    <n v="69.2"/>
    <n v="26.2"/>
    <n v="166"/>
    <n v="1"/>
    <x v="1"/>
    <n v="258.44"/>
    <n v="7.86"/>
    <x v="1"/>
    <n v="45"/>
    <n v="9.94"/>
    <n v="250.58"/>
  </r>
  <r>
    <n v="1398"/>
    <d v="2025-10-20T08:00:00"/>
    <x v="1"/>
    <s v="Lunes"/>
    <x v="9"/>
    <x v="3"/>
    <x v="0"/>
    <x v="2"/>
    <x v="2"/>
    <x v="2"/>
    <n v="17400"/>
    <x v="97"/>
    <n v="83.5"/>
    <n v="28"/>
    <n v="155"/>
    <n v="0"/>
    <x v="0"/>
    <n v="55.06"/>
    <n v="3.38"/>
    <x v="1"/>
    <n v="9.17"/>
    <n v="3.1640000000000001"/>
    <n v="51.68"/>
  </r>
  <r>
    <n v="294"/>
    <d v="2025-10-20T08:00:00"/>
    <x v="1"/>
    <s v="Lunes"/>
    <x v="9"/>
    <x v="3"/>
    <x v="0"/>
    <x v="4"/>
    <x v="4"/>
    <x v="4"/>
    <n v="12500"/>
    <x v="34"/>
    <n v="54.8"/>
    <n v="69.599999999999994"/>
    <n v="292"/>
    <n v="1"/>
    <x v="1"/>
    <n v="100.88"/>
    <n v="9.5299999999999994"/>
    <x v="1"/>
    <n v="16.239999999999998"/>
    <n v="8.07"/>
    <n v="91.35"/>
  </r>
  <r>
    <n v="662"/>
    <d v="2025-10-20T08:00:00"/>
    <x v="1"/>
    <s v="Lunes"/>
    <x v="9"/>
    <x v="3"/>
    <x v="0"/>
    <x v="5"/>
    <x v="5"/>
    <x v="5"/>
    <n v="8600"/>
    <x v="168"/>
    <n v="86.1"/>
    <n v="66.099999999999994"/>
    <n v="811"/>
    <n v="1"/>
    <x v="1"/>
    <n v="122.09"/>
    <n v="5.45"/>
    <x v="1"/>
    <n v="20.74"/>
    <n v="14.196999999999999"/>
    <n v="116.64"/>
  </r>
  <r>
    <n v="663"/>
    <d v="2025-10-20T14:00:00"/>
    <x v="2"/>
    <s v="Lunes"/>
    <x v="9"/>
    <x v="3"/>
    <x v="0"/>
    <x v="5"/>
    <x v="5"/>
    <x v="5"/>
    <n v="8600"/>
    <x v="156"/>
    <n v="81.7"/>
    <n v="567.1"/>
    <m/>
    <n v="0"/>
    <x v="0"/>
    <n v="87.9"/>
    <n v="44.07"/>
    <x v="1"/>
    <n v="7.74"/>
    <n v="10.221"/>
    <n v="43.83"/>
  </r>
  <r>
    <n v="1767"/>
    <d v="2025-10-20T14:00:00"/>
    <x v="2"/>
    <s v="Lunes"/>
    <x v="9"/>
    <x v="3"/>
    <x v="0"/>
    <x v="0"/>
    <x v="0"/>
    <x v="0"/>
    <n v="26000"/>
    <x v="200"/>
    <n v="71.3"/>
    <n v="505.7"/>
    <n v="172"/>
    <n v="0"/>
    <x v="0"/>
    <n v="149.5"/>
    <n v="141.63999999999999"/>
    <x v="1"/>
    <n v="1.4"/>
    <n v="5.75"/>
    <n v="7.86"/>
  </r>
  <r>
    <n v="2135"/>
    <d v="2025-10-20T14:00:00"/>
    <x v="2"/>
    <s v="Lunes"/>
    <x v="9"/>
    <x v="3"/>
    <x v="0"/>
    <x v="3"/>
    <x v="3"/>
    <x v="3"/>
    <n v="9800"/>
    <x v="271"/>
    <n v="73.400000000000006"/>
    <n v="554.70000000000005"/>
    <n v="77"/>
    <n v="0"/>
    <x v="0"/>
    <n v="19.68"/>
    <n v="0"/>
    <x v="1"/>
    <n v="3.42"/>
    <n v="2.008"/>
    <n v="19.68"/>
  </r>
  <r>
    <n v="1031"/>
    <d v="2025-10-20T14:00:00"/>
    <x v="2"/>
    <s v="Lunes"/>
    <x v="9"/>
    <x v="3"/>
    <x v="0"/>
    <x v="1"/>
    <x v="1"/>
    <x v="1"/>
    <n v="21000"/>
    <x v="234"/>
    <n v="59.1"/>
    <n v="643"/>
    <n v="389"/>
    <n v="1"/>
    <x v="3"/>
    <n v="198.54"/>
    <n v="121.32"/>
    <x v="1"/>
    <n v="13.45"/>
    <n v="9.4540000000000006"/>
    <n v="77.22"/>
  </r>
  <r>
    <n v="1399"/>
    <d v="2025-10-20T14:00:00"/>
    <x v="2"/>
    <s v="Lunes"/>
    <x v="9"/>
    <x v="3"/>
    <x v="0"/>
    <x v="2"/>
    <x v="2"/>
    <x v="2"/>
    <n v="17400"/>
    <x v="176"/>
    <n v="70.3"/>
    <n v="642.9"/>
    <n v="1366"/>
    <n v="0"/>
    <x v="0"/>
    <n v="198.61"/>
    <n v="86.21"/>
    <x v="1"/>
    <n v="20.329999999999998"/>
    <n v="11.414"/>
    <n v="112.4"/>
  </r>
  <r>
    <n v="295"/>
    <d v="2025-10-20T14:00:00"/>
    <x v="2"/>
    <s v="Lunes"/>
    <x v="9"/>
    <x v="3"/>
    <x v="0"/>
    <x v="4"/>
    <x v="4"/>
    <x v="4"/>
    <n v="12500"/>
    <x v="166"/>
    <m/>
    <n v="569.79999999999995"/>
    <n v="533"/>
    <n v="0"/>
    <x v="0"/>
    <n v="103.19"/>
    <n v="86.92"/>
    <x v="1"/>
    <n v="2.81"/>
    <n v="8.2550000000000008"/>
    <n v="16.27"/>
  </r>
  <r>
    <n v="1768"/>
    <d v="2025-10-20T20:00:00"/>
    <x v="3"/>
    <s v="Lunes"/>
    <x v="9"/>
    <x v="3"/>
    <x v="0"/>
    <x v="0"/>
    <x v="0"/>
    <x v="0"/>
    <n v="26000"/>
    <x v="185"/>
    <n v="67.2"/>
    <n v="0"/>
    <n v="151"/>
    <n v="0"/>
    <x v="0"/>
    <n v="232.01"/>
    <n v="0"/>
    <x v="2"/>
    <n v="63.15"/>
    <n v="8.923"/>
    <n v="232.01"/>
  </r>
  <r>
    <n v="2136"/>
    <d v="2025-10-20T20:00:00"/>
    <x v="3"/>
    <s v="Lunes"/>
    <x v="9"/>
    <x v="3"/>
    <x v="0"/>
    <x v="3"/>
    <x v="3"/>
    <x v="3"/>
    <n v="9800"/>
    <x v="184"/>
    <n v="85.6"/>
    <n v="0"/>
    <n v="317"/>
    <n v="0"/>
    <x v="0"/>
    <n v="97.34"/>
    <n v="0"/>
    <x v="2"/>
    <n v="26.6"/>
    <n v="9.9329999999999998"/>
    <n v="97.34"/>
  </r>
  <r>
    <n v="664"/>
    <d v="2025-10-20T20:00:00"/>
    <x v="3"/>
    <s v="Lunes"/>
    <x v="9"/>
    <x v="3"/>
    <x v="0"/>
    <x v="5"/>
    <x v="5"/>
    <x v="5"/>
    <n v="8600"/>
    <x v="156"/>
    <n v="78.599999999999994"/>
    <n v="0"/>
    <n v="93"/>
    <n v="0"/>
    <x v="0"/>
    <n v="22.43"/>
    <n v="0"/>
    <x v="2"/>
    <n v="6.06"/>
    <n v="2.6080000000000001"/>
    <n v="22.43"/>
  </r>
  <r>
    <n v="296"/>
    <d v="2025-10-20T20:00:00"/>
    <x v="3"/>
    <s v="Lunes"/>
    <x v="9"/>
    <x v="3"/>
    <x v="0"/>
    <x v="4"/>
    <x v="4"/>
    <x v="4"/>
    <n v="12500"/>
    <x v="215"/>
    <n v="65.8"/>
    <n v="0"/>
    <n v="116"/>
    <n v="0"/>
    <x v="0"/>
    <n v="45.32"/>
    <n v="0"/>
    <x v="2"/>
    <n v="12.14"/>
    <n v="3.6259999999999999"/>
    <n v="45.32"/>
  </r>
  <r>
    <n v="1400"/>
    <d v="2025-10-20T20:00:00"/>
    <x v="3"/>
    <s v="Lunes"/>
    <x v="9"/>
    <x v="3"/>
    <x v="0"/>
    <x v="2"/>
    <x v="2"/>
    <x v="2"/>
    <n v="17400"/>
    <x v="97"/>
    <n v="74.3"/>
    <n v="0"/>
    <n v="1448"/>
    <n v="0"/>
    <x v="0"/>
    <n v="258.48"/>
    <n v="0"/>
    <x v="2"/>
    <n v="68.88"/>
    <n v="14.855"/>
    <n v="258.48"/>
  </r>
  <r>
    <n v="1032"/>
    <d v="2025-10-20T20:00:00"/>
    <x v="3"/>
    <s v="Lunes"/>
    <x v="9"/>
    <x v="3"/>
    <x v="0"/>
    <x v="1"/>
    <x v="1"/>
    <x v="1"/>
    <n v="21000"/>
    <x v="165"/>
    <n v="67.7"/>
    <n v="0"/>
    <n v="398"/>
    <n v="0"/>
    <x v="0"/>
    <n v="285.07"/>
    <n v="0"/>
    <x v="2"/>
    <n v="75.319999999999993"/>
    <n v="13.574999999999999"/>
    <n v="285.07"/>
  </r>
  <r>
    <n v="1033"/>
    <d v="2025-10-24T00:00:00"/>
    <x v="0"/>
    <s v="Viernes"/>
    <x v="9"/>
    <x v="3"/>
    <x v="0"/>
    <x v="1"/>
    <x v="1"/>
    <x v="1"/>
    <n v="21000"/>
    <x v="146"/>
    <n v="71"/>
    <n v="0"/>
    <n v="243"/>
    <n v="1"/>
    <x v="1"/>
    <n v="189.79"/>
    <n v="0"/>
    <x v="0"/>
    <n v="19.87"/>
    <n v="9.0380000000000003"/>
    <n v="189.79"/>
  </r>
  <r>
    <n v="1769"/>
    <d v="2025-10-24T00:00:00"/>
    <x v="0"/>
    <s v="Viernes"/>
    <x v="9"/>
    <x v="3"/>
    <x v="0"/>
    <x v="0"/>
    <x v="0"/>
    <x v="0"/>
    <n v="26000"/>
    <x v="60"/>
    <n v="73.8"/>
    <n v="0"/>
    <n v="31"/>
    <n v="1"/>
    <x v="1"/>
    <n v="129.54"/>
    <n v="0"/>
    <x v="0"/>
    <n v="14.16"/>
    <n v="4.9820000000000002"/>
    <n v="129.54"/>
  </r>
  <r>
    <n v="297"/>
    <d v="2025-10-24T00:00:00"/>
    <x v="0"/>
    <s v="Viernes"/>
    <x v="9"/>
    <x v="3"/>
    <x v="0"/>
    <x v="4"/>
    <x v="4"/>
    <x v="4"/>
    <n v="12500"/>
    <x v="16"/>
    <n v="58.8"/>
    <n v="0"/>
    <n v="12"/>
    <n v="0"/>
    <x v="0"/>
    <n v="23.88"/>
    <n v="0"/>
    <x v="0"/>
    <n v="2.61"/>
    <n v="1.91"/>
    <n v="23.88"/>
  </r>
  <r>
    <n v="665"/>
    <d v="2025-10-24T00:00:00"/>
    <x v="0"/>
    <s v="Viernes"/>
    <x v="9"/>
    <x v="3"/>
    <x v="0"/>
    <x v="5"/>
    <x v="5"/>
    <x v="5"/>
    <n v="8600"/>
    <x v="95"/>
    <n v="80.400000000000006"/>
    <n v="0"/>
    <n v="92"/>
    <n v="1"/>
    <x v="1"/>
    <n v="27.95"/>
    <n v="0"/>
    <x v="0"/>
    <n v="3.14"/>
    <n v="3.25"/>
    <n v="27.95"/>
  </r>
  <r>
    <n v="2137"/>
    <d v="2025-10-24T00:00:00"/>
    <x v="0"/>
    <s v="Viernes"/>
    <x v="9"/>
    <x v="3"/>
    <x v="0"/>
    <x v="3"/>
    <x v="3"/>
    <x v="3"/>
    <n v="9800"/>
    <x v="6"/>
    <n v="79.3"/>
    <n v="0"/>
    <n v="320"/>
    <n v="1"/>
    <x v="1"/>
    <n v="100.51"/>
    <n v="0"/>
    <x v="0"/>
    <n v="10.73"/>
    <n v="10.256"/>
    <n v="100.51"/>
  </r>
  <r>
    <n v="1401"/>
    <d v="2025-10-24T00:00:00"/>
    <x v="0"/>
    <s v="Viernes"/>
    <x v="9"/>
    <x v="3"/>
    <x v="0"/>
    <x v="2"/>
    <x v="2"/>
    <x v="2"/>
    <n v="17400"/>
    <x v="136"/>
    <n v="77.099999999999994"/>
    <n v="0"/>
    <n v="0"/>
    <n v="0"/>
    <x v="0"/>
    <n v="46.34"/>
    <n v="0"/>
    <x v="0"/>
    <n v="5.13"/>
    <n v="2.6629999999999998"/>
    <n v="46.34"/>
  </r>
  <r>
    <n v="666"/>
    <d v="2025-10-24T08:00:00"/>
    <x v="1"/>
    <s v="Viernes"/>
    <x v="9"/>
    <x v="3"/>
    <x v="0"/>
    <x v="5"/>
    <x v="5"/>
    <x v="5"/>
    <n v="8600"/>
    <x v="107"/>
    <n v="83.2"/>
    <n v="73.8"/>
    <n v="842"/>
    <n v="1"/>
    <x v="1"/>
    <n v="118.34"/>
    <n v="5.28"/>
    <x v="1"/>
    <n v="20.22"/>
    <n v="13.76"/>
    <n v="113.06"/>
  </r>
  <r>
    <n v="2138"/>
    <d v="2025-10-24T08:00:00"/>
    <x v="1"/>
    <s v="Viernes"/>
    <x v="9"/>
    <x v="3"/>
    <x v="0"/>
    <x v="3"/>
    <x v="3"/>
    <x v="3"/>
    <n v="9800"/>
    <x v="123"/>
    <n v="77.599999999999994"/>
    <n v="1"/>
    <n v="55"/>
    <n v="1"/>
    <x v="1"/>
    <n v="32.39"/>
    <n v="0"/>
    <x v="1"/>
    <n v="5.54"/>
    <n v="3.3050000000000002"/>
    <n v="32.39"/>
  </r>
  <r>
    <n v="298"/>
    <d v="2025-10-24T08:00:00"/>
    <x v="1"/>
    <s v="Viernes"/>
    <x v="9"/>
    <x v="3"/>
    <x v="0"/>
    <x v="4"/>
    <x v="4"/>
    <x v="4"/>
    <n v="12500"/>
    <x v="90"/>
    <n v="69.5"/>
    <n v="32"/>
    <n v="327"/>
    <n v="1"/>
    <x v="1"/>
    <n v="104.15"/>
    <n v="4.8"/>
    <x v="1"/>
    <n v="17.309999999999999"/>
    <n v="8.3320000000000007"/>
    <n v="99.35"/>
  </r>
  <r>
    <n v="1770"/>
    <d v="2025-10-24T08:00:00"/>
    <x v="1"/>
    <s v="Viernes"/>
    <x v="9"/>
    <x v="3"/>
    <x v="0"/>
    <x v="0"/>
    <x v="0"/>
    <x v="0"/>
    <n v="26000"/>
    <x v="54"/>
    <n v="77.400000000000006"/>
    <n v="37.799999999999997"/>
    <n v="159"/>
    <n v="1"/>
    <x v="1"/>
    <n v="268.5"/>
    <n v="10.41"/>
    <x v="1"/>
    <n v="45.22"/>
    <n v="10.327"/>
    <n v="258.08999999999997"/>
  </r>
  <r>
    <n v="1402"/>
    <d v="2025-10-24T08:00:00"/>
    <x v="1"/>
    <s v="Viernes"/>
    <x v="9"/>
    <x v="3"/>
    <x v="0"/>
    <x v="2"/>
    <x v="2"/>
    <x v="2"/>
    <n v="17400"/>
    <x v="20"/>
    <n v="63.7"/>
    <n v="35.700000000000003"/>
    <n v="15"/>
    <n v="0"/>
    <x v="0"/>
    <n v="51.88"/>
    <n v="4.62"/>
    <x v="1"/>
    <n v="8.5299999999999994"/>
    <n v="2.9820000000000002"/>
    <n v="47.26"/>
  </r>
  <r>
    <n v="1034"/>
    <d v="2025-10-24T08:00:00"/>
    <x v="1"/>
    <s v="Viernes"/>
    <x v="9"/>
    <x v="3"/>
    <x v="0"/>
    <x v="1"/>
    <x v="1"/>
    <x v="1"/>
    <n v="21000"/>
    <x v="43"/>
    <n v="71"/>
    <n v="50.4"/>
    <n v="367"/>
    <n v="1"/>
    <x v="1"/>
    <n v="271.37"/>
    <n v="10.55"/>
    <x v="1"/>
    <n v="47.63"/>
    <n v="12.922000000000001"/>
    <n v="260.82"/>
  </r>
  <r>
    <n v="299"/>
    <d v="2025-10-24T14:00:00"/>
    <x v="2"/>
    <s v="Viernes"/>
    <x v="9"/>
    <x v="3"/>
    <x v="0"/>
    <x v="4"/>
    <x v="4"/>
    <x v="4"/>
    <n v="12500"/>
    <x v="162"/>
    <n v="59.1"/>
    <n v="495.7"/>
    <n v="650"/>
    <n v="0"/>
    <x v="0"/>
    <n v="113.32"/>
    <n v="76.16"/>
    <x v="1"/>
    <n v="6.47"/>
    <n v="9.0660000000000007"/>
    <n v="37.159999999999997"/>
  </r>
  <r>
    <n v="1771"/>
    <d v="2025-10-24T14:00:00"/>
    <x v="2"/>
    <s v="Viernes"/>
    <x v="9"/>
    <x v="3"/>
    <x v="0"/>
    <x v="0"/>
    <x v="0"/>
    <x v="0"/>
    <n v="26000"/>
    <x v="255"/>
    <n v="69.400000000000006"/>
    <n v="496.1"/>
    <n v="160"/>
    <n v="0"/>
    <x v="0"/>
    <n v="141.26"/>
    <n v="140.41999999999999"/>
    <x v="1"/>
    <n v="0.14000000000000001"/>
    <n v="5.4329999999999998"/>
    <n v="0.84"/>
  </r>
  <r>
    <n v="667"/>
    <d v="2025-10-24T14:00:00"/>
    <x v="2"/>
    <s v="Viernes"/>
    <x v="9"/>
    <x v="3"/>
    <x v="0"/>
    <x v="5"/>
    <x v="5"/>
    <x v="5"/>
    <n v="8600"/>
    <x v="152"/>
    <n v="77.400000000000006"/>
    <n v="518.4"/>
    <n v="753"/>
    <n v="0"/>
    <x v="0"/>
    <n v="77.650000000000006"/>
    <n v="40.96"/>
    <x v="1"/>
    <n v="6.36"/>
    <n v="9.0289999999999999"/>
    <n v="36.69"/>
  </r>
  <r>
    <n v="1403"/>
    <d v="2025-10-24T14:00:00"/>
    <x v="2"/>
    <s v="Viernes"/>
    <x v="9"/>
    <x v="3"/>
    <x v="0"/>
    <x v="2"/>
    <x v="2"/>
    <x v="2"/>
    <n v="17400"/>
    <x v="246"/>
    <n v="64.2"/>
    <n v="472.9"/>
    <n v="1301"/>
    <n v="1"/>
    <x v="3"/>
    <n v="208.52"/>
    <n v="63.21"/>
    <x v="1"/>
    <n v="25.31"/>
    <n v="11.984"/>
    <n v="145.31"/>
  </r>
  <r>
    <n v="1035"/>
    <d v="2025-10-24T14:00:00"/>
    <x v="2"/>
    <s v="Viernes"/>
    <x v="9"/>
    <x v="3"/>
    <x v="0"/>
    <x v="1"/>
    <x v="1"/>
    <x v="1"/>
    <n v="21000"/>
    <x v="301"/>
    <n v="57.7"/>
    <n v="602.9"/>
    <n v="397"/>
    <n v="1"/>
    <x v="3"/>
    <n v="225.22"/>
    <n v="120.75"/>
    <x v="1"/>
    <n v="18.100000000000001"/>
    <n v="10.725"/>
    <n v="104.47"/>
  </r>
  <r>
    <n v="2139"/>
    <d v="2025-10-24T14:00:00"/>
    <x v="2"/>
    <s v="Viernes"/>
    <x v="9"/>
    <x v="3"/>
    <x v="0"/>
    <x v="3"/>
    <x v="3"/>
    <x v="3"/>
    <n v="9800"/>
    <x v="254"/>
    <n v="68.599999999999994"/>
    <n v="577.5"/>
    <n v="93"/>
    <n v="1"/>
    <x v="2"/>
    <n v="20.39"/>
    <n v="0"/>
    <x v="1"/>
    <n v="3.6"/>
    <n v="2.081"/>
    <n v="20.39"/>
  </r>
  <r>
    <n v="300"/>
    <d v="2025-10-24T20:00:00"/>
    <x v="3"/>
    <s v="Viernes"/>
    <x v="9"/>
    <x v="3"/>
    <x v="0"/>
    <x v="4"/>
    <x v="4"/>
    <x v="4"/>
    <n v="12500"/>
    <x v="131"/>
    <n v="62"/>
    <n v="0"/>
    <n v="106"/>
    <n v="1"/>
    <x v="2"/>
    <n v="41.77"/>
    <n v="0"/>
    <x v="2"/>
    <n v="11.33"/>
    <n v="3.3420000000000001"/>
    <n v="41.77"/>
  </r>
  <r>
    <n v="1772"/>
    <d v="2025-10-24T20:00:00"/>
    <x v="3"/>
    <s v="Viernes"/>
    <x v="9"/>
    <x v="3"/>
    <x v="0"/>
    <x v="0"/>
    <x v="0"/>
    <x v="0"/>
    <n v="26000"/>
    <x v="37"/>
    <n v="61.5"/>
    <n v="0"/>
    <n v="151"/>
    <n v="1"/>
    <x v="1"/>
    <n v="232.2"/>
    <n v="0"/>
    <x v="2"/>
    <n v="61.23"/>
    <n v="8.9309999999999992"/>
    <n v="232.2"/>
  </r>
  <r>
    <n v="2140"/>
    <d v="2025-10-24T20:00:00"/>
    <x v="3"/>
    <s v="Viernes"/>
    <x v="9"/>
    <x v="3"/>
    <x v="0"/>
    <x v="3"/>
    <x v="3"/>
    <x v="3"/>
    <n v="9800"/>
    <x v="105"/>
    <n v="80.099999999999994"/>
    <n v="0"/>
    <n v="319"/>
    <n v="0"/>
    <x v="0"/>
    <n v="93.95"/>
    <n v="0"/>
    <x v="2"/>
    <n v="24.76"/>
    <n v="9.5869999999999997"/>
    <n v="93.95"/>
  </r>
  <r>
    <n v="1404"/>
    <d v="2025-10-24T20:00:00"/>
    <x v="3"/>
    <s v="Viernes"/>
    <x v="9"/>
    <x v="3"/>
    <x v="0"/>
    <x v="2"/>
    <x v="2"/>
    <x v="2"/>
    <n v="17400"/>
    <x v="184"/>
    <n v="84.9"/>
    <n v="0"/>
    <n v="1381"/>
    <n v="0"/>
    <x v="0"/>
    <n v="280.47000000000003"/>
    <n v="0"/>
    <x v="2"/>
    <n v="73.819999999999993"/>
    <n v="16.119"/>
    <n v="280.47000000000003"/>
  </r>
  <r>
    <n v="668"/>
    <d v="2025-10-24T20:00:00"/>
    <x v="3"/>
    <s v="Viernes"/>
    <x v="9"/>
    <x v="3"/>
    <x v="0"/>
    <x v="5"/>
    <x v="5"/>
    <x v="5"/>
    <n v="8600"/>
    <x v="20"/>
    <n v="98.1"/>
    <n v="0"/>
    <n v="47"/>
    <n v="1"/>
    <x v="1"/>
    <n v="23.65"/>
    <n v="0"/>
    <x v="2"/>
    <n v="6.38"/>
    <n v="2.75"/>
    <n v="23.65"/>
  </r>
  <r>
    <n v="1036"/>
    <d v="2025-10-24T20:00:00"/>
    <x v="3"/>
    <s v="Viernes"/>
    <x v="9"/>
    <x v="3"/>
    <x v="0"/>
    <x v="1"/>
    <x v="1"/>
    <x v="1"/>
    <n v="21000"/>
    <x v="188"/>
    <n v="49.7"/>
    <n v="0"/>
    <n v="398"/>
    <n v="0"/>
    <x v="0"/>
    <n v="269.16000000000003"/>
    <n v="0"/>
    <x v="2"/>
    <n v="71.540000000000006"/>
    <n v="12.817"/>
    <n v="269.16000000000003"/>
  </r>
  <r>
    <n v="301"/>
    <d v="2025-10-28T00:00:00"/>
    <x v="0"/>
    <s v="Martes"/>
    <x v="9"/>
    <x v="3"/>
    <x v="0"/>
    <x v="4"/>
    <x v="4"/>
    <x v="4"/>
    <n v="12500"/>
    <x v="0"/>
    <n v="76.400000000000006"/>
    <n v="0"/>
    <n v="40"/>
    <n v="0"/>
    <x v="0"/>
    <n v="26.41"/>
    <n v="0"/>
    <x v="0"/>
    <n v="2.84"/>
    <n v="2.113"/>
    <n v="26.41"/>
  </r>
  <r>
    <n v="1773"/>
    <d v="2025-10-28T00:00:00"/>
    <x v="0"/>
    <s v="Martes"/>
    <x v="9"/>
    <x v="3"/>
    <x v="0"/>
    <x v="0"/>
    <x v="0"/>
    <x v="0"/>
    <n v="26000"/>
    <x v="117"/>
    <n v="71.3"/>
    <n v="0"/>
    <n v="58"/>
    <n v="1"/>
    <x v="1"/>
    <n v="128.96"/>
    <n v="0"/>
    <x v="0"/>
    <n v="14.69"/>
    <n v="4.96"/>
    <n v="128.96"/>
  </r>
  <r>
    <n v="669"/>
    <d v="2025-10-28T00:00:00"/>
    <x v="0"/>
    <s v="Martes"/>
    <x v="9"/>
    <x v="3"/>
    <x v="0"/>
    <x v="5"/>
    <x v="5"/>
    <x v="5"/>
    <n v="8600"/>
    <x v="95"/>
    <n v="95.7"/>
    <n v="0"/>
    <m/>
    <n v="1"/>
    <x v="1"/>
    <n v="28.94"/>
    <n v="0"/>
    <x v="0"/>
    <n v="3.12"/>
    <n v="3.3650000000000002"/>
    <n v="28.94"/>
  </r>
  <r>
    <n v="2141"/>
    <d v="2025-10-28T00:00:00"/>
    <x v="0"/>
    <s v="Martes"/>
    <x v="9"/>
    <x v="3"/>
    <x v="0"/>
    <x v="3"/>
    <x v="3"/>
    <x v="3"/>
    <n v="9800"/>
    <x v="142"/>
    <n v="79.8"/>
    <n v="0"/>
    <n v="313"/>
    <n v="1"/>
    <x v="1"/>
    <n v="93.14"/>
    <n v="0"/>
    <x v="0"/>
    <n v="10.06"/>
    <n v="9.5039999999999996"/>
    <n v="93.14"/>
  </r>
  <r>
    <n v="1405"/>
    <d v="2025-10-28T00:00:00"/>
    <x v="0"/>
    <s v="Martes"/>
    <x v="9"/>
    <x v="3"/>
    <x v="0"/>
    <x v="2"/>
    <x v="2"/>
    <x v="2"/>
    <n v="17400"/>
    <x v="175"/>
    <n v="84"/>
    <n v="0"/>
    <n v="46"/>
    <n v="0"/>
    <x v="0"/>
    <n v="49.8"/>
    <n v="0"/>
    <x v="0"/>
    <n v="5.35"/>
    <n v="2.8620000000000001"/>
    <n v="49.8"/>
  </r>
  <r>
    <n v="1037"/>
    <d v="2025-10-28T00:00:00"/>
    <x v="0"/>
    <s v="Martes"/>
    <x v="9"/>
    <x v="3"/>
    <x v="0"/>
    <x v="1"/>
    <x v="1"/>
    <x v="1"/>
    <n v="21000"/>
    <x v="146"/>
    <n v="79.599999999999994"/>
    <n v="0"/>
    <n v="263"/>
    <n v="1"/>
    <x v="1"/>
    <n v="186.78"/>
    <n v="0"/>
    <x v="0"/>
    <n v="20.47"/>
    <n v="8.8940000000000001"/>
    <n v="186.78"/>
  </r>
  <r>
    <n v="1038"/>
    <d v="2025-10-28T08:00:00"/>
    <x v="1"/>
    <s v="Martes"/>
    <x v="9"/>
    <x v="3"/>
    <x v="0"/>
    <x v="1"/>
    <x v="1"/>
    <x v="1"/>
    <n v="21000"/>
    <x v="105"/>
    <n v="73.900000000000006"/>
    <n v="35.1"/>
    <n v="416"/>
    <n v="0"/>
    <x v="0"/>
    <n v="273.57"/>
    <n v="7.06"/>
    <x v="1"/>
    <n v="45.92"/>
    <n v="13.026999999999999"/>
    <n v="266.51"/>
  </r>
  <r>
    <n v="1406"/>
    <d v="2025-10-28T08:00:00"/>
    <x v="1"/>
    <s v="Martes"/>
    <x v="9"/>
    <x v="3"/>
    <x v="0"/>
    <x v="2"/>
    <x v="2"/>
    <x v="2"/>
    <n v="17400"/>
    <x v="35"/>
    <n v="82.1"/>
    <n v="22"/>
    <n v="216"/>
    <n v="0"/>
    <x v="0"/>
    <n v="60.57"/>
    <n v="2.76"/>
    <x v="1"/>
    <n v="10.5"/>
    <n v="3.4809999999999999"/>
    <n v="57.81"/>
  </r>
  <r>
    <n v="302"/>
    <d v="2025-10-28T08:00:00"/>
    <x v="1"/>
    <s v="Martes"/>
    <x v="9"/>
    <x v="3"/>
    <x v="0"/>
    <x v="4"/>
    <x v="4"/>
    <x v="4"/>
    <n v="12500"/>
    <x v="31"/>
    <n v="50.8"/>
    <n v="26"/>
    <n v="404"/>
    <n v="1"/>
    <x v="1"/>
    <n v="103.14"/>
    <n v="4.13"/>
    <x v="1"/>
    <n v="17.41"/>
    <n v="8.2509999999999994"/>
    <n v="99.01"/>
  </r>
  <r>
    <n v="670"/>
    <d v="2025-10-28T08:00:00"/>
    <x v="1"/>
    <s v="Martes"/>
    <x v="9"/>
    <x v="3"/>
    <x v="0"/>
    <x v="5"/>
    <x v="5"/>
    <x v="5"/>
    <n v="8600"/>
    <x v="89"/>
    <n v="90.3"/>
    <n v="19.399999999999999"/>
    <m/>
    <n v="1"/>
    <x v="1"/>
    <n v="119.77"/>
    <n v="1.41"/>
    <x v="1"/>
    <n v="20.96"/>
    <n v="13.927"/>
    <n v="118.36"/>
  </r>
  <r>
    <n v="2142"/>
    <d v="2025-10-28T08:00:00"/>
    <x v="1"/>
    <s v="Martes"/>
    <x v="9"/>
    <x v="3"/>
    <x v="0"/>
    <x v="3"/>
    <x v="3"/>
    <x v="3"/>
    <n v="9800"/>
    <x v="52"/>
    <n v="87.3"/>
    <n v="54.2"/>
    <n v="103"/>
    <n v="1"/>
    <x v="1"/>
    <n v="35.57"/>
    <n v="0"/>
    <x v="1"/>
    <n v="6.3"/>
    <n v="3.63"/>
    <n v="35.57"/>
  </r>
  <r>
    <n v="1774"/>
    <d v="2025-10-28T08:00:00"/>
    <x v="1"/>
    <s v="Martes"/>
    <x v="9"/>
    <x v="3"/>
    <x v="0"/>
    <x v="0"/>
    <x v="0"/>
    <x v="0"/>
    <n v="26000"/>
    <x v="89"/>
    <n v="71.900000000000006"/>
    <n v="19.399999999999999"/>
    <n v="158"/>
    <n v="1"/>
    <x v="1"/>
    <n v="250.53"/>
    <n v="5.2"/>
    <x v="1"/>
    <n v="42.1"/>
    <n v="9.6359999999999992"/>
    <n v="245.33"/>
  </r>
  <r>
    <n v="671"/>
    <d v="2025-10-28T14:00:00"/>
    <x v="2"/>
    <s v="Martes"/>
    <x v="9"/>
    <x v="3"/>
    <x v="0"/>
    <x v="5"/>
    <x v="5"/>
    <x v="5"/>
    <n v="8600"/>
    <x v="170"/>
    <n v="76.2"/>
    <n v="448.5"/>
    <n v="866"/>
    <n v="0"/>
    <x v="0"/>
    <n v="86.62"/>
    <n v="35.65"/>
    <x v="1"/>
    <n v="8.83"/>
    <n v="10.071999999999999"/>
    <n v="50.97"/>
  </r>
  <r>
    <n v="303"/>
    <d v="2025-10-28T14:00:00"/>
    <x v="2"/>
    <s v="Martes"/>
    <x v="9"/>
    <x v="3"/>
    <x v="0"/>
    <x v="4"/>
    <x v="4"/>
    <x v="4"/>
    <n v="12500"/>
    <x v="130"/>
    <n v="59.6"/>
    <n v="568.1"/>
    <n v="566"/>
    <n v="0"/>
    <x v="0"/>
    <n v="101.67"/>
    <n v="86.02"/>
    <x v="1"/>
    <m/>
    <n v="8.1340000000000003"/>
    <n v="15.65"/>
  </r>
  <r>
    <n v="2143"/>
    <d v="2025-10-28T14:00:00"/>
    <x v="2"/>
    <s v="Martes"/>
    <x v="9"/>
    <x v="3"/>
    <x v="0"/>
    <x v="3"/>
    <x v="3"/>
    <x v="3"/>
    <n v="9800"/>
    <x v="180"/>
    <n v="73.2"/>
    <n v="555.9"/>
    <n v="84"/>
    <n v="0"/>
    <x v="0"/>
    <n v="20.99"/>
    <n v="0"/>
    <x v="1"/>
    <n v="3.6"/>
    <n v="2.1419999999999999"/>
    <n v="20.99"/>
  </r>
  <r>
    <n v="1407"/>
    <d v="2025-10-28T14:00:00"/>
    <x v="2"/>
    <s v="Martes"/>
    <x v="9"/>
    <x v="3"/>
    <x v="0"/>
    <x v="2"/>
    <x v="2"/>
    <x v="2"/>
    <n v="17400"/>
    <x v="210"/>
    <n v="67.400000000000006"/>
    <m/>
    <n v="1471"/>
    <n v="0"/>
    <x v="0"/>
    <n v="199.79"/>
    <n v="73.7"/>
    <x v="1"/>
    <n v="21.98"/>
    <n v="11.481999999999999"/>
    <n v="126.09"/>
  </r>
  <r>
    <n v="1039"/>
    <d v="2025-10-28T14:00:00"/>
    <x v="2"/>
    <s v="Martes"/>
    <x v="9"/>
    <x v="3"/>
    <x v="0"/>
    <x v="1"/>
    <x v="1"/>
    <x v="1"/>
    <n v="21000"/>
    <x v="231"/>
    <n v="54.3"/>
    <n v="611.20000000000005"/>
    <n v="452"/>
    <n v="1"/>
    <x v="3"/>
    <n v="215.02"/>
    <n v="121.54"/>
    <x v="1"/>
    <n v="16.77"/>
    <n v="10.239000000000001"/>
    <n v="93.48"/>
  </r>
  <r>
    <n v="1775"/>
    <d v="2025-10-28T14:00:00"/>
    <x v="2"/>
    <s v="Martes"/>
    <x v="9"/>
    <x v="3"/>
    <x v="0"/>
    <x v="0"/>
    <x v="0"/>
    <x v="0"/>
    <n v="26000"/>
    <x v="178"/>
    <n v="73.5"/>
    <n v="433.6"/>
    <n v="173"/>
    <n v="0"/>
    <x v="0"/>
    <n v="156.66999999999999"/>
    <n v="120.09"/>
    <x v="1"/>
    <n v="6.29"/>
    <n v="6.0259999999999998"/>
    <n v="36.58"/>
  </r>
  <r>
    <n v="1408"/>
    <d v="2025-10-28T20:00:00"/>
    <x v="3"/>
    <s v="Martes"/>
    <x v="9"/>
    <x v="3"/>
    <x v="0"/>
    <x v="2"/>
    <x v="2"/>
    <x v="2"/>
    <n v="17400"/>
    <x v="70"/>
    <m/>
    <n v="0"/>
    <n v="1329"/>
    <n v="0"/>
    <x v="0"/>
    <n v="259.70999999999998"/>
    <n v="0"/>
    <x v="2"/>
    <n v="67.37"/>
    <n v="14.926"/>
    <n v="259.70999999999998"/>
  </r>
  <r>
    <n v="1040"/>
    <d v="2025-10-28T20:00:00"/>
    <x v="3"/>
    <s v="Martes"/>
    <x v="9"/>
    <x v="3"/>
    <x v="0"/>
    <x v="1"/>
    <x v="1"/>
    <x v="1"/>
    <n v="21000"/>
    <x v="281"/>
    <n v="53.6"/>
    <n v="0"/>
    <n v="443"/>
    <n v="1"/>
    <x v="2"/>
    <n v="297.72000000000003"/>
    <n v="0"/>
    <x v="2"/>
    <n v="83.54"/>
    <n v="14.177"/>
    <n v="297.72000000000003"/>
  </r>
  <r>
    <n v="304"/>
    <d v="2025-10-28T20:00:00"/>
    <x v="3"/>
    <s v="Martes"/>
    <x v="9"/>
    <x v="3"/>
    <x v="0"/>
    <x v="4"/>
    <x v="4"/>
    <x v="4"/>
    <n v="12500"/>
    <x v="140"/>
    <n v="77.900000000000006"/>
    <n v="0"/>
    <n v="112"/>
    <n v="1"/>
    <x v="1"/>
    <n v="43.54"/>
    <n v="0"/>
    <x v="2"/>
    <n v="11.83"/>
    <n v="3.4830000000000001"/>
    <n v="43.54"/>
  </r>
  <r>
    <n v="2144"/>
    <d v="2025-10-28T20:00:00"/>
    <x v="3"/>
    <s v="Martes"/>
    <x v="9"/>
    <x v="3"/>
    <x v="0"/>
    <x v="3"/>
    <x v="3"/>
    <x v="3"/>
    <n v="9800"/>
    <x v="161"/>
    <n v="73.8"/>
    <n v="0"/>
    <n v="296"/>
    <n v="1"/>
    <x v="2"/>
    <n v="101.11"/>
    <n v="0"/>
    <x v="2"/>
    <n v="26.18"/>
    <n v="10.317"/>
    <n v="101.11"/>
  </r>
  <r>
    <n v="672"/>
    <d v="2025-10-28T20:00:00"/>
    <x v="3"/>
    <s v="Martes"/>
    <x v="9"/>
    <x v="3"/>
    <x v="0"/>
    <x v="5"/>
    <x v="5"/>
    <x v="5"/>
    <n v="8600"/>
    <x v="55"/>
    <n v="87.4"/>
    <n v="0"/>
    <n v="0"/>
    <n v="1"/>
    <x v="2"/>
    <n v="17.89"/>
    <n v="0"/>
    <x v="2"/>
    <n v="4.88"/>
    <n v="2.08"/>
    <n v="17.89"/>
  </r>
  <r>
    <n v="1776"/>
    <d v="2025-10-28T20:00:00"/>
    <x v="3"/>
    <s v="Martes"/>
    <x v="9"/>
    <x v="3"/>
    <x v="0"/>
    <x v="0"/>
    <x v="0"/>
    <x v="0"/>
    <n v="26000"/>
    <x v="107"/>
    <n v="67.3"/>
    <n v="0"/>
    <n v="177"/>
    <n v="1"/>
    <x v="1"/>
    <n v="252.3"/>
    <n v="0"/>
    <x v="2"/>
    <n v="67.94"/>
    <n v="9.7040000000000006"/>
    <n v="252.3"/>
  </r>
  <r>
    <n v="1041"/>
    <d v="2025-11-01T00:00:00"/>
    <x v="0"/>
    <s v="Sabado"/>
    <x v="10"/>
    <x v="3"/>
    <x v="1"/>
    <x v="1"/>
    <x v="1"/>
    <x v="1"/>
    <n v="21000"/>
    <x v="24"/>
    <n v="62.9"/>
    <n v="0"/>
    <n v="227"/>
    <n v="1"/>
    <x v="1"/>
    <n v="183.55"/>
    <n v="0"/>
    <x v="0"/>
    <n v="20.56"/>
    <n v="8.74"/>
    <n v="183.55"/>
  </r>
  <r>
    <n v="305"/>
    <d v="2025-11-01T00:00:00"/>
    <x v="0"/>
    <s v="Sabado"/>
    <x v="10"/>
    <x v="3"/>
    <x v="1"/>
    <x v="4"/>
    <x v="4"/>
    <x v="4"/>
    <n v="12500"/>
    <x v="332"/>
    <n v="57.1"/>
    <n v="0"/>
    <n v="32"/>
    <n v="0"/>
    <x v="0"/>
    <n v="26.06"/>
    <n v="0"/>
    <x v="0"/>
    <n v="2.74"/>
    <n v="2.085"/>
    <n v="26.06"/>
  </r>
  <r>
    <n v="1409"/>
    <d v="2025-11-01T00:00:00"/>
    <x v="0"/>
    <s v="Sabado"/>
    <x v="10"/>
    <x v="3"/>
    <x v="1"/>
    <x v="2"/>
    <x v="2"/>
    <x v="2"/>
    <n v="17400"/>
    <x v="65"/>
    <n v="72.599999999999994"/>
    <n v="0"/>
    <n v="135"/>
    <n v="1"/>
    <x v="1"/>
    <n v="71.59"/>
    <n v="0"/>
    <x v="0"/>
    <n v="8.1"/>
    <n v="4.1139999999999999"/>
    <n v="71.59"/>
  </r>
  <r>
    <n v="2145"/>
    <d v="2025-11-01T00:00:00"/>
    <x v="0"/>
    <s v="Sabado"/>
    <x v="10"/>
    <x v="3"/>
    <x v="1"/>
    <x v="3"/>
    <x v="3"/>
    <x v="3"/>
    <n v="9800"/>
    <x v="32"/>
    <n v="88.3"/>
    <n v="0"/>
    <n v="308"/>
    <n v="1"/>
    <x v="1"/>
    <n v="95.27"/>
    <n v="0"/>
    <x v="0"/>
    <n v="10.75"/>
    <n v="9.7210000000000001"/>
    <n v="95.27"/>
  </r>
  <r>
    <n v="673"/>
    <d v="2025-11-01T00:00:00"/>
    <x v="0"/>
    <s v="Sabado"/>
    <x v="10"/>
    <x v="3"/>
    <x v="1"/>
    <x v="5"/>
    <x v="5"/>
    <x v="5"/>
    <n v="8600"/>
    <x v="154"/>
    <n v="97.3"/>
    <n v="0"/>
    <n v="34"/>
    <n v="0"/>
    <x v="0"/>
    <n v="14.81"/>
    <n v="0"/>
    <x v="0"/>
    <n v="1.66"/>
    <n v="1.722"/>
    <n v="14.81"/>
  </r>
  <r>
    <n v="1777"/>
    <d v="2025-11-01T00:00:00"/>
    <x v="0"/>
    <s v="Sabado"/>
    <x v="10"/>
    <x v="3"/>
    <x v="1"/>
    <x v="0"/>
    <x v="0"/>
    <x v="0"/>
    <n v="26000"/>
    <x v="48"/>
    <n v="67.2"/>
    <n v="0"/>
    <n v="0"/>
    <n v="0"/>
    <x v="0"/>
    <n v="49.12"/>
    <n v="0"/>
    <x v="0"/>
    <n v="5.1100000000000003"/>
    <n v="1.889"/>
    <n v="49.12"/>
  </r>
  <r>
    <n v="1410"/>
    <d v="2025-11-01T08:00:00"/>
    <x v="1"/>
    <s v="Sabado"/>
    <x v="10"/>
    <x v="3"/>
    <x v="1"/>
    <x v="2"/>
    <x v="2"/>
    <x v="2"/>
    <n v="17400"/>
    <x v="36"/>
    <n v="82.1"/>
    <n v="66.8"/>
    <m/>
    <n v="1"/>
    <x v="1"/>
    <m/>
    <n v="8.59"/>
    <x v="0"/>
    <n v="4.62"/>
    <m/>
    <m/>
  </r>
  <r>
    <n v="1778"/>
    <d v="2025-11-01T08:00:00"/>
    <x v="1"/>
    <s v="Sabado"/>
    <x v="10"/>
    <x v="3"/>
    <x v="1"/>
    <x v="0"/>
    <x v="0"/>
    <x v="0"/>
    <n v="26000"/>
    <x v="175"/>
    <n v="72.8"/>
    <n v="44.7"/>
    <n v="15"/>
    <n v="0"/>
    <x v="0"/>
    <n v="48.86"/>
    <n v="11.19"/>
    <x v="0"/>
    <n v="4.26"/>
    <n v="1.879"/>
    <n v="37.67"/>
  </r>
  <r>
    <n v="1042"/>
    <d v="2025-11-01T08:00:00"/>
    <x v="1"/>
    <s v="Sabado"/>
    <x v="10"/>
    <x v="3"/>
    <x v="1"/>
    <x v="1"/>
    <x v="1"/>
    <x v="1"/>
    <n v="21000"/>
    <x v="117"/>
    <n v="75.400000000000006"/>
    <n v="28.1"/>
    <n v="401"/>
    <n v="1"/>
    <x v="1"/>
    <n v="283.91000000000003"/>
    <n v="5.38"/>
    <x v="0"/>
    <n v="30.14"/>
    <n v="13.52"/>
    <n v="278.52999999999997"/>
  </r>
  <r>
    <n v="306"/>
    <d v="2025-11-01T08:00:00"/>
    <x v="1"/>
    <s v="Sabado"/>
    <x v="10"/>
    <x v="3"/>
    <x v="1"/>
    <x v="4"/>
    <x v="4"/>
    <x v="4"/>
    <n v="12500"/>
    <x v="151"/>
    <n v="54.6"/>
    <n v="38.1"/>
    <n v="30"/>
    <n v="0"/>
    <x v="0"/>
    <n v="24.82"/>
    <n v="6.06"/>
    <x v="0"/>
    <n v="2.13"/>
    <n v="1.986"/>
    <n v="18.760000000000002"/>
  </r>
  <r>
    <n v="2146"/>
    <d v="2025-11-01T08:00:00"/>
    <x v="1"/>
    <s v="Sabado"/>
    <x v="10"/>
    <x v="3"/>
    <x v="1"/>
    <x v="3"/>
    <x v="3"/>
    <x v="3"/>
    <n v="9800"/>
    <x v="55"/>
    <n v="95.3"/>
    <n v="0"/>
    <n v="154"/>
    <n v="1"/>
    <x v="2"/>
    <n v="48.28"/>
    <n v="0"/>
    <x v="0"/>
    <n v="5.22"/>
    <n v="4.9269999999999996"/>
    <n v="48.28"/>
  </r>
  <r>
    <n v="674"/>
    <d v="2025-11-01T08:00:00"/>
    <x v="1"/>
    <s v="Sabado"/>
    <x v="10"/>
    <x v="3"/>
    <x v="1"/>
    <x v="5"/>
    <x v="5"/>
    <x v="5"/>
    <n v="8600"/>
    <x v="175"/>
    <n v="93.4"/>
    <n v="0"/>
    <n v="14"/>
    <n v="0"/>
    <x v="0"/>
    <n v="13.37"/>
    <n v="0"/>
    <x v="0"/>
    <n v="1.47"/>
    <n v="1.5549999999999999"/>
    <n v="13.37"/>
  </r>
  <r>
    <n v="1043"/>
    <d v="2025-11-01T14:00:00"/>
    <x v="2"/>
    <s v="Sabado"/>
    <x v="10"/>
    <x v="3"/>
    <x v="1"/>
    <x v="1"/>
    <x v="1"/>
    <x v="1"/>
    <n v="21000"/>
    <x v="193"/>
    <n v="63.3"/>
    <n v="453.9"/>
    <n v="392"/>
    <n v="0"/>
    <x v="0"/>
    <n v="189.17"/>
    <n v="93.5"/>
    <x v="0"/>
    <n v="10.7"/>
    <n v="9.0079999999999991"/>
    <n v="95.67"/>
  </r>
  <r>
    <n v="1411"/>
    <d v="2025-11-01T14:00:00"/>
    <x v="2"/>
    <s v="Sabado"/>
    <x v="10"/>
    <x v="3"/>
    <x v="1"/>
    <x v="2"/>
    <x v="2"/>
    <x v="2"/>
    <n v="17400"/>
    <x v="43"/>
    <n v="65.7"/>
    <n v="555.4"/>
    <n v="1530"/>
    <n v="0"/>
    <x v="0"/>
    <n v="217.4"/>
    <n v="67.37"/>
    <x v="0"/>
    <n v="16.47"/>
    <n v="12.494"/>
    <n v="150.03"/>
  </r>
  <r>
    <n v="307"/>
    <d v="2025-11-01T14:00:00"/>
    <x v="2"/>
    <s v="Sabado"/>
    <x v="10"/>
    <x v="3"/>
    <x v="1"/>
    <x v="4"/>
    <x v="4"/>
    <x v="4"/>
    <n v="12500"/>
    <x v="171"/>
    <n v="56.8"/>
    <n v="583.70000000000005"/>
    <n v="4"/>
    <n v="0"/>
    <x v="0"/>
    <n v="15.72"/>
    <n v="88.37"/>
    <x v="0"/>
    <n v="-3.3"/>
    <n v="1.258"/>
    <n v="0"/>
  </r>
  <r>
    <n v="675"/>
    <d v="2025-11-01T14:00:00"/>
    <x v="2"/>
    <s v="Sabado"/>
    <x v="10"/>
    <x v="3"/>
    <x v="1"/>
    <x v="5"/>
    <x v="5"/>
    <x v="5"/>
    <n v="8600"/>
    <x v="53"/>
    <n v="76.7"/>
    <m/>
    <n v="6"/>
    <n v="0"/>
    <x v="0"/>
    <n v="8.08"/>
    <n v="37.9"/>
    <x v="0"/>
    <n v="-1.39"/>
    <n v="0.94"/>
    <n v="0"/>
  </r>
  <r>
    <n v="1779"/>
    <d v="2025-11-01T14:00:00"/>
    <x v="2"/>
    <s v="Sabado"/>
    <x v="10"/>
    <x v="3"/>
    <x v="1"/>
    <x v="0"/>
    <x v="0"/>
    <x v="0"/>
    <n v="26000"/>
    <x v="131"/>
    <n v="67.099999999999994"/>
    <n v="583.1"/>
    <n v="3"/>
    <n v="0"/>
    <x v="0"/>
    <n v="31"/>
    <n v="159.51"/>
    <x v="0"/>
    <n v="-5.53"/>
    <n v="1.1919999999999999"/>
    <n v="0"/>
  </r>
  <r>
    <n v="2147"/>
    <d v="2025-11-01T14:00:00"/>
    <x v="2"/>
    <s v="Sabado"/>
    <x v="10"/>
    <x v="3"/>
    <x v="1"/>
    <x v="3"/>
    <x v="3"/>
    <x v="3"/>
    <n v="9800"/>
    <x v="221"/>
    <n v="85.6"/>
    <n v="233.3"/>
    <n v="101"/>
    <n v="0"/>
    <x v="0"/>
    <n v="25.62"/>
    <n v="0"/>
    <x v="0"/>
    <n v="2.78"/>
    <n v="2.6139999999999999"/>
    <n v="25.62"/>
  </r>
  <r>
    <n v="1044"/>
    <d v="2025-11-01T20:00:00"/>
    <x v="3"/>
    <s v="Sabado"/>
    <x v="10"/>
    <x v="3"/>
    <x v="1"/>
    <x v="1"/>
    <x v="1"/>
    <x v="1"/>
    <n v="21000"/>
    <x v="139"/>
    <n v="69.2"/>
    <n v="0"/>
    <n v="385"/>
    <n v="0"/>
    <x v="0"/>
    <n v="275.61"/>
    <n v="0"/>
    <x v="0"/>
    <n v="30.59"/>
    <n v="13.124000000000001"/>
    <n v="275.61"/>
  </r>
  <r>
    <n v="1412"/>
    <d v="2025-11-01T20:00:00"/>
    <x v="3"/>
    <s v="Sabado"/>
    <x v="10"/>
    <x v="3"/>
    <x v="1"/>
    <x v="2"/>
    <x v="2"/>
    <x v="2"/>
    <n v="17400"/>
    <x v="179"/>
    <n v="85"/>
    <n v="0"/>
    <n v="1620"/>
    <n v="0"/>
    <x v="0"/>
    <m/>
    <n v="0"/>
    <x v="0"/>
    <n v="37.03"/>
    <m/>
    <m/>
  </r>
  <r>
    <n v="308"/>
    <d v="2025-11-01T20:00:00"/>
    <x v="3"/>
    <s v="Sabado"/>
    <x v="10"/>
    <x v="3"/>
    <x v="1"/>
    <x v="4"/>
    <x v="4"/>
    <x v="4"/>
    <n v="12500"/>
    <x v="6"/>
    <n v="61.8"/>
    <n v="0"/>
    <n v="24"/>
    <n v="0"/>
    <x v="0"/>
    <n v="26.93"/>
    <n v="0"/>
    <x v="0"/>
    <n v="2.89"/>
    <n v="2.1539999999999999"/>
    <n v="26.93"/>
  </r>
  <r>
    <n v="676"/>
    <d v="2025-11-01T20:00:00"/>
    <x v="3"/>
    <s v="Sabado"/>
    <x v="10"/>
    <x v="3"/>
    <x v="1"/>
    <x v="5"/>
    <x v="5"/>
    <x v="5"/>
    <n v="8600"/>
    <x v="179"/>
    <m/>
    <n v="0"/>
    <n v="0"/>
    <n v="0"/>
    <x v="0"/>
    <n v="12.67"/>
    <n v="0"/>
    <x v="0"/>
    <n v="1.4"/>
    <n v="1.4730000000000001"/>
    <n v="12.67"/>
  </r>
  <r>
    <n v="1780"/>
    <d v="2025-11-01T20:00:00"/>
    <x v="3"/>
    <s v="Sabado"/>
    <x v="10"/>
    <x v="3"/>
    <x v="1"/>
    <x v="0"/>
    <x v="0"/>
    <x v="0"/>
    <n v="26000"/>
    <x v="143"/>
    <n v="73.8"/>
    <n v="0"/>
    <n v="0"/>
    <n v="0"/>
    <x v="0"/>
    <n v="49.39"/>
    <n v="0"/>
    <x v="0"/>
    <n v="5.38"/>
    <n v="1.9"/>
    <n v="49.39"/>
  </r>
  <r>
    <n v="2148"/>
    <d v="2025-11-01T20:00:00"/>
    <x v="3"/>
    <s v="Sabado"/>
    <x v="10"/>
    <x v="3"/>
    <x v="1"/>
    <x v="3"/>
    <x v="3"/>
    <x v="3"/>
    <n v="9800"/>
    <x v="71"/>
    <n v="77.900000000000006"/>
    <n v="0"/>
    <n v="313"/>
    <n v="0"/>
    <x v="0"/>
    <n v="95.22"/>
    <n v="0"/>
    <x v="0"/>
    <n v="10.4"/>
    <n v="9.7159999999999993"/>
    <n v="95.22"/>
  </r>
  <r>
    <n v="309"/>
    <d v="2025-11-05T00:00:00"/>
    <x v="0"/>
    <s v="Miercoles"/>
    <x v="10"/>
    <x v="3"/>
    <x v="0"/>
    <x v="4"/>
    <x v="4"/>
    <x v="4"/>
    <n v="12500"/>
    <x v="125"/>
    <n v="75.900000000000006"/>
    <n v="0"/>
    <n v="53"/>
    <n v="0"/>
    <x v="0"/>
    <n v="25.67"/>
    <n v="0"/>
    <x v="0"/>
    <n v="2.78"/>
    <n v="2.0539999999999998"/>
    <n v="25.67"/>
  </r>
  <r>
    <n v="1413"/>
    <d v="2025-11-05T00:00:00"/>
    <x v="0"/>
    <s v="Miercoles"/>
    <x v="10"/>
    <x v="3"/>
    <x v="0"/>
    <x v="2"/>
    <x v="2"/>
    <x v="2"/>
    <n v="17400"/>
    <x v="78"/>
    <n v="76.900000000000006"/>
    <n v="0"/>
    <n v="201"/>
    <n v="0"/>
    <x v="0"/>
    <n v="57.23"/>
    <n v="0"/>
    <x v="0"/>
    <n v="6.24"/>
    <n v="3.2890000000000001"/>
    <n v="57.23"/>
  </r>
  <r>
    <n v="2149"/>
    <d v="2025-11-05T00:00:00"/>
    <x v="0"/>
    <s v="Miercoles"/>
    <x v="10"/>
    <x v="3"/>
    <x v="0"/>
    <x v="3"/>
    <x v="3"/>
    <x v="3"/>
    <n v="9800"/>
    <x v="142"/>
    <n v="89.5"/>
    <n v="0"/>
    <n v="277"/>
    <n v="1"/>
    <x v="1"/>
    <n v="92.63"/>
    <n v="0"/>
    <x v="0"/>
    <n v="10.119999999999999"/>
    <n v="9.452"/>
    <n v="92.63"/>
  </r>
  <r>
    <n v="677"/>
    <d v="2025-11-05T00:00:00"/>
    <x v="0"/>
    <s v="Miercoles"/>
    <x v="10"/>
    <x v="3"/>
    <x v="0"/>
    <x v="5"/>
    <x v="5"/>
    <x v="5"/>
    <n v="8600"/>
    <x v="33"/>
    <n v="90.7"/>
    <n v="0"/>
    <n v="52"/>
    <n v="1"/>
    <x v="1"/>
    <n v="23.55"/>
    <n v="0"/>
    <x v="0"/>
    <n v="2.61"/>
    <n v="2.738"/>
    <n v="23.55"/>
  </r>
  <r>
    <n v="1045"/>
    <d v="2025-11-05T00:00:00"/>
    <x v="0"/>
    <s v="Miercoles"/>
    <x v="10"/>
    <x v="3"/>
    <x v="0"/>
    <x v="1"/>
    <x v="1"/>
    <x v="1"/>
    <n v="21000"/>
    <x v="79"/>
    <n v="72.099999999999994"/>
    <n v="0"/>
    <n v="147"/>
    <n v="1"/>
    <x v="1"/>
    <n v="181.63"/>
    <n v="0"/>
    <x v="0"/>
    <n v="19.2"/>
    <n v="8.6489999999999991"/>
    <n v="181.63"/>
  </r>
  <r>
    <n v="1781"/>
    <d v="2025-11-05T00:00:00"/>
    <x v="0"/>
    <s v="Miercoles"/>
    <x v="10"/>
    <x v="3"/>
    <x v="0"/>
    <x v="0"/>
    <x v="0"/>
    <x v="0"/>
    <n v="26000"/>
    <x v="58"/>
    <n v="72.900000000000006"/>
    <n v="0"/>
    <n v="54"/>
    <n v="1"/>
    <x v="1"/>
    <n v="127.43"/>
    <n v="0"/>
    <x v="0"/>
    <n v="13.49"/>
    <n v="4.9009999999999998"/>
    <n v="127.43"/>
  </r>
  <r>
    <n v="2150"/>
    <d v="2025-11-05T08:00:00"/>
    <x v="1"/>
    <s v="Miercoles"/>
    <x v="10"/>
    <x v="3"/>
    <x v="0"/>
    <x v="3"/>
    <x v="3"/>
    <x v="3"/>
    <n v="9800"/>
    <x v="172"/>
    <n v="74"/>
    <n v="23.7"/>
    <n v="44"/>
    <n v="1"/>
    <x v="1"/>
    <n v="30.49"/>
    <n v="0"/>
    <x v="1"/>
    <n v="5.38"/>
    <n v="3.1110000000000002"/>
    <n v="30.49"/>
  </r>
  <r>
    <n v="1414"/>
    <d v="2025-11-05T08:00:00"/>
    <x v="1"/>
    <s v="Miercoles"/>
    <x v="10"/>
    <x v="3"/>
    <x v="0"/>
    <x v="2"/>
    <x v="2"/>
    <x v="2"/>
    <n v="17400"/>
    <x v="175"/>
    <n v="72.5"/>
    <n v="1.1000000000000001"/>
    <n v="121"/>
    <n v="0"/>
    <x v="0"/>
    <n v="53.12"/>
    <n v="0.15"/>
    <x v="1"/>
    <n v="9.09"/>
    <n v="3.0529999999999999"/>
    <n v="52.97"/>
  </r>
  <r>
    <n v="1046"/>
    <d v="2025-11-05T08:00:00"/>
    <x v="1"/>
    <s v="Miercoles"/>
    <x v="10"/>
    <x v="3"/>
    <x v="0"/>
    <x v="1"/>
    <x v="1"/>
    <x v="1"/>
    <n v="21000"/>
    <x v="43"/>
    <n v="80.099999999999994"/>
    <n v="0"/>
    <n v="363"/>
    <n v="1"/>
    <x v="1"/>
    <n v="264.79000000000002"/>
    <n v="0"/>
    <x v="1"/>
    <n v="45.99"/>
    <n v="12.609"/>
    <n v="264.79000000000002"/>
  </r>
  <r>
    <n v="678"/>
    <d v="2025-11-05T08:00:00"/>
    <x v="1"/>
    <s v="Miercoles"/>
    <x v="10"/>
    <x v="3"/>
    <x v="0"/>
    <x v="5"/>
    <x v="5"/>
    <x v="5"/>
    <n v="8600"/>
    <x v="6"/>
    <n v="77.5"/>
    <n v="0"/>
    <n v="872"/>
    <n v="1"/>
    <x v="1"/>
    <n v="125.79"/>
    <n v="0"/>
    <x v="1"/>
    <n v="22.43"/>
    <n v="14.627000000000001"/>
    <n v="125.79"/>
  </r>
  <r>
    <n v="1782"/>
    <d v="2025-11-05T08:00:00"/>
    <x v="1"/>
    <s v="Miercoles"/>
    <x v="10"/>
    <x v="3"/>
    <x v="0"/>
    <x v="0"/>
    <x v="0"/>
    <x v="0"/>
    <n v="26000"/>
    <x v="117"/>
    <n v="68.599999999999994"/>
    <n v="28.7"/>
    <n v="158"/>
    <n v="1"/>
    <x v="1"/>
    <n v="241.35"/>
    <n v="7.51"/>
    <x v="1"/>
    <n v="39.64"/>
    <n v="9.2829999999999995"/>
    <n v="233.84"/>
  </r>
  <r>
    <n v="310"/>
    <d v="2025-11-05T08:00:00"/>
    <x v="1"/>
    <s v="Miercoles"/>
    <x v="10"/>
    <x v="3"/>
    <x v="0"/>
    <x v="4"/>
    <x v="4"/>
    <x v="4"/>
    <n v="12500"/>
    <x v="333"/>
    <n v="72.400000000000006"/>
    <n v="7.4"/>
    <n v="337"/>
    <n v="1"/>
    <x v="1"/>
    <n v="100.78"/>
    <n v="1.1499999999999999"/>
    <x v="1"/>
    <n v="17.809999999999999"/>
    <n v="8.0619999999999994"/>
    <n v="99.63"/>
  </r>
  <r>
    <n v="679"/>
    <d v="2025-11-05T14:00:00"/>
    <x v="2"/>
    <s v="Miercoles"/>
    <x v="10"/>
    <x v="3"/>
    <x v="0"/>
    <x v="5"/>
    <x v="5"/>
    <x v="5"/>
    <n v="8600"/>
    <x v="43"/>
    <n v="90.5"/>
    <n v="454.6"/>
    <n v="825"/>
    <n v="1"/>
    <x v="1"/>
    <n v="83.72"/>
    <n v="34.409999999999997"/>
    <x v="1"/>
    <n v="8.58"/>
    <n v="9.7349999999999994"/>
    <n v="49.31"/>
  </r>
  <r>
    <n v="311"/>
    <d v="2025-11-05T14:00:00"/>
    <x v="2"/>
    <s v="Miercoles"/>
    <x v="10"/>
    <x v="3"/>
    <x v="0"/>
    <x v="4"/>
    <x v="4"/>
    <x v="4"/>
    <n v="12500"/>
    <x v="55"/>
    <n v="68.3"/>
    <n v="457.1"/>
    <n v="591"/>
    <n v="1"/>
    <x v="2"/>
    <n v="104.68"/>
    <n v="70.16"/>
    <x v="1"/>
    <n v="6.07"/>
    <n v="8.3740000000000006"/>
    <n v="34.520000000000003"/>
  </r>
  <r>
    <n v="2151"/>
    <d v="2025-11-05T14:00:00"/>
    <x v="2"/>
    <s v="Miercoles"/>
    <x v="10"/>
    <x v="3"/>
    <x v="0"/>
    <x v="3"/>
    <x v="3"/>
    <x v="3"/>
    <n v="9800"/>
    <x v="165"/>
    <n v="89"/>
    <n v="453.7"/>
    <n v="55"/>
    <n v="0"/>
    <x v="0"/>
    <n v="17.98"/>
    <n v="0"/>
    <x v="1"/>
    <n v="3.17"/>
    <n v="1.835"/>
    <n v="17.98"/>
  </r>
  <r>
    <n v="1783"/>
    <d v="2025-11-05T14:00:00"/>
    <x v="2"/>
    <s v="Miercoles"/>
    <x v="10"/>
    <x v="3"/>
    <x v="0"/>
    <x v="0"/>
    <x v="0"/>
    <x v="0"/>
    <n v="26000"/>
    <x v="266"/>
    <n v="48.9"/>
    <n v="550.5"/>
    <n v="169"/>
    <n v="0"/>
    <x v="0"/>
    <n v="154.16999999999999"/>
    <n v="138.09"/>
    <x v="1"/>
    <n v="2.78"/>
    <n v="5.93"/>
    <n v="16.079999999999998"/>
  </r>
  <r>
    <n v="1047"/>
    <d v="2025-11-05T14:00:00"/>
    <x v="2"/>
    <s v="Miercoles"/>
    <x v="10"/>
    <x v="3"/>
    <x v="0"/>
    <x v="1"/>
    <x v="1"/>
    <x v="1"/>
    <n v="21000"/>
    <x v="191"/>
    <n v="56.4"/>
    <n v="619.6"/>
    <n v="402"/>
    <n v="1"/>
    <x v="2"/>
    <n v="201.74"/>
    <n v="118.79"/>
    <x v="1"/>
    <n v="14.38"/>
    <n v="9.6069999999999993"/>
    <n v="82.95"/>
  </r>
  <r>
    <n v="1415"/>
    <d v="2025-11-05T14:00:00"/>
    <x v="2"/>
    <s v="Miercoles"/>
    <x v="10"/>
    <x v="3"/>
    <x v="0"/>
    <x v="2"/>
    <x v="2"/>
    <x v="2"/>
    <n v="17400"/>
    <x v="121"/>
    <n v="64"/>
    <n v="463.7"/>
    <n v="1348"/>
    <n v="0"/>
    <x v="0"/>
    <n v="190.34"/>
    <n v="65.180000000000007"/>
    <x v="1"/>
    <n v="21.97"/>
    <n v="10.939"/>
    <n v="125.16"/>
  </r>
  <r>
    <n v="2152"/>
    <d v="2025-11-05T20:00:00"/>
    <x v="3"/>
    <s v="Miercoles"/>
    <x v="10"/>
    <x v="3"/>
    <x v="0"/>
    <x v="3"/>
    <x v="3"/>
    <x v="3"/>
    <n v="9800"/>
    <x v="116"/>
    <n v="76.5"/>
    <n v="0"/>
    <n v="303"/>
    <n v="0"/>
    <x v="0"/>
    <n v="99.79"/>
    <n v="0"/>
    <x v="2"/>
    <n v="26.97"/>
    <n v="10.183"/>
    <n v="99.79"/>
  </r>
  <r>
    <n v="680"/>
    <d v="2025-11-05T20:00:00"/>
    <x v="3"/>
    <s v="Miercoles"/>
    <x v="10"/>
    <x v="3"/>
    <x v="0"/>
    <x v="5"/>
    <x v="5"/>
    <x v="5"/>
    <n v="8600"/>
    <x v="172"/>
    <n v="96.2"/>
    <n v="0"/>
    <n v="93"/>
    <n v="1"/>
    <x v="1"/>
    <n v="23.61"/>
    <n v="0"/>
    <x v="2"/>
    <n v="6.24"/>
    <n v="2.7450000000000001"/>
    <n v="23.61"/>
  </r>
  <r>
    <n v="312"/>
    <d v="2025-11-05T20:00:00"/>
    <x v="3"/>
    <s v="Miercoles"/>
    <x v="10"/>
    <x v="3"/>
    <x v="0"/>
    <x v="4"/>
    <x v="4"/>
    <x v="4"/>
    <n v="12500"/>
    <x v="55"/>
    <n v="72"/>
    <n v="0"/>
    <n v="92"/>
    <n v="1"/>
    <x v="2"/>
    <n v="39.85"/>
    <n v="0"/>
    <x v="2"/>
    <n v="10.51"/>
    <n v="3.1880000000000002"/>
    <n v="39.85"/>
  </r>
  <r>
    <n v="1048"/>
    <d v="2025-11-05T20:00:00"/>
    <x v="3"/>
    <s v="Miercoles"/>
    <x v="10"/>
    <x v="3"/>
    <x v="0"/>
    <x v="1"/>
    <x v="1"/>
    <x v="1"/>
    <n v="21000"/>
    <x v="205"/>
    <n v="75.2"/>
    <n v="0"/>
    <n v="388"/>
    <n v="0"/>
    <x v="0"/>
    <n v="280.98"/>
    <n v="0"/>
    <x v="2"/>
    <n v="77.099999999999994"/>
    <n v="13.38"/>
    <n v="280.98"/>
  </r>
  <r>
    <n v="1416"/>
    <d v="2025-11-05T20:00:00"/>
    <x v="3"/>
    <s v="Miercoles"/>
    <x v="10"/>
    <x v="3"/>
    <x v="0"/>
    <x v="2"/>
    <x v="2"/>
    <x v="2"/>
    <n v="17400"/>
    <x v="105"/>
    <n v="69.900000000000006"/>
    <n v="0"/>
    <n v="1433"/>
    <n v="0"/>
    <x v="0"/>
    <n v="286.42"/>
    <n v="0"/>
    <x v="2"/>
    <n v="77.22"/>
    <n v="16.460999999999999"/>
    <n v="286.42"/>
  </r>
  <r>
    <n v="1784"/>
    <d v="2025-11-05T20:00:00"/>
    <x v="3"/>
    <s v="Miercoles"/>
    <x v="10"/>
    <x v="3"/>
    <x v="0"/>
    <x v="0"/>
    <x v="0"/>
    <x v="0"/>
    <n v="26000"/>
    <x v="73"/>
    <n v="70.099999999999994"/>
    <n v="0"/>
    <n v="170"/>
    <n v="1"/>
    <x v="1"/>
    <n v="232.57"/>
    <n v="0"/>
    <x v="2"/>
    <n v="61.49"/>
    <n v="8.9450000000000003"/>
    <n v="232.57"/>
  </r>
  <r>
    <n v="2153"/>
    <d v="2025-11-09T00:00:00"/>
    <x v="0"/>
    <s v="Domingo"/>
    <x v="10"/>
    <x v="3"/>
    <x v="1"/>
    <x v="3"/>
    <x v="3"/>
    <x v="3"/>
    <n v="9800"/>
    <x v="50"/>
    <n v="90"/>
    <n v="0"/>
    <n v="298"/>
    <n v="1"/>
    <x v="1"/>
    <n v="94.33"/>
    <n v="0"/>
    <x v="0"/>
    <n v="10.37"/>
    <n v="9.6259999999999994"/>
    <n v="94.33"/>
  </r>
  <r>
    <n v="681"/>
    <d v="2025-11-09T00:00:00"/>
    <x v="0"/>
    <s v="Domingo"/>
    <x v="10"/>
    <x v="3"/>
    <x v="1"/>
    <x v="5"/>
    <x v="5"/>
    <x v="5"/>
    <n v="8600"/>
    <x v="16"/>
    <n v="90.2"/>
    <n v="0"/>
    <n v="35"/>
    <n v="0"/>
    <x v="0"/>
    <n v="13.42"/>
    <n v="0"/>
    <x v="0"/>
    <n v="1.43"/>
    <n v="1.56"/>
    <n v="13.42"/>
  </r>
  <r>
    <n v="313"/>
    <d v="2025-11-09T00:00:00"/>
    <x v="0"/>
    <s v="Domingo"/>
    <x v="10"/>
    <x v="3"/>
    <x v="1"/>
    <x v="4"/>
    <x v="4"/>
    <x v="4"/>
    <n v="12500"/>
    <x v="150"/>
    <n v="75.599999999999994"/>
    <n v="0"/>
    <n v="0"/>
    <n v="0"/>
    <x v="0"/>
    <n v="24.3"/>
    <n v="0"/>
    <x v="0"/>
    <n v="2.67"/>
    <n v="1.944"/>
    <n v="24.3"/>
  </r>
  <r>
    <n v="1417"/>
    <d v="2025-11-09T00:00:00"/>
    <x v="0"/>
    <s v="Domingo"/>
    <x v="10"/>
    <x v="3"/>
    <x v="1"/>
    <x v="2"/>
    <x v="2"/>
    <x v="2"/>
    <n v="17400"/>
    <x v="78"/>
    <n v="97.1"/>
    <n v="0"/>
    <n v="0"/>
    <n v="1"/>
    <x v="1"/>
    <n v="54.66"/>
    <n v="0"/>
    <x v="0"/>
    <n v="5.96"/>
    <n v="3.141"/>
    <n v="54.66"/>
  </r>
  <r>
    <n v="1785"/>
    <d v="2025-11-09T00:00:00"/>
    <x v="0"/>
    <s v="Domingo"/>
    <x v="10"/>
    <x v="3"/>
    <x v="1"/>
    <x v="0"/>
    <x v="0"/>
    <x v="0"/>
    <n v="26000"/>
    <x v="334"/>
    <n v="93.1"/>
    <n v="0"/>
    <n v="23"/>
    <n v="1"/>
    <x v="1"/>
    <n v="86.47"/>
    <n v="0"/>
    <x v="0"/>
    <n v="9.26"/>
    <n v="3.3260000000000001"/>
    <n v="86.47"/>
  </r>
  <r>
    <n v="1049"/>
    <d v="2025-11-09T00:00:00"/>
    <x v="0"/>
    <s v="Domingo"/>
    <x v="10"/>
    <x v="3"/>
    <x v="1"/>
    <x v="1"/>
    <x v="1"/>
    <x v="1"/>
    <n v="21000"/>
    <x v="67"/>
    <n v="67.900000000000006"/>
    <n v="0"/>
    <n v="183"/>
    <n v="1"/>
    <x v="1"/>
    <n v="193.3"/>
    <n v="0"/>
    <x v="0"/>
    <n v="21.05"/>
    <n v="9.2050000000000001"/>
    <n v="193.3"/>
  </r>
  <r>
    <n v="2154"/>
    <d v="2025-11-09T08:00:00"/>
    <x v="1"/>
    <s v="Domingo"/>
    <x v="10"/>
    <x v="3"/>
    <x v="1"/>
    <x v="3"/>
    <x v="3"/>
    <x v="3"/>
    <n v="9800"/>
    <x v="143"/>
    <m/>
    <n v="0"/>
    <n v="89"/>
    <n v="1"/>
    <x v="1"/>
    <n v="41.1"/>
    <n v="0"/>
    <x v="0"/>
    <n v="4.4800000000000004"/>
    <n v="4.194"/>
    <n v="41.1"/>
  </r>
  <r>
    <n v="1050"/>
    <d v="2025-11-09T08:00:00"/>
    <x v="1"/>
    <s v="Domingo"/>
    <x v="10"/>
    <x v="3"/>
    <x v="1"/>
    <x v="1"/>
    <x v="1"/>
    <x v="1"/>
    <n v="21000"/>
    <x v="140"/>
    <n v="71"/>
    <n v="0"/>
    <n v="413"/>
    <n v="1"/>
    <x v="1"/>
    <n v="291.98"/>
    <n v="0"/>
    <x v="0"/>
    <n v="32.03"/>
    <n v="13.904"/>
    <n v="291.98"/>
  </r>
  <r>
    <n v="314"/>
    <d v="2025-11-09T08:00:00"/>
    <x v="1"/>
    <s v="Domingo"/>
    <x v="10"/>
    <x v="3"/>
    <x v="1"/>
    <x v="4"/>
    <x v="4"/>
    <x v="4"/>
    <n v="12500"/>
    <x v="16"/>
    <n v="79.5"/>
    <n v="0"/>
    <n v="3"/>
    <n v="0"/>
    <x v="0"/>
    <n v="23.4"/>
    <n v="0"/>
    <x v="0"/>
    <n v="2.5099999999999998"/>
    <n v="1.8720000000000001"/>
    <n v="23.4"/>
  </r>
  <r>
    <n v="1418"/>
    <d v="2025-11-09T08:00:00"/>
    <x v="1"/>
    <s v="Domingo"/>
    <x v="10"/>
    <x v="3"/>
    <x v="1"/>
    <x v="2"/>
    <x v="2"/>
    <x v="2"/>
    <n v="17400"/>
    <x v="118"/>
    <n v="81.400000000000006"/>
    <n v="0"/>
    <n v="72"/>
    <n v="1"/>
    <x v="1"/>
    <n v="63.92"/>
    <n v="0"/>
    <x v="0"/>
    <n v="6.88"/>
    <n v="3.6739999999999999"/>
    <n v="63.92"/>
  </r>
  <r>
    <n v="1786"/>
    <d v="2025-11-09T08:00:00"/>
    <x v="1"/>
    <s v="Domingo"/>
    <x v="10"/>
    <x v="3"/>
    <x v="1"/>
    <x v="0"/>
    <x v="0"/>
    <x v="0"/>
    <n v="26000"/>
    <x v="117"/>
    <n v="76.7"/>
    <n v="0"/>
    <n v="68"/>
    <n v="1"/>
    <x v="1"/>
    <n v="141.30000000000001"/>
    <n v="0"/>
    <x v="0"/>
    <n v="16.36"/>
    <n v="5.4349999999999996"/>
    <n v="141.30000000000001"/>
  </r>
  <r>
    <n v="682"/>
    <d v="2025-11-09T08:00:00"/>
    <x v="1"/>
    <s v="Domingo"/>
    <x v="10"/>
    <x v="3"/>
    <x v="1"/>
    <x v="5"/>
    <x v="5"/>
    <x v="5"/>
    <n v="8600"/>
    <x v="24"/>
    <n v="89"/>
    <n v="0"/>
    <n v="0"/>
    <n v="0"/>
    <x v="0"/>
    <n v="13.4"/>
    <n v="0"/>
    <x v="0"/>
    <n v="1.41"/>
    <n v="1.5580000000000001"/>
    <n v="13.4"/>
  </r>
  <r>
    <n v="315"/>
    <d v="2025-11-09T14:00:00"/>
    <x v="2"/>
    <s v="Domingo"/>
    <x v="10"/>
    <x v="3"/>
    <x v="1"/>
    <x v="4"/>
    <x v="4"/>
    <x v="4"/>
    <n v="12500"/>
    <x v="205"/>
    <n v="63.9"/>
    <n v="410.7"/>
    <n v="14"/>
    <n v="0"/>
    <x v="0"/>
    <n v="16.97"/>
    <n v="60.02"/>
    <x v="0"/>
    <n v="-1.88"/>
    <n v="1.3580000000000001"/>
    <n v="0"/>
  </r>
  <r>
    <n v="2155"/>
    <d v="2025-11-09T14:00:00"/>
    <x v="2"/>
    <s v="Domingo"/>
    <x v="10"/>
    <x v="3"/>
    <x v="1"/>
    <x v="3"/>
    <x v="3"/>
    <x v="3"/>
    <n v="9800"/>
    <x v="53"/>
    <n v="76"/>
    <n v="413.8"/>
    <n v="152"/>
    <n v="0"/>
    <x v="0"/>
    <n v="28.45"/>
    <n v="0"/>
    <x v="0"/>
    <n v="3.01"/>
    <n v="2.903"/>
    <n v="28.45"/>
  </r>
  <r>
    <n v="1419"/>
    <d v="2025-11-09T14:00:00"/>
    <x v="2"/>
    <s v="Domingo"/>
    <x v="10"/>
    <x v="3"/>
    <x v="1"/>
    <x v="2"/>
    <x v="2"/>
    <x v="2"/>
    <n v="17400"/>
    <x v="188"/>
    <n v="69.5"/>
    <n v="500.8"/>
    <n v="1525"/>
    <n v="0"/>
    <x v="0"/>
    <n v="226.21"/>
    <n v="59.38"/>
    <x v="0"/>
    <n v="17.75"/>
    <n v="13.000999999999999"/>
    <n v="166.83"/>
  </r>
  <r>
    <n v="1787"/>
    <d v="2025-11-09T14:00:00"/>
    <x v="2"/>
    <s v="Domingo"/>
    <x v="10"/>
    <x v="3"/>
    <x v="1"/>
    <x v="0"/>
    <x v="0"/>
    <x v="0"/>
    <n v="26000"/>
    <x v="184"/>
    <n v="57.4"/>
    <n v="411.7"/>
    <n v="58"/>
    <n v="0"/>
    <x v="0"/>
    <n v="84.1"/>
    <n v="107.2"/>
    <x v="0"/>
    <n v="-1.02"/>
    <n v="3.2349999999999999"/>
    <n v="0"/>
  </r>
  <r>
    <n v="1051"/>
    <d v="2025-11-09T14:00:00"/>
    <x v="2"/>
    <s v="Domingo"/>
    <x v="10"/>
    <x v="3"/>
    <x v="1"/>
    <x v="1"/>
    <x v="1"/>
    <x v="1"/>
    <n v="21000"/>
    <x v="189"/>
    <n v="53.1"/>
    <n v="595.29999999999995"/>
    <n v="420"/>
    <n v="0"/>
    <x v="0"/>
    <n v="201.58"/>
    <n v="118.01"/>
    <x v="0"/>
    <n v="8.8699999999999992"/>
    <n v="9.5990000000000002"/>
    <n v="83.57"/>
  </r>
  <r>
    <n v="683"/>
    <d v="2025-11-09T14:00:00"/>
    <x v="2"/>
    <s v="Domingo"/>
    <x v="10"/>
    <x v="3"/>
    <x v="1"/>
    <x v="5"/>
    <x v="5"/>
    <x v="5"/>
    <n v="8600"/>
    <x v="148"/>
    <n v="95.1"/>
    <n v="453.5"/>
    <n v="37"/>
    <n v="0"/>
    <x v="0"/>
    <n v="8.9499999999999993"/>
    <n v="33.090000000000003"/>
    <x v="0"/>
    <n v="-1.06"/>
    <n v="1.0409999999999999"/>
    <n v="0"/>
  </r>
  <r>
    <n v="316"/>
    <d v="2025-11-09T20:00:00"/>
    <x v="3"/>
    <s v="Domingo"/>
    <x v="10"/>
    <x v="3"/>
    <x v="1"/>
    <x v="4"/>
    <x v="4"/>
    <x v="4"/>
    <n v="12500"/>
    <x v="54"/>
    <n v="66.900000000000006"/>
    <n v="0"/>
    <n v="2"/>
    <n v="0"/>
    <x v="0"/>
    <n v="23.14"/>
    <n v="0"/>
    <x v="0"/>
    <n v="2.62"/>
    <n v="1.851"/>
    <n v="23.14"/>
  </r>
  <r>
    <n v="684"/>
    <d v="2025-11-09T20:00:00"/>
    <x v="3"/>
    <s v="Domingo"/>
    <x v="10"/>
    <x v="3"/>
    <x v="1"/>
    <x v="5"/>
    <x v="5"/>
    <x v="5"/>
    <n v="8600"/>
    <x v="167"/>
    <n v="89.1"/>
    <n v="0"/>
    <n v="15"/>
    <n v="0"/>
    <x v="0"/>
    <n v="14.09"/>
    <n v="0"/>
    <x v="0"/>
    <n v="1.53"/>
    <n v="1.6379999999999999"/>
    <n v="14.09"/>
  </r>
  <r>
    <n v="1420"/>
    <d v="2025-11-09T20:00:00"/>
    <x v="3"/>
    <s v="Domingo"/>
    <x v="10"/>
    <x v="3"/>
    <x v="1"/>
    <x v="2"/>
    <x v="2"/>
    <x v="2"/>
    <n v="17400"/>
    <x v="135"/>
    <n v="87"/>
    <n v="0"/>
    <n v="1506"/>
    <n v="0"/>
    <x v="0"/>
    <n v="298.37"/>
    <n v="0"/>
    <x v="0"/>
    <n v="32.020000000000003"/>
    <n v="17.148"/>
    <n v="298.37"/>
  </r>
  <r>
    <n v="1788"/>
    <d v="2025-11-09T20:00:00"/>
    <x v="3"/>
    <s v="Domingo"/>
    <x v="10"/>
    <x v="3"/>
    <x v="1"/>
    <x v="0"/>
    <x v="0"/>
    <x v="0"/>
    <n v="26000"/>
    <x v="101"/>
    <n v="76.099999999999994"/>
    <n v="0"/>
    <n v="79"/>
    <n v="1"/>
    <x v="2"/>
    <n v="129.47"/>
    <n v="0"/>
    <x v="0"/>
    <n v="14.05"/>
    <n v="4.9800000000000004"/>
    <n v="129.47"/>
  </r>
  <r>
    <n v="2156"/>
    <d v="2025-11-09T20:00:00"/>
    <x v="3"/>
    <s v="Domingo"/>
    <x v="10"/>
    <x v="3"/>
    <x v="1"/>
    <x v="3"/>
    <x v="3"/>
    <x v="3"/>
    <n v="9800"/>
    <x v="153"/>
    <n v="85.2"/>
    <n v="0"/>
    <n v="293"/>
    <n v="1"/>
    <x v="2"/>
    <n v="102.51"/>
    <n v="0"/>
    <x v="0"/>
    <n v="10.92"/>
    <n v="10.46"/>
    <n v="102.51"/>
  </r>
  <r>
    <n v="1052"/>
    <d v="2025-11-09T20:00:00"/>
    <x v="3"/>
    <s v="Domingo"/>
    <x v="10"/>
    <x v="3"/>
    <x v="1"/>
    <x v="1"/>
    <x v="1"/>
    <x v="1"/>
    <n v="21000"/>
    <x v="160"/>
    <n v="66"/>
    <n v="0"/>
    <n v="378"/>
    <n v="1"/>
    <x v="2"/>
    <n v="277.32"/>
    <n v="0"/>
    <x v="0"/>
    <n v="29.37"/>
    <n v="13.206"/>
    <n v="277.32"/>
  </r>
  <r>
    <n v="685"/>
    <d v="2025-11-13T00:00:00"/>
    <x v="0"/>
    <s v="Jueves"/>
    <x v="10"/>
    <x v="3"/>
    <x v="0"/>
    <x v="5"/>
    <x v="5"/>
    <x v="5"/>
    <n v="8600"/>
    <x v="10"/>
    <n v="99"/>
    <n v="0"/>
    <n v="49"/>
    <n v="1"/>
    <x v="1"/>
    <n v="27.43"/>
    <n v="0"/>
    <x v="0"/>
    <n v="2.92"/>
    <n v="3.19"/>
    <n v="27.43"/>
  </r>
  <r>
    <n v="2157"/>
    <d v="2025-11-13T00:00:00"/>
    <x v="0"/>
    <s v="Jueves"/>
    <x v="10"/>
    <x v="3"/>
    <x v="0"/>
    <x v="3"/>
    <x v="3"/>
    <x v="3"/>
    <n v="9800"/>
    <x v="69"/>
    <n v="95.7"/>
    <n v="0"/>
    <n v="316"/>
    <n v="1"/>
    <x v="1"/>
    <n v="106.29"/>
    <n v="0"/>
    <x v="0"/>
    <n v="11.95"/>
    <n v="10.846"/>
    <n v="106.29"/>
  </r>
  <r>
    <n v="317"/>
    <d v="2025-11-13T00:00:00"/>
    <x v="0"/>
    <s v="Jueves"/>
    <x v="10"/>
    <x v="3"/>
    <x v="0"/>
    <x v="4"/>
    <x v="4"/>
    <x v="4"/>
    <n v="12500"/>
    <x v="62"/>
    <n v="76.3"/>
    <n v="0"/>
    <n v="0"/>
    <n v="0"/>
    <x v="0"/>
    <n v="22.84"/>
    <n v="0"/>
    <x v="0"/>
    <n v="2.5099999999999998"/>
    <n v="1.827"/>
    <n v="22.84"/>
  </r>
  <r>
    <n v="1053"/>
    <d v="2025-11-13T00:00:00"/>
    <x v="0"/>
    <s v="Jueves"/>
    <x v="10"/>
    <x v="3"/>
    <x v="0"/>
    <x v="1"/>
    <x v="1"/>
    <x v="1"/>
    <n v="21000"/>
    <x v="114"/>
    <n v="71.5"/>
    <n v="0"/>
    <n v="211"/>
    <n v="1"/>
    <x v="1"/>
    <n v="189.1"/>
    <n v="0"/>
    <x v="0"/>
    <n v="20.46"/>
    <n v="9.0050000000000008"/>
    <n v="189.1"/>
  </r>
  <r>
    <n v="1789"/>
    <d v="2025-11-13T00:00:00"/>
    <x v="0"/>
    <s v="Jueves"/>
    <x v="10"/>
    <x v="3"/>
    <x v="0"/>
    <x v="0"/>
    <x v="0"/>
    <x v="0"/>
    <n v="26000"/>
    <x v="5"/>
    <m/>
    <n v="0"/>
    <n v="63"/>
    <n v="1"/>
    <x v="1"/>
    <n v="125.72"/>
    <n v="0"/>
    <x v="0"/>
    <n v="13.54"/>
    <n v="4.835"/>
    <n v="125.72"/>
  </r>
  <r>
    <n v="1421"/>
    <d v="2025-11-13T00:00:00"/>
    <x v="0"/>
    <s v="Jueves"/>
    <x v="10"/>
    <x v="3"/>
    <x v="0"/>
    <x v="2"/>
    <x v="2"/>
    <x v="2"/>
    <n v="17400"/>
    <x v="154"/>
    <n v="86.2"/>
    <n v="0"/>
    <n v="2"/>
    <n v="0"/>
    <x v="0"/>
    <n v="44.58"/>
    <n v="0"/>
    <x v="0"/>
    <n v="4.8099999999999996"/>
    <n v="2.5619999999999998"/>
    <n v="44.58"/>
  </r>
  <r>
    <n v="1790"/>
    <d v="2025-11-13T08:00:00"/>
    <x v="1"/>
    <s v="Jueves"/>
    <x v="10"/>
    <x v="3"/>
    <x v="0"/>
    <x v="0"/>
    <x v="0"/>
    <x v="0"/>
    <n v="26000"/>
    <x v="334"/>
    <n v="64.900000000000006"/>
    <n v="0"/>
    <n v="159"/>
    <n v="1"/>
    <x v="1"/>
    <n v="254.9"/>
    <n v="0"/>
    <x v="1"/>
    <n v="43.59"/>
    <n v="9.8040000000000003"/>
    <n v="254.9"/>
  </r>
  <r>
    <n v="1422"/>
    <d v="2025-11-13T08:00:00"/>
    <x v="1"/>
    <s v="Jueves"/>
    <x v="10"/>
    <x v="3"/>
    <x v="0"/>
    <x v="2"/>
    <x v="2"/>
    <x v="2"/>
    <n v="17400"/>
    <x v="69"/>
    <n v="82.8"/>
    <n v="0"/>
    <n v="66"/>
    <n v="0"/>
    <x v="0"/>
    <n v="50.05"/>
    <n v="0"/>
    <x v="1"/>
    <n v="8.9499999999999993"/>
    <n v="2.8759999999999999"/>
    <n v="50.05"/>
  </r>
  <r>
    <n v="1054"/>
    <d v="2025-11-13T08:00:00"/>
    <x v="1"/>
    <s v="Jueves"/>
    <x v="10"/>
    <x v="3"/>
    <x v="0"/>
    <x v="1"/>
    <x v="1"/>
    <x v="1"/>
    <n v="21000"/>
    <x v="77"/>
    <n v="72.7"/>
    <n v="0"/>
    <n v="432"/>
    <n v="1"/>
    <x v="1"/>
    <n v="256.87"/>
    <n v="0"/>
    <x v="1"/>
    <n v="43.9"/>
    <n v="12.231999999999999"/>
    <n v="256.87"/>
  </r>
  <r>
    <n v="686"/>
    <d v="2025-11-13T08:00:00"/>
    <x v="1"/>
    <s v="Jueves"/>
    <x v="10"/>
    <x v="3"/>
    <x v="0"/>
    <x v="5"/>
    <x v="5"/>
    <x v="5"/>
    <n v="8600"/>
    <x v="118"/>
    <n v="99"/>
    <n v="0"/>
    <n v="780"/>
    <n v="1"/>
    <x v="1"/>
    <n v="120.06"/>
    <n v="0"/>
    <x v="1"/>
    <n v="21.42"/>
    <n v="13.96"/>
    <n v="120.06"/>
  </r>
  <r>
    <n v="2158"/>
    <d v="2025-11-13T08:00:00"/>
    <x v="1"/>
    <s v="Jueves"/>
    <x v="10"/>
    <x v="3"/>
    <x v="0"/>
    <x v="3"/>
    <x v="3"/>
    <x v="3"/>
    <n v="9800"/>
    <x v="73"/>
    <n v="94.5"/>
    <n v="0"/>
    <n v="101"/>
    <n v="1"/>
    <x v="1"/>
    <n v="36.590000000000003"/>
    <n v="0"/>
    <x v="1"/>
    <n v="6.53"/>
    <n v="3.734"/>
    <n v="36.590000000000003"/>
  </r>
  <r>
    <n v="318"/>
    <d v="2025-11-13T08:00:00"/>
    <x v="1"/>
    <s v="Jueves"/>
    <x v="10"/>
    <x v="3"/>
    <x v="0"/>
    <x v="4"/>
    <x v="4"/>
    <x v="4"/>
    <n v="12500"/>
    <x v="24"/>
    <n v="60.4"/>
    <n v="0"/>
    <n v="357"/>
    <n v="1"/>
    <x v="1"/>
    <n v="91.88"/>
    <n v="0"/>
    <x v="1"/>
    <n v="15.89"/>
    <n v="7.35"/>
    <n v="91.88"/>
  </r>
  <r>
    <n v="319"/>
    <d v="2025-11-13T14:00:00"/>
    <x v="2"/>
    <s v="Jueves"/>
    <x v="10"/>
    <x v="3"/>
    <x v="0"/>
    <x v="4"/>
    <x v="4"/>
    <x v="4"/>
    <n v="12500"/>
    <x v="136"/>
    <n v="61.3"/>
    <n v="485.1"/>
    <n v="625"/>
    <n v="1"/>
    <x v="2"/>
    <n v="105.02"/>
    <n v="72.900000000000006"/>
    <x v="1"/>
    <n v="5.65"/>
    <n v="8.4019999999999992"/>
    <n v="32.119999999999997"/>
  </r>
  <r>
    <n v="1423"/>
    <d v="2025-11-13T14:00:00"/>
    <x v="2"/>
    <s v="Jueves"/>
    <x v="10"/>
    <x v="3"/>
    <x v="0"/>
    <x v="2"/>
    <x v="2"/>
    <x v="2"/>
    <n v="17400"/>
    <x v="213"/>
    <n v="83.2"/>
    <n v="443"/>
    <m/>
    <n v="0"/>
    <x v="0"/>
    <n v="208.42"/>
    <n v="57.86"/>
    <x v="1"/>
    <n v="25.91"/>
    <n v="11.978"/>
    <n v="150.56"/>
  </r>
  <r>
    <n v="1055"/>
    <d v="2025-11-13T14:00:00"/>
    <x v="2"/>
    <s v="Jueves"/>
    <x v="10"/>
    <x v="3"/>
    <x v="0"/>
    <x v="1"/>
    <x v="1"/>
    <x v="1"/>
    <n v="21000"/>
    <x v="214"/>
    <n v="70.400000000000006"/>
    <n v="484.7"/>
    <n v="459"/>
    <n v="1"/>
    <x v="2"/>
    <n v="199.21"/>
    <n v="101.08"/>
    <x v="1"/>
    <n v="16.989999999999998"/>
    <n v="9.4860000000000007"/>
    <n v="98.13"/>
  </r>
  <r>
    <n v="687"/>
    <d v="2025-11-13T14:00:00"/>
    <x v="2"/>
    <s v="Jueves"/>
    <x v="10"/>
    <x v="3"/>
    <x v="0"/>
    <x v="5"/>
    <x v="5"/>
    <x v="5"/>
    <n v="8600"/>
    <x v="11"/>
    <n v="79.7"/>
    <n v="466.9"/>
    <n v="774"/>
    <n v="1"/>
    <x v="2"/>
    <n v="85.43"/>
    <n v="35.07"/>
    <x v="1"/>
    <n v="8.61"/>
    <n v="9.9339999999999993"/>
    <n v="50.36"/>
  </r>
  <r>
    <n v="2159"/>
    <d v="2025-11-13T14:00:00"/>
    <x v="2"/>
    <s v="Jueves"/>
    <x v="10"/>
    <x v="3"/>
    <x v="0"/>
    <x v="3"/>
    <x v="3"/>
    <x v="3"/>
    <n v="9800"/>
    <x v="131"/>
    <n v="73.400000000000006"/>
    <n v="542.70000000000005"/>
    <n v="78"/>
    <n v="1"/>
    <x v="2"/>
    <n v="20.27"/>
    <n v="0"/>
    <x v="1"/>
    <n v="3.64"/>
    <n v="2.0680000000000001"/>
    <n v="20.27"/>
  </r>
  <r>
    <n v="1791"/>
    <d v="2025-11-13T14:00:00"/>
    <x v="2"/>
    <s v="Jueves"/>
    <x v="10"/>
    <x v="3"/>
    <x v="0"/>
    <x v="0"/>
    <x v="0"/>
    <x v="0"/>
    <n v="26000"/>
    <x v="144"/>
    <n v="68.5"/>
    <n v="507.6"/>
    <n v="150"/>
    <n v="0"/>
    <x v="0"/>
    <n v="151.44999999999999"/>
    <n v="131.19999999999999"/>
    <x v="1"/>
    <n v="3.58"/>
    <n v="5.8250000000000002"/>
    <n v="20.25"/>
  </r>
  <r>
    <n v="1792"/>
    <d v="2025-11-13T20:00:00"/>
    <x v="3"/>
    <s v="Jueves"/>
    <x v="10"/>
    <x v="3"/>
    <x v="0"/>
    <x v="0"/>
    <x v="0"/>
    <x v="0"/>
    <n v="26000"/>
    <x v="17"/>
    <n v="63.9"/>
    <n v="0"/>
    <n v="186"/>
    <n v="1"/>
    <x v="1"/>
    <n v="255.52"/>
    <n v="0"/>
    <x v="2"/>
    <n v="68.17"/>
    <n v="9.8279999999999994"/>
    <n v="255.52"/>
  </r>
  <r>
    <n v="1424"/>
    <d v="2025-11-13T20:00:00"/>
    <x v="3"/>
    <s v="Jueves"/>
    <x v="10"/>
    <x v="3"/>
    <x v="0"/>
    <x v="2"/>
    <x v="2"/>
    <x v="2"/>
    <n v="17400"/>
    <x v="140"/>
    <n v="84.3"/>
    <n v="0"/>
    <n v="1304"/>
    <n v="1"/>
    <x v="1"/>
    <n v="275.43"/>
    <n v="0"/>
    <x v="2"/>
    <n v="72.22"/>
    <n v="15.829000000000001"/>
    <n v="275.43"/>
  </r>
  <r>
    <n v="1056"/>
    <d v="2025-11-13T20:00:00"/>
    <x v="3"/>
    <s v="Jueves"/>
    <x v="10"/>
    <x v="3"/>
    <x v="0"/>
    <x v="1"/>
    <x v="1"/>
    <x v="1"/>
    <n v="21000"/>
    <x v="160"/>
    <n v="67.900000000000006"/>
    <n v="0"/>
    <n v="385"/>
    <n v="1"/>
    <x v="2"/>
    <n v="269.13"/>
    <n v="0"/>
    <x v="2"/>
    <n v="72.400000000000006"/>
    <n v="12.816000000000001"/>
    <n v="269.13"/>
  </r>
  <r>
    <n v="320"/>
    <d v="2025-11-13T20:00:00"/>
    <x v="3"/>
    <s v="Jueves"/>
    <x v="10"/>
    <x v="3"/>
    <x v="0"/>
    <x v="4"/>
    <x v="4"/>
    <x v="4"/>
    <n v="12500"/>
    <x v="96"/>
    <n v="65.3"/>
    <n v="0"/>
    <n v="137"/>
    <n v="1"/>
    <x v="1"/>
    <n v="45.71"/>
    <n v="0"/>
    <x v="2"/>
    <n v="11.95"/>
    <n v="3.657"/>
    <n v="45.71"/>
  </r>
  <r>
    <n v="2160"/>
    <d v="2025-11-13T20:00:00"/>
    <x v="3"/>
    <s v="Jueves"/>
    <x v="10"/>
    <x v="3"/>
    <x v="0"/>
    <x v="3"/>
    <x v="3"/>
    <x v="3"/>
    <n v="9800"/>
    <x v="143"/>
    <n v="86.1"/>
    <n v="0"/>
    <n v="295"/>
    <n v="1"/>
    <x v="1"/>
    <n v="94.17"/>
    <n v="0"/>
    <x v="2"/>
    <n v="24.04"/>
    <n v="9.609"/>
    <n v="94.17"/>
  </r>
  <r>
    <n v="688"/>
    <d v="2025-11-13T20:00:00"/>
    <x v="3"/>
    <s v="Jueves"/>
    <x v="10"/>
    <x v="3"/>
    <x v="0"/>
    <x v="5"/>
    <x v="5"/>
    <x v="5"/>
    <n v="8600"/>
    <x v="72"/>
    <n v="94.7"/>
    <n v="0"/>
    <m/>
    <n v="1"/>
    <x v="2"/>
    <m/>
    <n v="0"/>
    <x v="2"/>
    <n v="4.63"/>
    <m/>
    <m/>
  </r>
  <r>
    <n v="321"/>
    <d v="2025-11-17T00:00:00"/>
    <x v="0"/>
    <s v="Lunes"/>
    <x v="10"/>
    <x v="3"/>
    <x v="0"/>
    <x v="4"/>
    <x v="4"/>
    <x v="4"/>
    <n v="12500"/>
    <x v="128"/>
    <n v="75.2"/>
    <n v="0"/>
    <n v="23"/>
    <n v="0"/>
    <x v="0"/>
    <n v="21.84"/>
    <n v="0"/>
    <x v="0"/>
    <n v="2.3199999999999998"/>
    <n v="1.7470000000000001"/>
    <n v="21.84"/>
  </r>
  <r>
    <n v="689"/>
    <d v="2025-11-17T00:00:00"/>
    <x v="0"/>
    <s v="Lunes"/>
    <x v="10"/>
    <x v="3"/>
    <x v="0"/>
    <x v="5"/>
    <x v="5"/>
    <x v="5"/>
    <n v="8600"/>
    <x v="114"/>
    <n v="99"/>
    <n v="0"/>
    <n v="194"/>
    <n v="1"/>
    <x v="1"/>
    <n v="33.22"/>
    <n v="0"/>
    <x v="0"/>
    <n v="3.51"/>
    <n v="3.863"/>
    <n v="33.22"/>
  </r>
  <r>
    <n v="1793"/>
    <d v="2025-11-17T00:00:00"/>
    <x v="0"/>
    <s v="Lunes"/>
    <x v="10"/>
    <x v="3"/>
    <x v="0"/>
    <x v="0"/>
    <x v="0"/>
    <x v="0"/>
    <n v="26000"/>
    <x v="335"/>
    <n v="75.7"/>
    <n v="0"/>
    <n v="53"/>
    <n v="1"/>
    <x v="1"/>
    <n v="127.02"/>
    <n v="0"/>
    <x v="0"/>
    <n v="13.98"/>
    <n v="4.8849999999999998"/>
    <n v="127.02"/>
  </r>
  <r>
    <n v="1425"/>
    <d v="2025-11-17T00:00:00"/>
    <x v="0"/>
    <s v="Lunes"/>
    <x v="10"/>
    <x v="3"/>
    <x v="0"/>
    <x v="2"/>
    <x v="2"/>
    <x v="2"/>
    <n v="17400"/>
    <x v="140"/>
    <n v="72.7"/>
    <n v="0"/>
    <n v="170"/>
    <n v="0"/>
    <x v="0"/>
    <n v="56.52"/>
    <n v="0"/>
    <x v="0"/>
    <n v="6"/>
    <n v="3.2480000000000002"/>
    <n v="56.52"/>
  </r>
  <r>
    <n v="1057"/>
    <d v="2025-11-17T00:00:00"/>
    <x v="0"/>
    <s v="Lunes"/>
    <x v="10"/>
    <x v="3"/>
    <x v="0"/>
    <x v="1"/>
    <x v="1"/>
    <x v="1"/>
    <n v="21000"/>
    <x v="7"/>
    <m/>
    <n v="0"/>
    <n v="243"/>
    <n v="1"/>
    <x v="1"/>
    <n v="179.32"/>
    <n v="0"/>
    <x v="0"/>
    <n v="20.41"/>
    <n v="8.5389999999999997"/>
    <n v="179.32"/>
  </r>
  <r>
    <n v="2161"/>
    <d v="2025-11-17T00:00:00"/>
    <x v="0"/>
    <s v="Lunes"/>
    <x v="10"/>
    <x v="3"/>
    <x v="0"/>
    <x v="3"/>
    <x v="3"/>
    <x v="3"/>
    <n v="9800"/>
    <x v="117"/>
    <n v="90.9"/>
    <n v="0"/>
    <n v="304"/>
    <n v="1"/>
    <x v="1"/>
    <n v="95.53"/>
    <n v="0"/>
    <x v="0"/>
    <n v="10.29"/>
    <n v="9.7479999999999993"/>
    <n v="95.53"/>
  </r>
  <r>
    <n v="2162"/>
    <d v="2025-11-17T08:00:00"/>
    <x v="1"/>
    <s v="Lunes"/>
    <x v="10"/>
    <x v="3"/>
    <x v="0"/>
    <x v="3"/>
    <x v="3"/>
    <x v="3"/>
    <n v="9800"/>
    <x v="2"/>
    <n v="78.2"/>
    <n v="0"/>
    <n v="77"/>
    <n v="1"/>
    <x v="1"/>
    <n v="37.229999999999997"/>
    <n v="0"/>
    <x v="1"/>
    <n v="6.41"/>
    <n v="3.7989999999999999"/>
    <n v="37.229999999999997"/>
  </r>
  <r>
    <n v="322"/>
    <d v="2025-11-17T08:00:00"/>
    <x v="1"/>
    <s v="Lunes"/>
    <x v="10"/>
    <x v="3"/>
    <x v="0"/>
    <x v="4"/>
    <x v="4"/>
    <x v="4"/>
    <n v="12500"/>
    <x v="38"/>
    <n v="76"/>
    <n v="0"/>
    <n v="333"/>
    <n v="1"/>
    <x v="1"/>
    <n v="107.37"/>
    <n v="0"/>
    <x v="1"/>
    <n v="18.739999999999998"/>
    <n v="8.59"/>
    <n v="107.37"/>
  </r>
  <r>
    <n v="690"/>
    <d v="2025-11-17T08:00:00"/>
    <x v="1"/>
    <s v="Lunes"/>
    <x v="10"/>
    <x v="3"/>
    <x v="0"/>
    <x v="5"/>
    <x v="5"/>
    <x v="5"/>
    <n v="8600"/>
    <x v="2"/>
    <n v="99"/>
    <n v="0"/>
    <n v="822"/>
    <n v="1"/>
    <x v="1"/>
    <n v="125.14"/>
    <n v="0"/>
    <x v="1"/>
    <n v="21.47"/>
    <n v="14.551"/>
    <n v="125.14"/>
  </r>
  <r>
    <n v="1794"/>
    <d v="2025-11-17T08:00:00"/>
    <x v="1"/>
    <s v="Lunes"/>
    <x v="10"/>
    <x v="3"/>
    <x v="0"/>
    <x v="0"/>
    <x v="0"/>
    <x v="0"/>
    <n v="26000"/>
    <x v="111"/>
    <m/>
    <n v="0"/>
    <n v="180"/>
    <n v="1"/>
    <x v="1"/>
    <n v="258.18"/>
    <n v="0"/>
    <x v="1"/>
    <n v="44.1"/>
    <n v="9.93"/>
    <n v="258.18"/>
  </r>
  <r>
    <n v="1058"/>
    <d v="2025-11-17T08:00:00"/>
    <x v="1"/>
    <s v="Lunes"/>
    <x v="10"/>
    <x v="3"/>
    <x v="0"/>
    <x v="1"/>
    <x v="1"/>
    <x v="1"/>
    <n v="21000"/>
    <x v="36"/>
    <n v="79.8"/>
    <n v="0"/>
    <n v="426"/>
    <n v="1"/>
    <x v="1"/>
    <n v="278"/>
    <n v="0"/>
    <x v="1"/>
    <n v="47.68"/>
    <n v="13.238"/>
    <n v="278"/>
  </r>
  <r>
    <n v="1426"/>
    <d v="2025-11-17T08:00:00"/>
    <x v="1"/>
    <s v="Lunes"/>
    <x v="10"/>
    <x v="3"/>
    <x v="0"/>
    <x v="2"/>
    <x v="2"/>
    <x v="2"/>
    <n v="17400"/>
    <x v="223"/>
    <n v="70.7"/>
    <n v="0"/>
    <n v="143"/>
    <n v="0"/>
    <x v="0"/>
    <n v="52.18"/>
    <n v="0"/>
    <x v="1"/>
    <n v="9.0500000000000007"/>
    <n v="2.9990000000000001"/>
    <n v="52.18"/>
  </r>
  <r>
    <n v="691"/>
    <d v="2025-11-17T14:00:00"/>
    <x v="2"/>
    <s v="Lunes"/>
    <x v="10"/>
    <x v="3"/>
    <x v="0"/>
    <x v="5"/>
    <x v="5"/>
    <x v="5"/>
    <n v="8600"/>
    <x v="172"/>
    <n v="88.6"/>
    <n v="298.39999999999998"/>
    <n v="879"/>
    <n v="1"/>
    <x v="1"/>
    <n v="83.25"/>
    <n v="22.27"/>
    <x v="1"/>
    <n v="10.72"/>
    <n v="9.68"/>
    <n v="60.98"/>
  </r>
  <r>
    <n v="323"/>
    <d v="2025-11-17T14:00:00"/>
    <x v="2"/>
    <s v="Lunes"/>
    <x v="10"/>
    <x v="3"/>
    <x v="0"/>
    <x v="4"/>
    <x v="4"/>
    <x v="4"/>
    <n v="12500"/>
    <x v="55"/>
    <n v="73.8"/>
    <n v="520.70000000000005"/>
    <n v="603"/>
    <n v="1"/>
    <x v="2"/>
    <n v="106.4"/>
    <n v="75.47"/>
    <x v="1"/>
    <n v="5.33"/>
    <n v="8.5120000000000005"/>
    <n v="30.93"/>
  </r>
  <r>
    <n v="1427"/>
    <d v="2025-11-17T14:00:00"/>
    <x v="2"/>
    <s v="Lunes"/>
    <x v="10"/>
    <x v="3"/>
    <x v="0"/>
    <x v="2"/>
    <x v="2"/>
    <x v="2"/>
    <n v="17400"/>
    <x v="242"/>
    <n v="78.400000000000006"/>
    <n v="445.6"/>
    <n v="1295"/>
    <n v="0"/>
    <x v="0"/>
    <n v="207.29"/>
    <n v="57.36"/>
    <x v="1"/>
    <n v="25.95"/>
    <n v="11.913"/>
    <n v="149.93"/>
  </r>
  <r>
    <n v="1059"/>
    <d v="2025-11-17T14:00:00"/>
    <x v="2"/>
    <s v="Lunes"/>
    <x v="10"/>
    <x v="3"/>
    <x v="0"/>
    <x v="1"/>
    <x v="1"/>
    <x v="1"/>
    <n v="21000"/>
    <x v="164"/>
    <n v="63.1"/>
    <n v="599.4"/>
    <n v="407"/>
    <n v="0"/>
    <x v="0"/>
    <n v="190.67"/>
    <n v="122.92"/>
    <x v="1"/>
    <n v="11.74"/>
    <n v="9.08"/>
    <n v="67.75"/>
  </r>
  <r>
    <n v="1795"/>
    <d v="2025-11-17T14:00:00"/>
    <x v="2"/>
    <s v="Lunes"/>
    <x v="10"/>
    <x v="3"/>
    <x v="0"/>
    <x v="0"/>
    <x v="0"/>
    <x v="0"/>
    <n v="26000"/>
    <x v="172"/>
    <n v="81"/>
    <n v="374.9"/>
    <n v="151"/>
    <n v="1"/>
    <x v="1"/>
    <n v="144.82"/>
    <n v="103.3"/>
    <x v="1"/>
    <n v="7.28"/>
    <n v="5.57"/>
    <n v="41.52"/>
  </r>
  <r>
    <n v="2163"/>
    <d v="2025-11-17T14:00:00"/>
    <x v="2"/>
    <s v="Lunes"/>
    <x v="10"/>
    <x v="3"/>
    <x v="0"/>
    <x v="3"/>
    <x v="3"/>
    <x v="3"/>
    <n v="9800"/>
    <x v="140"/>
    <n v="77.2"/>
    <n v="452.3"/>
    <n v="64"/>
    <n v="1"/>
    <x v="1"/>
    <n v="21.53"/>
    <n v="0"/>
    <x v="1"/>
    <n v="3.87"/>
    <n v="2.1970000000000001"/>
    <n v="21.53"/>
  </r>
  <r>
    <n v="1796"/>
    <d v="2025-11-17T20:00:00"/>
    <x v="3"/>
    <s v="Lunes"/>
    <x v="10"/>
    <x v="3"/>
    <x v="0"/>
    <x v="0"/>
    <x v="0"/>
    <x v="0"/>
    <n v="26000"/>
    <x v="157"/>
    <n v="75.7"/>
    <n v="0"/>
    <n v="160"/>
    <n v="1"/>
    <x v="1"/>
    <n v="261.74"/>
    <n v="0"/>
    <x v="2"/>
    <n v="71.98"/>
    <n v="10.067"/>
    <n v="261.74"/>
  </r>
  <r>
    <n v="1428"/>
    <d v="2025-11-17T20:00:00"/>
    <x v="3"/>
    <s v="Lunes"/>
    <x v="10"/>
    <x v="3"/>
    <x v="0"/>
    <x v="2"/>
    <x v="2"/>
    <x v="2"/>
    <n v="17400"/>
    <x v="156"/>
    <n v="81.900000000000006"/>
    <n v="0"/>
    <n v="1250"/>
    <n v="0"/>
    <x v="0"/>
    <n v="263.23"/>
    <n v="0"/>
    <x v="2"/>
    <n v="69.650000000000006"/>
    <n v="15.128"/>
    <n v="263.23"/>
  </r>
  <r>
    <n v="324"/>
    <d v="2025-11-17T20:00:00"/>
    <x v="3"/>
    <s v="Lunes"/>
    <x v="10"/>
    <x v="3"/>
    <x v="0"/>
    <x v="4"/>
    <x v="4"/>
    <x v="4"/>
    <n v="12500"/>
    <x v="40"/>
    <n v="71.099999999999994"/>
    <n v="0"/>
    <n v="72"/>
    <n v="1"/>
    <x v="1"/>
    <n v="38.74"/>
    <n v="0"/>
    <x v="2"/>
    <n v="10.050000000000001"/>
    <n v="3.0990000000000002"/>
    <n v="38.74"/>
  </r>
  <r>
    <n v="1060"/>
    <d v="2025-11-17T20:00:00"/>
    <x v="3"/>
    <s v="Lunes"/>
    <x v="10"/>
    <x v="3"/>
    <x v="0"/>
    <x v="1"/>
    <x v="1"/>
    <x v="1"/>
    <n v="21000"/>
    <x v="155"/>
    <n v="63.1"/>
    <n v="0"/>
    <n v="402"/>
    <n v="0"/>
    <x v="0"/>
    <n v="268.14999999999998"/>
    <n v="0"/>
    <x v="2"/>
    <n v="71.7"/>
    <n v="12.769"/>
    <n v="268.14999999999998"/>
  </r>
  <r>
    <n v="2164"/>
    <d v="2025-11-17T20:00:00"/>
    <x v="3"/>
    <s v="Lunes"/>
    <x v="10"/>
    <x v="3"/>
    <x v="0"/>
    <x v="3"/>
    <x v="3"/>
    <x v="3"/>
    <n v="9800"/>
    <x v="98"/>
    <n v="82.6"/>
    <n v="0"/>
    <n v="310"/>
    <n v="1"/>
    <x v="1"/>
    <n v="101.84"/>
    <n v="0"/>
    <x v="2"/>
    <n v="27.05"/>
    <n v="10.391999999999999"/>
    <n v="101.84"/>
  </r>
  <r>
    <n v="692"/>
    <d v="2025-11-17T20:00:00"/>
    <x v="3"/>
    <s v="Lunes"/>
    <x v="10"/>
    <x v="3"/>
    <x v="0"/>
    <x v="5"/>
    <x v="5"/>
    <x v="5"/>
    <n v="8600"/>
    <x v="12"/>
    <n v="94"/>
    <n v="0"/>
    <n v="129"/>
    <n v="1"/>
    <x v="1"/>
    <n v="26.14"/>
    <n v="0"/>
    <x v="2"/>
    <n v="6.86"/>
    <n v="3.04"/>
    <n v="26.14"/>
  </r>
  <r>
    <n v="2165"/>
    <d v="2025-11-21T00:00:00"/>
    <x v="0"/>
    <s v="Viernes"/>
    <x v="10"/>
    <x v="3"/>
    <x v="0"/>
    <x v="3"/>
    <x v="3"/>
    <x v="3"/>
    <n v="9800"/>
    <x v="122"/>
    <n v="92.9"/>
    <n v="0"/>
    <n v="287"/>
    <n v="1"/>
    <x v="1"/>
    <n v="95.46"/>
    <n v="0"/>
    <x v="0"/>
    <n v="10.16"/>
    <n v="9.7409999999999997"/>
    <n v="95.46"/>
  </r>
  <r>
    <n v="325"/>
    <d v="2025-11-21T00:00:00"/>
    <x v="0"/>
    <s v="Viernes"/>
    <x v="10"/>
    <x v="3"/>
    <x v="0"/>
    <x v="4"/>
    <x v="4"/>
    <x v="4"/>
    <n v="12500"/>
    <x v="30"/>
    <n v="64.599999999999994"/>
    <n v="0"/>
    <n v="2"/>
    <n v="0"/>
    <x v="0"/>
    <n v="23.83"/>
    <n v="0"/>
    <x v="0"/>
    <n v="2.5"/>
    <n v="1.9059999999999999"/>
    <n v="23.83"/>
  </r>
  <r>
    <n v="1061"/>
    <d v="2025-11-21T00:00:00"/>
    <x v="0"/>
    <s v="Viernes"/>
    <x v="10"/>
    <x v="3"/>
    <x v="0"/>
    <x v="1"/>
    <x v="1"/>
    <x v="1"/>
    <n v="21000"/>
    <x v="151"/>
    <n v="72"/>
    <n v="0"/>
    <n v="262"/>
    <n v="1"/>
    <x v="1"/>
    <n v="186.51"/>
    <n v="0"/>
    <x v="0"/>
    <n v="19.96"/>
    <n v="8.8810000000000002"/>
    <n v="186.51"/>
  </r>
  <r>
    <n v="1797"/>
    <d v="2025-11-21T00:00:00"/>
    <x v="0"/>
    <s v="Viernes"/>
    <x v="10"/>
    <x v="3"/>
    <x v="0"/>
    <x v="0"/>
    <x v="0"/>
    <x v="0"/>
    <n v="26000"/>
    <x v="42"/>
    <n v="76.099999999999994"/>
    <n v="0"/>
    <n v="51"/>
    <n v="1"/>
    <x v="1"/>
    <n v="142.41999999999999"/>
    <n v="0"/>
    <x v="0"/>
    <n v="15.34"/>
    <n v="5.4779999999999998"/>
    <n v="142.41999999999999"/>
  </r>
  <r>
    <n v="693"/>
    <d v="2025-11-21T00:00:00"/>
    <x v="0"/>
    <s v="Viernes"/>
    <x v="10"/>
    <x v="3"/>
    <x v="0"/>
    <x v="5"/>
    <x v="5"/>
    <x v="5"/>
    <n v="8600"/>
    <x v="90"/>
    <n v="99"/>
    <n v="0"/>
    <n v="89"/>
    <n v="1"/>
    <x v="1"/>
    <n v="26.16"/>
    <n v="0"/>
    <x v="0"/>
    <n v="2.71"/>
    <n v="3.0419999999999998"/>
    <n v="26.16"/>
  </r>
  <r>
    <n v="1429"/>
    <d v="2025-11-21T00:00:00"/>
    <x v="0"/>
    <s v="Viernes"/>
    <x v="10"/>
    <x v="3"/>
    <x v="0"/>
    <x v="2"/>
    <x v="2"/>
    <x v="2"/>
    <n v="17400"/>
    <x v="7"/>
    <n v="81.400000000000006"/>
    <n v="0"/>
    <n v="91"/>
    <n v="0"/>
    <x v="0"/>
    <n v="53.8"/>
    <n v="0"/>
    <x v="0"/>
    <n v="5.85"/>
    <n v="3.0920000000000001"/>
    <n v="53.8"/>
  </r>
  <r>
    <n v="1798"/>
    <d v="2025-11-21T08:00:00"/>
    <x v="1"/>
    <s v="Viernes"/>
    <x v="10"/>
    <x v="3"/>
    <x v="0"/>
    <x v="0"/>
    <x v="0"/>
    <x v="0"/>
    <n v="26000"/>
    <x v="138"/>
    <n v="87.2"/>
    <n v="0"/>
    <n v="164"/>
    <n v="1"/>
    <x v="1"/>
    <n v="261.11"/>
    <n v="0"/>
    <x v="1"/>
    <n v="44.49"/>
    <n v="10.042999999999999"/>
    <n v="261.11"/>
  </r>
  <r>
    <n v="1430"/>
    <d v="2025-11-21T08:00:00"/>
    <x v="1"/>
    <s v="Viernes"/>
    <x v="10"/>
    <x v="3"/>
    <x v="0"/>
    <x v="2"/>
    <x v="2"/>
    <x v="2"/>
    <n v="17400"/>
    <x v="72"/>
    <n v="72.900000000000006"/>
    <n v="0"/>
    <n v="46"/>
    <n v="0"/>
    <x v="0"/>
    <n v="49.67"/>
    <n v="0"/>
    <x v="1"/>
    <n v="8.6999999999999993"/>
    <n v="2.855"/>
    <n v="49.67"/>
  </r>
  <r>
    <n v="694"/>
    <d v="2025-11-21T08:00:00"/>
    <x v="1"/>
    <s v="Viernes"/>
    <x v="10"/>
    <x v="3"/>
    <x v="0"/>
    <x v="5"/>
    <x v="5"/>
    <x v="5"/>
    <n v="8600"/>
    <x v="107"/>
    <n v="85.6"/>
    <n v="0"/>
    <m/>
    <n v="1"/>
    <x v="1"/>
    <n v="115.1"/>
    <n v="0"/>
    <x v="1"/>
    <n v="20.63"/>
    <n v="13.384"/>
    <n v="115.1"/>
  </r>
  <r>
    <n v="1062"/>
    <d v="2025-11-21T08:00:00"/>
    <x v="1"/>
    <s v="Viernes"/>
    <x v="10"/>
    <x v="3"/>
    <x v="0"/>
    <x v="1"/>
    <x v="1"/>
    <x v="1"/>
    <n v="21000"/>
    <x v="50"/>
    <n v="73.400000000000006"/>
    <n v="0"/>
    <n v="415"/>
    <n v="1"/>
    <x v="1"/>
    <n v="282.91000000000003"/>
    <n v="0"/>
    <x v="1"/>
    <n v="50.08"/>
    <n v="13.472"/>
    <n v="282.91000000000003"/>
  </r>
  <r>
    <n v="326"/>
    <d v="2025-11-21T08:00:00"/>
    <x v="1"/>
    <s v="Viernes"/>
    <x v="10"/>
    <x v="3"/>
    <x v="0"/>
    <x v="4"/>
    <x v="4"/>
    <x v="4"/>
    <n v="12500"/>
    <x v="98"/>
    <n v="70.099999999999994"/>
    <n v="0"/>
    <n v="364"/>
    <n v="1"/>
    <x v="1"/>
    <n v="116.57"/>
    <n v="0"/>
    <x v="1"/>
    <m/>
    <n v="9.3260000000000005"/>
    <n v="116.57"/>
  </r>
  <r>
    <n v="2166"/>
    <d v="2025-11-21T08:00:00"/>
    <x v="1"/>
    <s v="Viernes"/>
    <x v="10"/>
    <x v="3"/>
    <x v="0"/>
    <x v="3"/>
    <x v="3"/>
    <x v="3"/>
    <n v="9800"/>
    <x v="79"/>
    <n v="83.9"/>
    <n v="0"/>
    <n v="72"/>
    <n v="1"/>
    <x v="1"/>
    <n v="33.18"/>
    <n v="0"/>
    <x v="1"/>
    <n v="5.6"/>
    <n v="3.3860000000000001"/>
    <n v="33.18"/>
  </r>
  <r>
    <n v="2167"/>
    <d v="2025-11-21T14:00:00"/>
    <x v="2"/>
    <s v="Viernes"/>
    <x v="10"/>
    <x v="3"/>
    <x v="0"/>
    <x v="3"/>
    <x v="3"/>
    <x v="3"/>
    <n v="9800"/>
    <x v="139"/>
    <n v="79.5"/>
    <n v="400.3"/>
    <n v="77"/>
    <n v="0"/>
    <x v="0"/>
    <n v="20.38"/>
    <n v="0"/>
    <x v="1"/>
    <n v="3.52"/>
    <n v="2.08"/>
    <n v="20.38"/>
  </r>
  <r>
    <n v="1431"/>
    <d v="2025-11-21T14:00:00"/>
    <x v="2"/>
    <s v="Viernes"/>
    <x v="10"/>
    <x v="3"/>
    <x v="0"/>
    <x v="2"/>
    <x v="2"/>
    <x v="2"/>
    <n v="17400"/>
    <x v="130"/>
    <n v="72.3"/>
    <n v="445.5"/>
    <n v="1305"/>
    <n v="0"/>
    <x v="0"/>
    <n v="192.81"/>
    <n v="56.64"/>
    <x v="1"/>
    <n v="23.18"/>
    <n v="11.081"/>
    <n v="136.16999999999999"/>
  </r>
  <r>
    <n v="695"/>
    <d v="2025-11-21T14:00:00"/>
    <x v="2"/>
    <s v="Viernes"/>
    <x v="10"/>
    <x v="3"/>
    <x v="0"/>
    <x v="5"/>
    <x v="5"/>
    <x v="5"/>
    <n v="8600"/>
    <x v="175"/>
    <n v="99"/>
    <n v="233.1"/>
    <n v="755"/>
    <n v="1"/>
    <x v="1"/>
    <n v="82.83"/>
    <n v="17.36"/>
    <x v="1"/>
    <n v="11.23"/>
    <n v="9.6310000000000002"/>
    <n v="65.47"/>
  </r>
  <r>
    <n v="327"/>
    <d v="2025-11-21T14:00:00"/>
    <x v="2"/>
    <s v="Viernes"/>
    <x v="10"/>
    <x v="3"/>
    <x v="0"/>
    <x v="4"/>
    <x v="4"/>
    <x v="4"/>
    <n v="12500"/>
    <x v="20"/>
    <n v="70.5"/>
    <n v="415.8"/>
    <n v="603"/>
    <n v="1"/>
    <x v="1"/>
    <n v="110"/>
    <n v="61.33"/>
    <x v="1"/>
    <n v="8.32"/>
    <n v="8.8000000000000007"/>
    <n v="48.67"/>
  </r>
  <r>
    <n v="1063"/>
    <d v="2025-11-21T14:00:00"/>
    <x v="2"/>
    <s v="Viernes"/>
    <x v="10"/>
    <x v="3"/>
    <x v="0"/>
    <x v="1"/>
    <x v="1"/>
    <x v="1"/>
    <n v="21000"/>
    <x v="195"/>
    <n v="51.1"/>
    <n v="492.3"/>
    <n v="406"/>
    <n v="0"/>
    <x v="0"/>
    <n v="200.17"/>
    <n v="87.1"/>
    <x v="1"/>
    <n v="19.329999999999998"/>
    <n v="9.532"/>
    <n v="113.07"/>
  </r>
  <r>
    <n v="1799"/>
    <d v="2025-11-21T14:00:00"/>
    <x v="2"/>
    <s v="Viernes"/>
    <x v="10"/>
    <x v="3"/>
    <x v="0"/>
    <x v="0"/>
    <x v="0"/>
    <x v="0"/>
    <n v="26000"/>
    <x v="152"/>
    <n v="68.3"/>
    <n v="362"/>
    <n v="168"/>
    <n v="0"/>
    <x v="0"/>
    <n v="156.86000000000001"/>
    <n v="102.17"/>
    <x v="1"/>
    <n v="9.64"/>
    <n v="6.0330000000000004"/>
    <n v="54.69"/>
  </r>
  <r>
    <n v="2168"/>
    <d v="2025-11-21T20:00:00"/>
    <x v="3"/>
    <s v="Viernes"/>
    <x v="10"/>
    <x v="3"/>
    <x v="0"/>
    <x v="3"/>
    <x v="3"/>
    <x v="3"/>
    <n v="9800"/>
    <x v="89"/>
    <n v="88.8"/>
    <n v="0"/>
    <n v="291"/>
    <n v="1"/>
    <x v="1"/>
    <n v="97.64"/>
    <n v="0"/>
    <x v="2"/>
    <n v="26.41"/>
    <n v="9.9629999999999992"/>
    <n v="97.64"/>
  </r>
  <r>
    <n v="328"/>
    <d v="2025-11-21T20:00:00"/>
    <x v="3"/>
    <s v="Viernes"/>
    <x v="10"/>
    <x v="3"/>
    <x v="0"/>
    <x v="4"/>
    <x v="4"/>
    <x v="4"/>
    <n v="12500"/>
    <x v="100"/>
    <n v="70.900000000000006"/>
    <n v="0"/>
    <n v="91"/>
    <n v="1"/>
    <x v="1"/>
    <n v="43.1"/>
    <n v="0"/>
    <x v="2"/>
    <n v="11.53"/>
    <n v="3.448"/>
    <n v="43.1"/>
  </r>
  <r>
    <n v="1064"/>
    <d v="2025-11-21T20:00:00"/>
    <x v="3"/>
    <s v="Viernes"/>
    <x v="10"/>
    <x v="3"/>
    <x v="0"/>
    <x v="1"/>
    <x v="1"/>
    <x v="1"/>
    <n v="21000"/>
    <x v="146"/>
    <n v="79.099999999999994"/>
    <n v="0"/>
    <n v="387"/>
    <n v="1"/>
    <x v="1"/>
    <n v="264.41000000000003"/>
    <n v="0"/>
    <x v="2"/>
    <n v="70.650000000000006"/>
    <n v="12.590999999999999"/>
    <n v="264.41000000000003"/>
  </r>
  <r>
    <n v="1432"/>
    <d v="2025-11-21T20:00:00"/>
    <x v="3"/>
    <s v="Viernes"/>
    <x v="10"/>
    <x v="3"/>
    <x v="0"/>
    <x v="2"/>
    <x v="2"/>
    <x v="2"/>
    <n v="17400"/>
    <x v="97"/>
    <n v="77.2"/>
    <n v="0"/>
    <n v="1250"/>
    <n v="0"/>
    <x v="0"/>
    <n v="269.13"/>
    <n v="0"/>
    <x v="2"/>
    <n v="69"/>
    <n v="15.467000000000001"/>
    <n v="269.13"/>
  </r>
  <r>
    <n v="1800"/>
    <d v="2025-11-21T20:00:00"/>
    <x v="3"/>
    <s v="Viernes"/>
    <x v="10"/>
    <x v="3"/>
    <x v="0"/>
    <x v="0"/>
    <x v="0"/>
    <x v="0"/>
    <n v="26000"/>
    <x v="50"/>
    <n v="65.900000000000006"/>
    <n v="0"/>
    <n v="178"/>
    <n v="1"/>
    <x v="1"/>
    <n v="270.39999999999998"/>
    <n v="0"/>
    <x v="2"/>
    <n v="73.52"/>
    <n v="10.4"/>
    <n v="270.39999999999998"/>
  </r>
  <r>
    <n v="696"/>
    <d v="2025-11-21T20:00:00"/>
    <x v="3"/>
    <s v="Viernes"/>
    <x v="10"/>
    <x v="3"/>
    <x v="0"/>
    <x v="5"/>
    <x v="5"/>
    <x v="5"/>
    <n v="8600"/>
    <x v="122"/>
    <n v="90.1"/>
    <n v="0"/>
    <n v="103"/>
    <n v="1"/>
    <x v="1"/>
    <n v="27.17"/>
    <n v="0"/>
    <x v="2"/>
    <n v="7.09"/>
    <n v="3.1589999999999998"/>
    <n v="27.17"/>
  </r>
  <r>
    <n v="1065"/>
    <d v="2025-11-25T00:00:00"/>
    <x v="0"/>
    <s v="Martes"/>
    <x v="10"/>
    <x v="3"/>
    <x v="0"/>
    <x v="1"/>
    <x v="1"/>
    <x v="1"/>
    <n v="21000"/>
    <x v="65"/>
    <n v="64.900000000000006"/>
    <n v="0"/>
    <n v="240"/>
    <n v="1"/>
    <x v="1"/>
    <n v="184.66"/>
    <n v="0"/>
    <x v="0"/>
    <n v="19.2"/>
    <n v="8.7929999999999993"/>
    <n v="184.66"/>
  </r>
  <r>
    <n v="329"/>
    <d v="2025-11-25T00:00:00"/>
    <x v="0"/>
    <s v="Martes"/>
    <x v="10"/>
    <x v="3"/>
    <x v="0"/>
    <x v="4"/>
    <x v="4"/>
    <x v="4"/>
    <n v="12500"/>
    <x v="83"/>
    <n v="85.3"/>
    <n v="0"/>
    <n v="4"/>
    <n v="0"/>
    <x v="0"/>
    <n v="23.24"/>
    <n v="0"/>
    <x v="0"/>
    <n v="2.54"/>
    <n v="1.859"/>
    <n v="23.24"/>
  </r>
  <r>
    <n v="2169"/>
    <d v="2025-11-25T00:00:00"/>
    <x v="0"/>
    <s v="Martes"/>
    <x v="10"/>
    <x v="3"/>
    <x v="0"/>
    <x v="3"/>
    <x v="3"/>
    <x v="3"/>
    <n v="9800"/>
    <x v="29"/>
    <n v="89.2"/>
    <n v="0"/>
    <n v="311"/>
    <n v="1"/>
    <x v="1"/>
    <n v="106.98"/>
    <n v="0"/>
    <x v="0"/>
    <n v="11.53"/>
    <n v="10.916"/>
    <n v="106.98"/>
  </r>
  <r>
    <n v="1801"/>
    <d v="2025-11-25T00:00:00"/>
    <x v="0"/>
    <s v="Martes"/>
    <x v="10"/>
    <x v="3"/>
    <x v="0"/>
    <x v="0"/>
    <x v="0"/>
    <x v="0"/>
    <n v="26000"/>
    <x v="108"/>
    <n v="73.900000000000006"/>
    <n v="0"/>
    <n v="30"/>
    <n v="1"/>
    <x v="1"/>
    <n v="117.61"/>
    <n v="0"/>
    <x v="0"/>
    <n v="12.87"/>
    <n v="4.5229999999999997"/>
    <n v="117.61"/>
  </r>
  <r>
    <n v="1433"/>
    <d v="2025-11-25T00:00:00"/>
    <x v="0"/>
    <s v="Martes"/>
    <x v="10"/>
    <x v="3"/>
    <x v="0"/>
    <x v="2"/>
    <x v="2"/>
    <x v="2"/>
    <n v="17400"/>
    <x v="33"/>
    <n v="84.6"/>
    <n v="0"/>
    <n v="85"/>
    <n v="0"/>
    <x v="0"/>
    <n v="52.97"/>
    <n v="0"/>
    <x v="0"/>
    <n v="5.74"/>
    <n v="3.044"/>
    <n v="52.97"/>
  </r>
  <r>
    <n v="697"/>
    <d v="2025-11-25T00:00:00"/>
    <x v="0"/>
    <s v="Martes"/>
    <x v="10"/>
    <x v="3"/>
    <x v="0"/>
    <x v="5"/>
    <x v="5"/>
    <x v="5"/>
    <n v="8600"/>
    <x v="133"/>
    <n v="99"/>
    <n v="0"/>
    <n v="73"/>
    <n v="1"/>
    <x v="1"/>
    <n v="25.34"/>
    <n v="0"/>
    <x v="0"/>
    <n v="2.66"/>
    <n v="2.9470000000000001"/>
    <n v="25.34"/>
  </r>
  <r>
    <n v="698"/>
    <d v="2025-11-25T08:00:00"/>
    <x v="1"/>
    <s v="Martes"/>
    <x v="10"/>
    <x v="3"/>
    <x v="0"/>
    <x v="5"/>
    <x v="5"/>
    <x v="5"/>
    <n v="8600"/>
    <x v="43"/>
    <n v="99"/>
    <n v="0"/>
    <n v="767"/>
    <n v="1"/>
    <x v="1"/>
    <n v="124.8"/>
    <n v="0"/>
    <x v="1"/>
    <n v="21.55"/>
    <n v="14.512"/>
    <n v="124.8"/>
  </r>
  <r>
    <n v="1802"/>
    <d v="2025-11-25T08:00:00"/>
    <x v="1"/>
    <s v="Martes"/>
    <x v="10"/>
    <x v="3"/>
    <x v="0"/>
    <x v="0"/>
    <x v="0"/>
    <x v="0"/>
    <n v="26000"/>
    <x v="332"/>
    <n v="84.1"/>
    <n v="0"/>
    <n v="161"/>
    <n v="1"/>
    <x v="1"/>
    <n v="276.13"/>
    <n v="0"/>
    <x v="1"/>
    <n v="47.36"/>
    <n v="10.62"/>
    <n v="276.13"/>
  </r>
  <r>
    <n v="2170"/>
    <d v="2025-11-25T08:00:00"/>
    <x v="1"/>
    <s v="Martes"/>
    <x v="10"/>
    <x v="3"/>
    <x v="0"/>
    <x v="3"/>
    <x v="3"/>
    <x v="3"/>
    <n v="9800"/>
    <x v="129"/>
    <n v="87.6"/>
    <n v="0"/>
    <n v="74"/>
    <n v="1"/>
    <x v="1"/>
    <n v="33.53"/>
    <n v="0"/>
    <x v="1"/>
    <n v="5.69"/>
    <n v="3.4209999999999998"/>
    <n v="33.53"/>
  </r>
  <r>
    <n v="1434"/>
    <d v="2025-11-25T08:00:00"/>
    <x v="1"/>
    <s v="Martes"/>
    <x v="10"/>
    <x v="3"/>
    <x v="0"/>
    <x v="2"/>
    <x v="2"/>
    <x v="2"/>
    <n v="17400"/>
    <x v="43"/>
    <n v="81.400000000000006"/>
    <n v="0"/>
    <n v="61"/>
    <n v="0"/>
    <x v="0"/>
    <n v="46.75"/>
    <n v="0"/>
    <x v="1"/>
    <n v="8.07"/>
    <n v="2.6869999999999998"/>
    <n v="46.75"/>
  </r>
  <r>
    <n v="330"/>
    <d v="2025-11-25T08:00:00"/>
    <x v="1"/>
    <s v="Martes"/>
    <x v="10"/>
    <x v="3"/>
    <x v="0"/>
    <x v="4"/>
    <x v="4"/>
    <x v="4"/>
    <n v="12500"/>
    <x v="3"/>
    <n v="66.900000000000006"/>
    <n v="0"/>
    <n v="344"/>
    <n v="1"/>
    <x v="1"/>
    <n v="105.73"/>
    <n v="0"/>
    <x v="1"/>
    <n v="18.829999999999998"/>
    <n v="8.4580000000000002"/>
    <n v="105.73"/>
  </r>
  <r>
    <n v="1066"/>
    <d v="2025-11-25T08:00:00"/>
    <x v="1"/>
    <s v="Martes"/>
    <x v="10"/>
    <x v="3"/>
    <x v="0"/>
    <x v="1"/>
    <x v="1"/>
    <x v="1"/>
    <n v="21000"/>
    <x v="132"/>
    <n v="74.099999999999994"/>
    <n v="0"/>
    <n v="402"/>
    <n v="1"/>
    <x v="1"/>
    <n v="277.52"/>
    <n v="0"/>
    <x v="1"/>
    <n v="48.18"/>
    <n v="13.215"/>
    <n v="277.52"/>
  </r>
  <r>
    <n v="1435"/>
    <d v="2025-11-25T14:00:00"/>
    <x v="2"/>
    <s v="Martes"/>
    <x v="10"/>
    <x v="3"/>
    <x v="0"/>
    <x v="2"/>
    <x v="2"/>
    <x v="2"/>
    <n v="17400"/>
    <x v="155"/>
    <n v="69.5"/>
    <n v="389.4"/>
    <n v="1403"/>
    <n v="0"/>
    <x v="0"/>
    <n v="196.1"/>
    <n v="46.03"/>
    <x v="1"/>
    <n v="25.5"/>
    <n v="11.27"/>
    <n v="150.07"/>
  </r>
  <r>
    <n v="1067"/>
    <d v="2025-11-25T14:00:00"/>
    <x v="2"/>
    <s v="Martes"/>
    <x v="10"/>
    <x v="3"/>
    <x v="0"/>
    <x v="1"/>
    <x v="1"/>
    <x v="1"/>
    <n v="21000"/>
    <x v="163"/>
    <n v="72.099999999999994"/>
    <n v="386.3"/>
    <n v="425"/>
    <n v="0"/>
    <x v="0"/>
    <n v="213.21"/>
    <n v="77.209999999999994"/>
    <x v="1"/>
    <n v="23.34"/>
    <n v="10.153"/>
    <n v="136"/>
  </r>
  <r>
    <n v="699"/>
    <d v="2025-11-25T14:00:00"/>
    <x v="2"/>
    <s v="Martes"/>
    <x v="10"/>
    <x v="3"/>
    <x v="0"/>
    <x v="5"/>
    <x v="5"/>
    <x v="5"/>
    <n v="8600"/>
    <x v="11"/>
    <n v="95"/>
    <n v="324.2"/>
    <n v="805"/>
    <n v="1"/>
    <x v="2"/>
    <n v="72.900000000000006"/>
    <n v="26.63"/>
    <x v="1"/>
    <n v="7.78"/>
    <n v="8.4770000000000003"/>
    <n v="46.27"/>
  </r>
  <r>
    <n v="331"/>
    <d v="2025-11-25T14:00:00"/>
    <x v="2"/>
    <s v="Martes"/>
    <x v="10"/>
    <x v="3"/>
    <x v="0"/>
    <x v="4"/>
    <x v="4"/>
    <x v="4"/>
    <n v="12500"/>
    <x v="223"/>
    <n v="56.5"/>
    <n v="450.9"/>
    <n v="519"/>
    <n v="0"/>
    <x v="0"/>
    <n v="110.14"/>
    <n v="73.650000000000006"/>
    <x v="1"/>
    <n v="6.31"/>
    <n v="8.8109999999999999"/>
    <n v="36.49"/>
  </r>
  <r>
    <n v="2171"/>
    <d v="2025-11-25T14:00:00"/>
    <x v="2"/>
    <s v="Martes"/>
    <x v="10"/>
    <x v="3"/>
    <x v="0"/>
    <x v="3"/>
    <x v="3"/>
    <x v="3"/>
    <n v="9800"/>
    <x v="135"/>
    <n v="73.400000000000006"/>
    <n v="541.9"/>
    <n v="84"/>
    <n v="0"/>
    <x v="0"/>
    <n v="20.5"/>
    <n v="0"/>
    <x v="1"/>
    <n v="3.55"/>
    <n v="2.0920000000000001"/>
    <n v="20.5"/>
  </r>
  <r>
    <n v="1803"/>
    <d v="2025-11-25T14:00:00"/>
    <x v="2"/>
    <s v="Martes"/>
    <x v="10"/>
    <x v="3"/>
    <x v="0"/>
    <x v="0"/>
    <x v="0"/>
    <x v="0"/>
    <n v="26000"/>
    <x v="88"/>
    <n v="82.1"/>
    <n v="469.1"/>
    <n v="189"/>
    <n v="1"/>
    <x v="1"/>
    <n v="162.08000000000001"/>
    <n v="112.47"/>
    <x v="1"/>
    <n v="8.42"/>
    <n v="6.234"/>
    <n v="49.61"/>
  </r>
  <r>
    <n v="1068"/>
    <d v="2025-11-25T20:00:00"/>
    <x v="3"/>
    <s v="Martes"/>
    <x v="10"/>
    <x v="3"/>
    <x v="0"/>
    <x v="1"/>
    <x v="1"/>
    <x v="1"/>
    <n v="21000"/>
    <x v="260"/>
    <n v="70.7"/>
    <n v="0"/>
    <n v="412"/>
    <n v="1"/>
    <x v="1"/>
    <n v="288.58"/>
    <n v="0"/>
    <x v="2"/>
    <n v="75.03"/>
    <n v="13.742000000000001"/>
    <n v="288.58"/>
  </r>
  <r>
    <n v="1436"/>
    <d v="2025-11-25T20:00:00"/>
    <x v="3"/>
    <s v="Martes"/>
    <x v="10"/>
    <x v="3"/>
    <x v="0"/>
    <x v="2"/>
    <x v="2"/>
    <x v="2"/>
    <n v="17400"/>
    <x v="143"/>
    <n v="77"/>
    <n v="0"/>
    <n v="1342"/>
    <n v="1"/>
    <x v="1"/>
    <n v="277.62"/>
    <n v="0"/>
    <x v="2"/>
    <n v="74.819999999999993"/>
    <n v="15.955"/>
    <n v="277.62"/>
  </r>
  <r>
    <n v="1804"/>
    <d v="2025-11-25T20:00:00"/>
    <x v="3"/>
    <s v="Martes"/>
    <x v="10"/>
    <x v="3"/>
    <x v="0"/>
    <x v="0"/>
    <x v="0"/>
    <x v="0"/>
    <n v="26000"/>
    <x v="124"/>
    <n v="61.3"/>
    <n v="0"/>
    <n v="164"/>
    <n v="1"/>
    <x v="2"/>
    <n v="246.36"/>
    <n v="0"/>
    <x v="2"/>
    <n v="64.13"/>
    <n v="9.4749999999999996"/>
    <n v="246.36"/>
  </r>
  <r>
    <n v="332"/>
    <d v="2025-11-25T20:00:00"/>
    <x v="3"/>
    <s v="Martes"/>
    <x v="10"/>
    <x v="3"/>
    <x v="0"/>
    <x v="4"/>
    <x v="4"/>
    <x v="4"/>
    <n v="12500"/>
    <x v="65"/>
    <n v="71.7"/>
    <n v="0"/>
    <n v="94"/>
    <n v="1"/>
    <x v="1"/>
    <n v="46.79"/>
    <n v="0"/>
    <x v="2"/>
    <n v="11.92"/>
    <n v="3.7429999999999999"/>
    <n v="46.79"/>
  </r>
  <r>
    <n v="700"/>
    <d v="2025-11-25T20:00:00"/>
    <x v="3"/>
    <s v="Martes"/>
    <x v="10"/>
    <x v="3"/>
    <x v="0"/>
    <x v="5"/>
    <x v="5"/>
    <x v="5"/>
    <n v="8600"/>
    <x v="52"/>
    <n v="96.4"/>
    <n v="0"/>
    <n v="0"/>
    <n v="1"/>
    <x v="1"/>
    <n v="20.13"/>
    <n v="0"/>
    <x v="2"/>
    <n v="5.34"/>
    <n v="2.3410000000000002"/>
    <n v="20.13"/>
  </r>
  <r>
    <n v="2172"/>
    <d v="2025-11-25T20:00:00"/>
    <x v="3"/>
    <s v="Martes"/>
    <x v="10"/>
    <x v="3"/>
    <x v="0"/>
    <x v="3"/>
    <x v="3"/>
    <x v="3"/>
    <n v="9800"/>
    <x v="50"/>
    <n v="86.4"/>
    <n v="0"/>
    <n v="329"/>
    <n v="1"/>
    <x v="1"/>
    <n v="93.51"/>
    <n v="0"/>
    <x v="2"/>
    <n v="24.66"/>
    <n v="9.5419999999999998"/>
    <n v="93.51"/>
  </r>
  <r>
    <n v="1805"/>
    <d v="2025-11-29T00:00:00"/>
    <x v="0"/>
    <s v="Sabado"/>
    <x v="10"/>
    <x v="3"/>
    <x v="1"/>
    <x v="0"/>
    <x v="0"/>
    <x v="0"/>
    <n v="26000"/>
    <x v="138"/>
    <n v="74.099999999999994"/>
    <n v="0"/>
    <n v="45"/>
    <n v="1"/>
    <x v="1"/>
    <n v="92.2"/>
    <n v="0"/>
    <x v="0"/>
    <n v="10"/>
    <n v="3.5459999999999998"/>
    <n v="92.2"/>
  </r>
  <r>
    <n v="2173"/>
    <d v="2025-11-29T00:00:00"/>
    <x v="0"/>
    <s v="Sabado"/>
    <x v="10"/>
    <x v="3"/>
    <x v="1"/>
    <x v="3"/>
    <x v="3"/>
    <x v="3"/>
    <n v="9800"/>
    <x v="333"/>
    <n v="89.5"/>
    <n v="0"/>
    <n v="309"/>
    <n v="1"/>
    <x v="1"/>
    <n v="105.91"/>
    <n v="0"/>
    <x v="0"/>
    <n v="11.44"/>
    <n v="10.807"/>
    <n v="105.91"/>
  </r>
  <r>
    <n v="1437"/>
    <d v="2025-11-29T00:00:00"/>
    <x v="0"/>
    <s v="Sabado"/>
    <x v="10"/>
    <x v="3"/>
    <x v="1"/>
    <x v="2"/>
    <x v="2"/>
    <x v="2"/>
    <n v="17400"/>
    <x v="132"/>
    <n v="76.900000000000006"/>
    <n v="0"/>
    <n v="0"/>
    <n v="1"/>
    <x v="1"/>
    <n v="55.18"/>
    <n v="0"/>
    <x v="0"/>
    <n v="5.82"/>
    <n v="3.1709999999999998"/>
    <n v="55.18"/>
  </r>
  <r>
    <n v="701"/>
    <d v="2025-11-29T00:00:00"/>
    <x v="0"/>
    <s v="Sabado"/>
    <x v="10"/>
    <x v="3"/>
    <x v="1"/>
    <x v="5"/>
    <x v="5"/>
    <x v="5"/>
    <n v="8600"/>
    <x v="138"/>
    <n v="90.5"/>
    <n v="0"/>
    <n v="9"/>
    <n v="0"/>
    <x v="0"/>
    <n v="13.09"/>
    <n v="0"/>
    <x v="0"/>
    <n v="1.41"/>
    <n v="1.522"/>
    <n v="13.09"/>
  </r>
  <r>
    <n v="1069"/>
    <d v="2025-11-29T00:00:00"/>
    <x v="0"/>
    <s v="Sabado"/>
    <x v="10"/>
    <x v="3"/>
    <x v="1"/>
    <x v="1"/>
    <x v="1"/>
    <x v="1"/>
    <n v="21000"/>
    <x v="120"/>
    <n v="69.8"/>
    <n v="0"/>
    <n v="237"/>
    <n v="1"/>
    <x v="1"/>
    <n v="194.47"/>
    <n v="0"/>
    <x v="0"/>
    <n v="20.96"/>
    <n v="9.26"/>
    <n v="194.47"/>
  </r>
  <r>
    <n v="333"/>
    <d v="2025-11-29T00:00:00"/>
    <x v="0"/>
    <s v="Sabado"/>
    <x v="10"/>
    <x v="3"/>
    <x v="1"/>
    <x v="4"/>
    <x v="4"/>
    <x v="4"/>
    <n v="12500"/>
    <x v="43"/>
    <n v="73.099999999999994"/>
    <n v="0"/>
    <n v="13"/>
    <n v="0"/>
    <x v="0"/>
    <n v="24.81"/>
    <n v="0"/>
    <x v="0"/>
    <n v="2.68"/>
    <n v="1.9850000000000001"/>
    <n v="24.81"/>
  </r>
  <r>
    <n v="1806"/>
    <d v="2025-11-29T08:00:00"/>
    <x v="1"/>
    <s v="Sabado"/>
    <x v="10"/>
    <x v="3"/>
    <x v="1"/>
    <x v="0"/>
    <x v="0"/>
    <x v="0"/>
    <n v="26000"/>
    <x v="31"/>
    <n v="74.3"/>
    <n v="0"/>
    <n v="69"/>
    <n v="1"/>
    <x v="1"/>
    <n v="137.58000000000001"/>
    <n v="0"/>
    <x v="0"/>
    <n v="14.6"/>
    <n v="5.2919999999999998"/>
    <n v="137.58000000000001"/>
  </r>
  <r>
    <n v="1438"/>
    <d v="2025-11-29T08:00:00"/>
    <x v="1"/>
    <s v="Sabado"/>
    <x v="10"/>
    <x v="3"/>
    <x v="1"/>
    <x v="2"/>
    <x v="2"/>
    <x v="2"/>
    <n v="17400"/>
    <x v="118"/>
    <n v="89.9"/>
    <n v="0"/>
    <n v="132"/>
    <n v="1"/>
    <x v="1"/>
    <n v="58.28"/>
    <n v="0"/>
    <x v="0"/>
    <n v="6.35"/>
    <n v="3.3490000000000002"/>
    <n v="58.28"/>
  </r>
  <r>
    <n v="1070"/>
    <d v="2025-11-29T08:00:00"/>
    <x v="1"/>
    <s v="Sabado"/>
    <x v="10"/>
    <x v="3"/>
    <x v="1"/>
    <x v="1"/>
    <x v="1"/>
    <x v="1"/>
    <n v="21000"/>
    <x v="40"/>
    <n v="60.3"/>
    <n v="0"/>
    <n v="401"/>
    <n v="1"/>
    <x v="1"/>
    <n v="273.37"/>
    <n v="0"/>
    <x v="0"/>
    <n v="29.88"/>
    <n v="13.018000000000001"/>
    <n v="273.37"/>
  </r>
  <r>
    <n v="334"/>
    <d v="2025-11-29T08:00:00"/>
    <x v="1"/>
    <s v="Sabado"/>
    <x v="10"/>
    <x v="3"/>
    <x v="1"/>
    <x v="4"/>
    <x v="4"/>
    <x v="4"/>
    <n v="12500"/>
    <x v="127"/>
    <n v="81.599999999999994"/>
    <n v="0"/>
    <n v="0"/>
    <n v="0"/>
    <x v="0"/>
    <n v="23.06"/>
    <n v="0"/>
    <x v="0"/>
    <n v="2.37"/>
    <n v="1.845"/>
    <n v="23.06"/>
  </r>
  <r>
    <n v="2174"/>
    <d v="2025-11-29T08:00:00"/>
    <x v="1"/>
    <s v="Sabado"/>
    <x v="10"/>
    <x v="3"/>
    <x v="1"/>
    <x v="3"/>
    <x v="3"/>
    <x v="3"/>
    <n v="9800"/>
    <x v="117"/>
    <n v="94.1"/>
    <n v="0"/>
    <n v="113"/>
    <n v="1"/>
    <x v="1"/>
    <n v="50.92"/>
    <n v="0"/>
    <x v="0"/>
    <n v="5.54"/>
    <n v="5.1959999999999997"/>
    <n v="50.92"/>
  </r>
  <r>
    <n v="702"/>
    <d v="2025-11-29T08:00:00"/>
    <x v="1"/>
    <s v="Sabado"/>
    <x v="10"/>
    <x v="3"/>
    <x v="1"/>
    <x v="5"/>
    <x v="5"/>
    <x v="5"/>
    <n v="8600"/>
    <x v="6"/>
    <n v="95.1"/>
    <n v="0"/>
    <n v="0"/>
    <n v="0"/>
    <x v="0"/>
    <n v="11.45"/>
    <n v="0"/>
    <x v="0"/>
    <n v="1.21"/>
    <n v="1.331"/>
    <n v="11.45"/>
  </r>
  <r>
    <n v="1071"/>
    <d v="2025-11-29T14:00:00"/>
    <x v="2"/>
    <s v="Sabado"/>
    <x v="10"/>
    <x v="3"/>
    <x v="1"/>
    <x v="1"/>
    <x v="1"/>
    <x v="1"/>
    <n v="21000"/>
    <x v="43"/>
    <n v="78"/>
    <m/>
    <n v="391"/>
    <n v="0"/>
    <x v="0"/>
    <n v="188.8"/>
    <n v="74.510000000000005"/>
    <x v="0"/>
    <n v="12.22"/>
    <n v="8.99"/>
    <n v="114.29"/>
  </r>
  <r>
    <n v="2175"/>
    <d v="2025-11-29T14:00:00"/>
    <x v="2"/>
    <s v="Sabado"/>
    <x v="10"/>
    <x v="3"/>
    <x v="1"/>
    <x v="3"/>
    <x v="3"/>
    <x v="3"/>
    <n v="9800"/>
    <x v="153"/>
    <n v="95.9"/>
    <n v="437.5"/>
    <n v="112"/>
    <n v="1"/>
    <x v="2"/>
    <n v="25.76"/>
    <n v="0"/>
    <x v="0"/>
    <n v="2.7"/>
    <n v="2.629"/>
    <n v="25.76"/>
  </r>
  <r>
    <n v="703"/>
    <d v="2025-11-29T14:00:00"/>
    <x v="2"/>
    <s v="Sabado"/>
    <x v="10"/>
    <x v="3"/>
    <x v="1"/>
    <x v="5"/>
    <x v="5"/>
    <x v="5"/>
    <n v="8600"/>
    <x v="53"/>
    <n v="90"/>
    <n v="278.10000000000002"/>
    <n v="0"/>
    <n v="0"/>
    <x v="0"/>
    <n v="7.66"/>
    <n v="20.48"/>
    <x v="0"/>
    <n v="-0.55000000000000004"/>
    <n v="0.89100000000000001"/>
    <n v="0"/>
  </r>
  <r>
    <n v="335"/>
    <d v="2025-11-29T14:00:00"/>
    <x v="2"/>
    <s v="Sabado"/>
    <x v="10"/>
    <x v="3"/>
    <x v="1"/>
    <x v="4"/>
    <x v="4"/>
    <x v="4"/>
    <n v="12500"/>
    <x v="32"/>
    <n v="59.4"/>
    <n v="550.4"/>
    <m/>
    <n v="0"/>
    <x v="0"/>
    <n v="16.64"/>
    <n v="79.36"/>
    <x v="0"/>
    <n v="-2.71"/>
    <n v="1.331"/>
    <n v="0"/>
  </r>
  <r>
    <n v="1439"/>
    <d v="2025-11-29T14:00:00"/>
    <x v="2"/>
    <s v="Sabado"/>
    <x v="10"/>
    <x v="3"/>
    <x v="1"/>
    <x v="2"/>
    <x v="2"/>
    <x v="2"/>
    <n v="17400"/>
    <x v="34"/>
    <n v="76.599999999999994"/>
    <n v="334.2"/>
    <n v="1635"/>
    <n v="1"/>
    <x v="1"/>
    <n v="236.46"/>
    <n v="41.83"/>
    <x v="0"/>
    <n v="21.25"/>
    <n v="13.59"/>
    <n v="194.63"/>
  </r>
  <r>
    <n v="1807"/>
    <d v="2025-11-29T14:00:00"/>
    <x v="2"/>
    <s v="Sabado"/>
    <x v="10"/>
    <x v="3"/>
    <x v="1"/>
    <x v="0"/>
    <x v="0"/>
    <x v="0"/>
    <n v="26000"/>
    <x v="140"/>
    <n v="74.400000000000006"/>
    <n v="325.2"/>
    <n v="80"/>
    <n v="1"/>
    <x v="1"/>
    <n v="83.27"/>
    <n v="99.48"/>
    <x v="0"/>
    <n v="-0.68"/>
    <n v="3.2029999999999998"/>
    <n v="0"/>
  </r>
  <r>
    <n v="1072"/>
    <d v="2025-11-29T20:00:00"/>
    <x v="3"/>
    <s v="Sabado"/>
    <x v="10"/>
    <x v="3"/>
    <x v="1"/>
    <x v="1"/>
    <x v="1"/>
    <x v="1"/>
    <n v="21000"/>
    <x v="37"/>
    <n v="66.7"/>
    <n v="0"/>
    <n v="447"/>
    <n v="1"/>
    <x v="1"/>
    <n v="273.35000000000002"/>
    <n v="0"/>
    <x v="0"/>
    <n v="29.71"/>
    <n v="13.016999999999999"/>
    <n v="273.35000000000002"/>
  </r>
  <r>
    <n v="1808"/>
    <d v="2025-11-29T20:00:00"/>
    <x v="3"/>
    <s v="Sabado"/>
    <x v="10"/>
    <x v="3"/>
    <x v="1"/>
    <x v="0"/>
    <x v="0"/>
    <x v="0"/>
    <n v="26000"/>
    <x v="260"/>
    <n v="67.900000000000006"/>
    <n v="0"/>
    <n v="72"/>
    <n v="1"/>
    <x v="1"/>
    <n v="133.85"/>
    <n v="0"/>
    <x v="0"/>
    <n v="14.08"/>
    <n v="5.1479999999999997"/>
    <n v="133.85"/>
  </r>
  <r>
    <n v="704"/>
    <d v="2025-11-29T20:00:00"/>
    <x v="3"/>
    <s v="Sabado"/>
    <x v="10"/>
    <x v="3"/>
    <x v="1"/>
    <x v="5"/>
    <x v="5"/>
    <x v="5"/>
    <n v="8600"/>
    <x v="117"/>
    <n v="98.9"/>
    <n v="0"/>
    <n v="0"/>
    <n v="0"/>
    <x v="0"/>
    <n v="11.95"/>
    <n v="0"/>
    <x v="0"/>
    <n v="1.26"/>
    <n v="1.39"/>
    <n v="11.95"/>
  </r>
  <r>
    <n v="1440"/>
    <d v="2025-11-29T20:00:00"/>
    <x v="3"/>
    <s v="Sabado"/>
    <x v="10"/>
    <x v="3"/>
    <x v="1"/>
    <x v="2"/>
    <x v="2"/>
    <x v="2"/>
    <n v="17400"/>
    <x v="20"/>
    <n v="94.5"/>
    <n v="0"/>
    <n v="1670"/>
    <n v="1"/>
    <x v="1"/>
    <n v="313.99"/>
    <n v="0"/>
    <x v="0"/>
    <n v="33.159999999999997"/>
    <n v="18.045000000000002"/>
    <n v="313.99"/>
  </r>
  <r>
    <n v="336"/>
    <d v="2025-11-29T20:00:00"/>
    <x v="3"/>
    <s v="Sabado"/>
    <x v="10"/>
    <x v="3"/>
    <x v="1"/>
    <x v="4"/>
    <x v="4"/>
    <x v="4"/>
    <n v="12500"/>
    <x v="31"/>
    <n v="67.099999999999994"/>
    <n v="0"/>
    <n v="18"/>
    <n v="0"/>
    <x v="0"/>
    <n v="25.17"/>
    <n v="0"/>
    <x v="0"/>
    <n v="2.7"/>
    <n v="2.0139999999999998"/>
    <n v="25.17"/>
  </r>
  <r>
    <n v="2176"/>
    <d v="2025-11-29T20:00:00"/>
    <x v="3"/>
    <s v="Sabado"/>
    <x v="10"/>
    <x v="3"/>
    <x v="1"/>
    <x v="3"/>
    <x v="3"/>
    <x v="3"/>
    <n v="9800"/>
    <x v="96"/>
    <n v="76.8"/>
    <n v="0"/>
    <n v="335"/>
    <n v="1"/>
    <x v="1"/>
    <n v="98.04"/>
    <n v="0"/>
    <x v="0"/>
    <n v="10.43"/>
    <n v="10.004"/>
    <n v="98.04"/>
  </r>
  <r>
    <n v="1441"/>
    <d v="2025-12-03T00:00:00"/>
    <x v="0"/>
    <s v="Miercoles"/>
    <x v="11"/>
    <x v="0"/>
    <x v="0"/>
    <x v="2"/>
    <x v="2"/>
    <x v="2"/>
    <n v="17400"/>
    <x v="18"/>
    <n v="95.9"/>
    <n v="0"/>
    <n v="139"/>
    <n v="0"/>
    <x v="0"/>
    <n v="54.73"/>
    <n v="0"/>
    <x v="0"/>
    <n v="5.86"/>
    <n v="3.145"/>
    <n v="54.73"/>
  </r>
  <r>
    <n v="1809"/>
    <d v="2025-12-03T00:00:00"/>
    <x v="0"/>
    <s v="Miercoles"/>
    <x v="11"/>
    <x v="0"/>
    <x v="0"/>
    <x v="0"/>
    <x v="0"/>
    <x v="0"/>
    <n v="26000"/>
    <x v="42"/>
    <n v="78.8"/>
    <n v="0"/>
    <n v="51"/>
    <n v="1"/>
    <x v="1"/>
    <n v="137.77000000000001"/>
    <n v="0"/>
    <x v="0"/>
    <n v="14.18"/>
    <n v="5.2990000000000004"/>
    <n v="137.77000000000001"/>
  </r>
  <r>
    <n v="705"/>
    <d v="2025-12-03T00:00:00"/>
    <x v="0"/>
    <s v="Miercoles"/>
    <x v="11"/>
    <x v="0"/>
    <x v="0"/>
    <x v="5"/>
    <x v="5"/>
    <x v="5"/>
    <n v="8600"/>
    <x v="58"/>
    <n v="88.7"/>
    <n v="0"/>
    <n v="62"/>
    <n v="1"/>
    <x v="1"/>
    <n v="26.08"/>
    <n v="0"/>
    <x v="0"/>
    <n v="2.8"/>
    <n v="3.0329999999999999"/>
    <n v="26.08"/>
  </r>
  <r>
    <n v="1073"/>
    <d v="2025-12-03T00:00:00"/>
    <x v="0"/>
    <s v="Miercoles"/>
    <x v="11"/>
    <x v="0"/>
    <x v="0"/>
    <x v="1"/>
    <x v="1"/>
    <x v="1"/>
    <n v="21000"/>
    <x v="23"/>
    <n v="68.8"/>
    <n v="0"/>
    <n v="226"/>
    <n v="1"/>
    <x v="1"/>
    <n v="188.24"/>
    <n v="0"/>
    <x v="0"/>
    <n v="20.39"/>
    <n v="8.9640000000000004"/>
    <n v="188.24"/>
  </r>
  <r>
    <n v="2177"/>
    <d v="2025-12-03T00:00:00"/>
    <x v="0"/>
    <s v="Miercoles"/>
    <x v="11"/>
    <x v="0"/>
    <x v="0"/>
    <x v="3"/>
    <x v="3"/>
    <x v="3"/>
    <n v="9800"/>
    <x v="48"/>
    <n v="94.3"/>
    <n v="0"/>
    <n v="261"/>
    <n v="1"/>
    <x v="1"/>
    <n v="104.69"/>
    <n v="0"/>
    <x v="0"/>
    <n v="11.24"/>
    <n v="10.683"/>
    <n v="104.69"/>
  </r>
  <r>
    <n v="337"/>
    <d v="2025-12-03T00:00:00"/>
    <x v="0"/>
    <s v="Miercoles"/>
    <x v="11"/>
    <x v="0"/>
    <x v="0"/>
    <x v="4"/>
    <x v="4"/>
    <x v="4"/>
    <n v="12500"/>
    <x v="61"/>
    <n v="84.4"/>
    <n v="0"/>
    <n v="0"/>
    <n v="0"/>
    <x v="0"/>
    <n v="22.44"/>
    <n v="0"/>
    <x v="0"/>
    <n v="2.41"/>
    <n v="1.7949999999999999"/>
    <n v="22.44"/>
  </r>
  <r>
    <n v="2178"/>
    <d v="2025-12-03T08:00:00"/>
    <x v="1"/>
    <s v="Miercoles"/>
    <x v="11"/>
    <x v="0"/>
    <x v="0"/>
    <x v="3"/>
    <x v="3"/>
    <x v="3"/>
    <n v="9800"/>
    <x v="8"/>
    <n v="96.4"/>
    <n v="0"/>
    <n v="66"/>
    <n v="1"/>
    <x v="1"/>
    <n v="36.840000000000003"/>
    <n v="0"/>
    <x v="1"/>
    <n v="6.13"/>
    <n v="3.7589999999999999"/>
    <n v="36.840000000000003"/>
  </r>
  <r>
    <n v="1442"/>
    <d v="2025-12-03T08:00:00"/>
    <x v="1"/>
    <s v="Miercoles"/>
    <x v="11"/>
    <x v="0"/>
    <x v="0"/>
    <x v="2"/>
    <x v="2"/>
    <x v="2"/>
    <n v="17400"/>
    <x v="100"/>
    <n v="74"/>
    <n v="0"/>
    <n v="133"/>
    <n v="0"/>
    <x v="0"/>
    <n v="55.72"/>
    <n v="0"/>
    <x v="1"/>
    <n v="9.83"/>
    <n v="3.202"/>
    <n v="55.72"/>
  </r>
  <r>
    <n v="1074"/>
    <d v="2025-12-03T08:00:00"/>
    <x v="1"/>
    <s v="Miercoles"/>
    <x v="11"/>
    <x v="0"/>
    <x v="0"/>
    <x v="1"/>
    <x v="1"/>
    <x v="1"/>
    <n v="21000"/>
    <x v="77"/>
    <n v="85.8"/>
    <n v="0"/>
    <n v="399"/>
    <n v="1"/>
    <x v="1"/>
    <n v="295.89999999999998"/>
    <n v="0"/>
    <x v="1"/>
    <n v="50.42"/>
    <n v="14.09"/>
    <n v="295.89999999999998"/>
  </r>
  <r>
    <n v="338"/>
    <d v="2025-12-03T08:00:00"/>
    <x v="1"/>
    <s v="Miercoles"/>
    <x v="11"/>
    <x v="0"/>
    <x v="0"/>
    <x v="4"/>
    <x v="4"/>
    <x v="4"/>
    <n v="12500"/>
    <x v="5"/>
    <n v="75.2"/>
    <n v="0"/>
    <n v="348"/>
    <n v="1"/>
    <x v="1"/>
    <n v="105.72"/>
    <n v="0"/>
    <x v="1"/>
    <n v="17.510000000000002"/>
    <n v="8.4580000000000002"/>
    <n v="105.72"/>
  </r>
  <r>
    <n v="1810"/>
    <d v="2025-12-03T08:00:00"/>
    <x v="1"/>
    <s v="Miercoles"/>
    <x v="11"/>
    <x v="0"/>
    <x v="0"/>
    <x v="0"/>
    <x v="0"/>
    <x v="0"/>
    <n v="26000"/>
    <x v="57"/>
    <n v="87.5"/>
    <n v="0"/>
    <n v="160"/>
    <n v="1"/>
    <x v="1"/>
    <n v="243.74"/>
    <n v="0"/>
    <x v="1"/>
    <n v="41.41"/>
    <n v="9.375"/>
    <n v="243.74"/>
  </r>
  <r>
    <n v="706"/>
    <d v="2025-12-03T08:00:00"/>
    <x v="1"/>
    <s v="Miercoles"/>
    <x v="11"/>
    <x v="0"/>
    <x v="0"/>
    <x v="5"/>
    <x v="5"/>
    <x v="5"/>
    <n v="8600"/>
    <x v="80"/>
    <n v="94.5"/>
    <n v="0"/>
    <n v="847"/>
    <n v="1"/>
    <x v="1"/>
    <n v="134.91999999999999"/>
    <n v="0"/>
    <x v="1"/>
    <n v="22.65"/>
    <n v="15.688000000000001"/>
    <n v="134.91999999999999"/>
  </r>
  <r>
    <n v="1075"/>
    <d v="2025-12-03T14:00:00"/>
    <x v="2"/>
    <s v="Miercoles"/>
    <x v="11"/>
    <x v="0"/>
    <x v="0"/>
    <x v="1"/>
    <x v="1"/>
    <x v="1"/>
    <n v="21000"/>
    <x v="71"/>
    <n v="58.8"/>
    <n v="431"/>
    <n v="451"/>
    <n v="0"/>
    <x v="0"/>
    <n v="195.29"/>
    <n v="87.12"/>
    <x v="1"/>
    <n v="18.21"/>
    <n v="9.3000000000000007"/>
    <n v="108.17"/>
  </r>
  <r>
    <n v="707"/>
    <d v="2025-12-03T14:00:00"/>
    <x v="2"/>
    <s v="Miercoles"/>
    <x v="11"/>
    <x v="0"/>
    <x v="0"/>
    <x v="5"/>
    <x v="5"/>
    <x v="5"/>
    <n v="8600"/>
    <x v="3"/>
    <n v="99"/>
    <n v="316.89999999999998"/>
    <n v="781"/>
    <n v="1"/>
    <x v="1"/>
    <n v="91.85"/>
    <n v="22.93"/>
    <x v="1"/>
    <n v="11.86"/>
    <n v="10.68"/>
    <n v="68.92"/>
  </r>
  <r>
    <n v="1811"/>
    <d v="2025-12-03T14:00:00"/>
    <x v="2"/>
    <s v="Miercoles"/>
    <x v="11"/>
    <x v="0"/>
    <x v="0"/>
    <x v="0"/>
    <x v="0"/>
    <x v="0"/>
    <n v="26000"/>
    <x v="172"/>
    <n v="81.599999999999994"/>
    <n v="284.39999999999998"/>
    <n v="171"/>
    <n v="1"/>
    <x v="1"/>
    <n v="155.03"/>
    <n v="79.959999999999994"/>
    <x v="1"/>
    <n v="13.02"/>
    <n v="5.9630000000000001"/>
    <n v="75.069999999999993"/>
  </r>
  <r>
    <n v="2179"/>
    <d v="2025-12-03T14:00:00"/>
    <x v="2"/>
    <s v="Miercoles"/>
    <x v="11"/>
    <x v="0"/>
    <x v="0"/>
    <x v="3"/>
    <x v="3"/>
    <x v="3"/>
    <n v="9800"/>
    <x v="130"/>
    <n v="75.599999999999994"/>
    <n v="370.1"/>
    <n v="61"/>
    <n v="0"/>
    <x v="0"/>
    <n v="18.29"/>
    <n v="0"/>
    <x v="1"/>
    <n v="3.15"/>
    <n v="1.8660000000000001"/>
    <n v="18.29"/>
  </r>
  <r>
    <n v="1443"/>
    <d v="2025-12-03T14:00:00"/>
    <x v="2"/>
    <s v="Miercoles"/>
    <x v="11"/>
    <x v="0"/>
    <x v="0"/>
    <x v="2"/>
    <x v="2"/>
    <x v="2"/>
    <n v="17400"/>
    <x v="116"/>
    <n v="77.900000000000006"/>
    <n v="360.6"/>
    <n v="1184"/>
    <n v="0"/>
    <x v="0"/>
    <n v="187.89"/>
    <n v="45.48"/>
    <x v="1"/>
    <n v="23.54"/>
    <n v="10.798"/>
    <n v="142.41"/>
  </r>
  <r>
    <n v="339"/>
    <d v="2025-12-03T14:00:00"/>
    <x v="2"/>
    <s v="Miercoles"/>
    <x v="11"/>
    <x v="0"/>
    <x v="0"/>
    <x v="4"/>
    <x v="4"/>
    <x v="4"/>
    <n v="12500"/>
    <x v="140"/>
    <n v="81.099999999999994"/>
    <n v="252.5"/>
    <n v="581"/>
    <n v="1"/>
    <x v="1"/>
    <n v="103.04"/>
    <n v="41.26"/>
    <x v="1"/>
    <n v="10.61"/>
    <n v="8.2430000000000003"/>
    <n v="61.78"/>
  </r>
  <r>
    <n v="340"/>
    <d v="2025-12-03T20:00:00"/>
    <x v="3"/>
    <s v="Miercoles"/>
    <x v="11"/>
    <x v="0"/>
    <x v="0"/>
    <x v="4"/>
    <x v="4"/>
    <x v="4"/>
    <n v="12500"/>
    <x v="43"/>
    <n v="86.5"/>
    <n v="0"/>
    <n v="63"/>
    <n v="1"/>
    <x v="1"/>
    <n v="48.28"/>
    <n v="0"/>
    <x v="2"/>
    <n v="12.53"/>
    <n v="3.8620000000000001"/>
    <n v="48.28"/>
  </r>
  <r>
    <n v="708"/>
    <d v="2025-12-03T20:00:00"/>
    <x v="3"/>
    <s v="Miercoles"/>
    <x v="11"/>
    <x v="0"/>
    <x v="0"/>
    <x v="5"/>
    <x v="5"/>
    <x v="5"/>
    <n v="8600"/>
    <x v="90"/>
    <n v="91"/>
    <n v="0"/>
    <n v="46"/>
    <n v="1"/>
    <x v="1"/>
    <n v="25.86"/>
    <n v="0"/>
    <x v="2"/>
    <n v="6.66"/>
    <n v="3.0070000000000001"/>
    <n v="25.86"/>
  </r>
  <r>
    <n v="1444"/>
    <d v="2025-12-03T20:00:00"/>
    <x v="3"/>
    <s v="Miercoles"/>
    <x v="11"/>
    <x v="0"/>
    <x v="0"/>
    <x v="2"/>
    <x v="2"/>
    <x v="2"/>
    <n v="17400"/>
    <x v="175"/>
    <n v="88.2"/>
    <n v="0"/>
    <n v="1435"/>
    <n v="1"/>
    <x v="1"/>
    <n v="289.33"/>
    <n v="0"/>
    <x v="2"/>
    <n v="73.72"/>
    <n v="16.628"/>
    <n v="289.33"/>
  </r>
  <r>
    <n v="2180"/>
    <d v="2025-12-03T20:00:00"/>
    <x v="3"/>
    <s v="Miercoles"/>
    <x v="11"/>
    <x v="0"/>
    <x v="0"/>
    <x v="3"/>
    <x v="3"/>
    <x v="3"/>
    <n v="9800"/>
    <x v="173"/>
    <n v="79.7"/>
    <n v="0"/>
    <n v="338"/>
    <n v="1"/>
    <x v="1"/>
    <n v="100.62"/>
    <n v="0"/>
    <x v="2"/>
    <n v="26.04"/>
    <n v="10.266999999999999"/>
    <n v="100.62"/>
  </r>
  <r>
    <n v="1076"/>
    <d v="2025-12-03T20:00:00"/>
    <x v="3"/>
    <s v="Miercoles"/>
    <x v="11"/>
    <x v="0"/>
    <x v="0"/>
    <x v="1"/>
    <x v="1"/>
    <x v="1"/>
    <n v="21000"/>
    <x v="167"/>
    <n v="63"/>
    <n v="0"/>
    <n v="403"/>
    <n v="1"/>
    <x v="1"/>
    <n v="299.83999999999997"/>
    <n v="0"/>
    <x v="2"/>
    <n v="75.41"/>
    <n v="14.278"/>
    <n v="299.83999999999997"/>
  </r>
  <r>
    <n v="1812"/>
    <d v="2025-12-03T20:00:00"/>
    <x v="3"/>
    <s v="Miercoles"/>
    <x v="11"/>
    <x v="0"/>
    <x v="0"/>
    <x v="0"/>
    <x v="0"/>
    <x v="0"/>
    <n v="26000"/>
    <x v="112"/>
    <n v="77.3"/>
    <n v="0"/>
    <n v="156"/>
    <n v="1"/>
    <x v="1"/>
    <n v="1963.38"/>
    <n v="0"/>
    <x v="2"/>
    <n v="75.12"/>
    <n v="75.515000000000001"/>
    <n v="1963.38"/>
  </r>
  <r>
    <n v="709"/>
    <d v="2025-12-07T00:00:00"/>
    <x v="0"/>
    <s v="Domingo"/>
    <x v="11"/>
    <x v="0"/>
    <x v="1"/>
    <x v="5"/>
    <x v="5"/>
    <x v="5"/>
    <n v="8600"/>
    <x v="27"/>
    <n v="96.5"/>
    <n v="0"/>
    <n v="46"/>
    <n v="0"/>
    <x v="0"/>
    <n v="15.27"/>
    <n v="0"/>
    <x v="0"/>
    <n v="1.61"/>
    <n v="1.776"/>
    <n v="15.27"/>
  </r>
  <r>
    <n v="341"/>
    <d v="2025-12-07T00:00:00"/>
    <x v="0"/>
    <s v="Domingo"/>
    <x v="11"/>
    <x v="0"/>
    <x v="1"/>
    <x v="4"/>
    <x v="4"/>
    <x v="4"/>
    <n v="12500"/>
    <x v="336"/>
    <n v="75.400000000000006"/>
    <n v="0"/>
    <n v="3"/>
    <n v="0"/>
    <x v="0"/>
    <n v="23.56"/>
    <n v="0"/>
    <x v="0"/>
    <n v="2.41"/>
    <n v="1.885"/>
    <n v="23.56"/>
  </r>
  <r>
    <n v="1813"/>
    <d v="2025-12-07T00:00:00"/>
    <x v="0"/>
    <s v="Domingo"/>
    <x v="11"/>
    <x v="0"/>
    <x v="1"/>
    <x v="0"/>
    <x v="0"/>
    <x v="0"/>
    <n v="26000"/>
    <x v="150"/>
    <n v="77.2"/>
    <n v="0"/>
    <n v="21"/>
    <n v="1"/>
    <x v="1"/>
    <n v="97.37"/>
    <n v="0"/>
    <x v="0"/>
    <n v="10.18"/>
    <n v="3.7450000000000001"/>
    <n v="97.37"/>
  </r>
  <r>
    <n v="1445"/>
    <d v="2025-12-07T00:00:00"/>
    <x v="0"/>
    <s v="Domingo"/>
    <x v="11"/>
    <x v="0"/>
    <x v="1"/>
    <x v="2"/>
    <x v="2"/>
    <x v="2"/>
    <n v="17400"/>
    <x v="80"/>
    <n v="87.5"/>
    <n v="0"/>
    <n v="17"/>
    <n v="1"/>
    <x v="1"/>
    <n v="56.83"/>
    <n v="0"/>
    <x v="0"/>
    <n v="5.89"/>
    <n v="3.266"/>
    <n v="56.83"/>
  </r>
  <r>
    <n v="1077"/>
    <d v="2025-12-07T00:00:00"/>
    <x v="0"/>
    <s v="Domingo"/>
    <x v="11"/>
    <x v="0"/>
    <x v="1"/>
    <x v="1"/>
    <x v="1"/>
    <x v="1"/>
    <n v="21000"/>
    <x v="45"/>
    <n v="86.7"/>
    <n v="0"/>
    <n v="234"/>
    <n v="1"/>
    <x v="1"/>
    <n v="189.1"/>
    <n v="0"/>
    <x v="0"/>
    <n v="19.57"/>
    <n v="9.0050000000000008"/>
    <n v="189.1"/>
  </r>
  <r>
    <n v="2181"/>
    <d v="2025-12-07T00:00:00"/>
    <x v="0"/>
    <s v="Domingo"/>
    <x v="11"/>
    <x v="0"/>
    <x v="1"/>
    <x v="3"/>
    <x v="3"/>
    <x v="3"/>
    <n v="9800"/>
    <x v="57"/>
    <n v="91.6"/>
    <n v="0"/>
    <n v="312"/>
    <n v="1"/>
    <x v="1"/>
    <n v="90.17"/>
    <n v="0"/>
    <x v="0"/>
    <m/>
    <n v="9.2010000000000005"/>
    <n v="90.17"/>
  </r>
  <r>
    <n v="1446"/>
    <d v="2025-12-07T08:00:00"/>
    <x v="1"/>
    <s v="Domingo"/>
    <x v="11"/>
    <x v="0"/>
    <x v="1"/>
    <x v="2"/>
    <x v="2"/>
    <x v="2"/>
    <n v="17400"/>
    <x v="126"/>
    <n v="78.900000000000006"/>
    <n v="0"/>
    <n v="139"/>
    <n v="1"/>
    <x v="1"/>
    <n v="64.75"/>
    <n v="0"/>
    <x v="0"/>
    <n v="6.9"/>
    <n v="3.7210000000000001"/>
    <n v="64.75"/>
  </r>
  <r>
    <n v="2182"/>
    <d v="2025-12-07T08:00:00"/>
    <x v="1"/>
    <s v="Domingo"/>
    <x v="11"/>
    <x v="0"/>
    <x v="1"/>
    <x v="3"/>
    <x v="3"/>
    <x v="3"/>
    <n v="9800"/>
    <x v="33"/>
    <n v="88.3"/>
    <n v="0"/>
    <n v="114"/>
    <n v="1"/>
    <x v="1"/>
    <n v="49.13"/>
    <n v="0"/>
    <x v="0"/>
    <n v="5.17"/>
    <n v="5.0129999999999999"/>
    <n v="49.13"/>
  </r>
  <r>
    <n v="1078"/>
    <d v="2025-12-07T08:00:00"/>
    <x v="1"/>
    <s v="Domingo"/>
    <x v="11"/>
    <x v="0"/>
    <x v="1"/>
    <x v="1"/>
    <x v="1"/>
    <x v="1"/>
    <n v="21000"/>
    <x v="95"/>
    <n v="77.3"/>
    <n v="0"/>
    <n v="412"/>
    <n v="1"/>
    <x v="1"/>
    <n v="322.5"/>
    <n v="0"/>
    <x v="0"/>
    <n v="34.22"/>
    <n v="15.356999999999999"/>
    <n v="322.5"/>
  </r>
  <r>
    <n v="1814"/>
    <d v="2025-12-07T08:00:00"/>
    <x v="1"/>
    <s v="Domingo"/>
    <x v="11"/>
    <x v="0"/>
    <x v="1"/>
    <x v="0"/>
    <x v="0"/>
    <x v="0"/>
    <n v="26000"/>
    <x v="87"/>
    <n v="65"/>
    <n v="0"/>
    <n v="82"/>
    <n v="1"/>
    <x v="1"/>
    <n v="145.13"/>
    <n v="0"/>
    <x v="0"/>
    <n v="15.05"/>
    <n v="5.5819999999999999"/>
    <n v="145.13"/>
  </r>
  <r>
    <n v="710"/>
    <d v="2025-12-07T08:00:00"/>
    <x v="1"/>
    <s v="Domingo"/>
    <x v="11"/>
    <x v="0"/>
    <x v="1"/>
    <x v="5"/>
    <x v="5"/>
    <x v="5"/>
    <n v="8600"/>
    <x v="45"/>
    <n v="95.1"/>
    <n v="0"/>
    <n v="0"/>
    <n v="0"/>
    <x v="0"/>
    <n v="12.03"/>
    <n v="0"/>
    <x v="0"/>
    <n v="1.27"/>
    <n v="1.399"/>
    <n v="12.03"/>
  </r>
  <r>
    <n v="342"/>
    <d v="2025-12-07T08:00:00"/>
    <x v="1"/>
    <s v="Domingo"/>
    <x v="11"/>
    <x v="0"/>
    <x v="1"/>
    <x v="4"/>
    <x v="4"/>
    <x v="4"/>
    <n v="12500"/>
    <x v="108"/>
    <n v="59.2"/>
    <n v="0"/>
    <n v="47"/>
    <n v="0"/>
    <x v="0"/>
    <n v="27.43"/>
    <n v="0"/>
    <x v="0"/>
    <n v="2.9"/>
    <n v="2.194"/>
    <n v="27.43"/>
  </r>
  <r>
    <n v="1447"/>
    <d v="2025-12-07T14:00:00"/>
    <x v="2"/>
    <s v="Domingo"/>
    <x v="11"/>
    <x v="0"/>
    <x v="1"/>
    <x v="2"/>
    <x v="2"/>
    <x v="2"/>
    <n v="17400"/>
    <x v="186"/>
    <n v="69.8"/>
    <n v="498.8"/>
    <n v="1624"/>
    <n v="1"/>
    <x v="2"/>
    <n v="238.65"/>
    <n v="58.03"/>
    <x v="0"/>
    <n v="19.11"/>
    <n v="13.715999999999999"/>
    <n v="180.62"/>
  </r>
  <r>
    <n v="1815"/>
    <d v="2025-12-07T14:00:00"/>
    <x v="2"/>
    <s v="Domingo"/>
    <x v="11"/>
    <x v="0"/>
    <x v="1"/>
    <x v="0"/>
    <x v="0"/>
    <x v="0"/>
    <n v="26000"/>
    <x v="143"/>
    <n v="71.099999999999994"/>
    <n v="387.7"/>
    <n v="55"/>
    <n v="1"/>
    <x v="1"/>
    <n v="92.21"/>
    <n v="102.26"/>
    <x v="0"/>
    <n v="-0.42"/>
    <n v="3.5470000000000002"/>
    <n v="0"/>
  </r>
  <r>
    <n v="1079"/>
    <d v="2025-12-07T14:00:00"/>
    <x v="2"/>
    <s v="Domingo"/>
    <x v="11"/>
    <x v="0"/>
    <x v="1"/>
    <x v="1"/>
    <x v="1"/>
    <x v="1"/>
    <n v="21000"/>
    <x v="99"/>
    <n v="77.900000000000006"/>
    <n v="516.79999999999995"/>
    <n v="373"/>
    <n v="1"/>
    <x v="2"/>
    <n v="198.89"/>
    <n v="106.18"/>
    <x v="0"/>
    <n v="9.6199999999999992"/>
    <n v="9.4710000000000001"/>
    <n v="92.71"/>
  </r>
  <r>
    <n v="2183"/>
    <d v="2025-12-07T14:00:00"/>
    <x v="2"/>
    <s v="Domingo"/>
    <x v="11"/>
    <x v="0"/>
    <x v="1"/>
    <x v="3"/>
    <x v="3"/>
    <x v="3"/>
    <n v="9800"/>
    <x v="15"/>
    <n v="96.4"/>
    <n v="471.3"/>
    <n v="127"/>
    <n v="1"/>
    <x v="2"/>
    <n v="28.8"/>
    <n v="0"/>
    <x v="0"/>
    <n v="3.09"/>
    <n v="2.9390000000000001"/>
    <n v="28.8"/>
  </r>
  <r>
    <n v="343"/>
    <d v="2025-12-07T14:00:00"/>
    <x v="2"/>
    <s v="Domingo"/>
    <x v="11"/>
    <x v="0"/>
    <x v="1"/>
    <x v="4"/>
    <x v="4"/>
    <x v="4"/>
    <n v="12500"/>
    <x v="34"/>
    <n v="62.3"/>
    <n v="474.3"/>
    <n v="0"/>
    <n v="0"/>
    <x v="0"/>
    <n v="16.100000000000001"/>
    <n v="70.25"/>
    <x v="0"/>
    <n v="-2.29"/>
    <n v="1.288"/>
    <n v="0"/>
  </r>
  <r>
    <n v="711"/>
    <d v="2025-12-07T14:00:00"/>
    <x v="2"/>
    <s v="Domingo"/>
    <x v="11"/>
    <x v="0"/>
    <x v="1"/>
    <x v="5"/>
    <x v="5"/>
    <x v="5"/>
    <n v="8600"/>
    <x v="20"/>
    <n v="94.2"/>
    <n v="286.7"/>
    <n v="66"/>
    <n v="0"/>
    <x v="0"/>
    <n v="12.14"/>
    <n v="21.32"/>
    <x v="0"/>
    <n v="-0.38"/>
    <n v="1.4119999999999999"/>
    <n v="0"/>
  </r>
  <r>
    <n v="2184"/>
    <d v="2025-12-07T20:00:00"/>
    <x v="3"/>
    <s v="Domingo"/>
    <x v="11"/>
    <x v="0"/>
    <x v="1"/>
    <x v="3"/>
    <x v="3"/>
    <x v="3"/>
    <n v="9800"/>
    <x v="16"/>
    <n v="89.8"/>
    <n v="0"/>
    <n v="312"/>
    <n v="1"/>
    <x v="1"/>
    <m/>
    <n v="0"/>
    <x v="0"/>
    <n v="11.06"/>
    <m/>
    <m/>
  </r>
  <r>
    <n v="1448"/>
    <d v="2025-12-07T20:00:00"/>
    <x v="3"/>
    <s v="Domingo"/>
    <x v="11"/>
    <x v="0"/>
    <x v="1"/>
    <x v="2"/>
    <x v="2"/>
    <x v="2"/>
    <n v="17400"/>
    <x v="50"/>
    <n v="86.8"/>
    <n v="0"/>
    <n v="1604"/>
    <n v="1"/>
    <x v="1"/>
    <n v="329.81"/>
    <n v="0"/>
    <x v="0"/>
    <n v="35.520000000000003"/>
    <n v="18.954999999999998"/>
    <n v="329.81"/>
  </r>
  <r>
    <n v="712"/>
    <d v="2025-12-07T20:00:00"/>
    <x v="3"/>
    <s v="Domingo"/>
    <x v="11"/>
    <x v="0"/>
    <x v="1"/>
    <x v="5"/>
    <x v="5"/>
    <x v="5"/>
    <n v="8600"/>
    <x v="95"/>
    <n v="99"/>
    <n v="0"/>
    <n v="23"/>
    <n v="0"/>
    <x v="0"/>
    <m/>
    <n v="0"/>
    <x v="0"/>
    <n v="1.41"/>
    <m/>
    <m/>
  </r>
  <r>
    <n v="1816"/>
    <d v="2025-12-07T20:00:00"/>
    <x v="3"/>
    <s v="Domingo"/>
    <x v="11"/>
    <x v="0"/>
    <x v="1"/>
    <x v="0"/>
    <x v="0"/>
    <x v="0"/>
    <n v="26000"/>
    <x v="17"/>
    <n v="94.1"/>
    <n v="0"/>
    <n v="60"/>
    <n v="1"/>
    <x v="1"/>
    <n v="142.28"/>
    <n v="0"/>
    <x v="0"/>
    <n v="15"/>
    <n v="5.4720000000000004"/>
    <n v="142.28"/>
  </r>
  <r>
    <n v="344"/>
    <d v="2025-12-07T20:00:00"/>
    <x v="3"/>
    <s v="Domingo"/>
    <x v="11"/>
    <x v="0"/>
    <x v="1"/>
    <x v="4"/>
    <x v="4"/>
    <x v="4"/>
    <n v="12500"/>
    <x v="8"/>
    <n v="61"/>
    <n v="0"/>
    <n v="16"/>
    <n v="0"/>
    <x v="0"/>
    <n v="23.37"/>
    <n v="0"/>
    <x v="0"/>
    <n v="2.52"/>
    <n v="1.87"/>
    <n v="23.37"/>
  </r>
  <r>
    <n v="1080"/>
    <d v="2025-12-07T20:00:00"/>
    <x v="3"/>
    <s v="Domingo"/>
    <x v="11"/>
    <x v="0"/>
    <x v="1"/>
    <x v="1"/>
    <x v="1"/>
    <x v="1"/>
    <n v="21000"/>
    <x v="140"/>
    <n v="78.599999999999994"/>
    <n v="0"/>
    <n v="392"/>
    <n v="1"/>
    <x v="1"/>
    <n v="289.64999999999998"/>
    <n v="0"/>
    <x v="0"/>
    <n v="30.7"/>
    <n v="13.792999999999999"/>
    <n v="289.64999999999998"/>
  </r>
  <r>
    <n v="345"/>
    <d v="2025-12-11T00:00:00"/>
    <x v="0"/>
    <s v="Jueves"/>
    <x v="11"/>
    <x v="0"/>
    <x v="0"/>
    <x v="4"/>
    <x v="4"/>
    <x v="4"/>
    <n v="12500"/>
    <x v="28"/>
    <n v="74.2"/>
    <n v="0"/>
    <n v="0"/>
    <n v="0"/>
    <x v="0"/>
    <n v="23.23"/>
    <n v="0"/>
    <x v="0"/>
    <n v="2.42"/>
    <n v="1.8580000000000001"/>
    <n v="23.23"/>
  </r>
  <r>
    <n v="1817"/>
    <d v="2025-12-11T00:00:00"/>
    <x v="0"/>
    <s v="Jueves"/>
    <x v="11"/>
    <x v="0"/>
    <x v="0"/>
    <x v="0"/>
    <x v="0"/>
    <x v="0"/>
    <n v="26000"/>
    <x v="27"/>
    <n v="73.599999999999994"/>
    <n v="0"/>
    <n v="40"/>
    <n v="1"/>
    <x v="1"/>
    <n v="125.96"/>
    <n v="0"/>
    <x v="0"/>
    <n v="14.02"/>
    <n v="4.8449999999999998"/>
    <n v="125.96"/>
  </r>
  <r>
    <n v="713"/>
    <d v="2025-12-11T00:00:00"/>
    <x v="0"/>
    <s v="Jueves"/>
    <x v="11"/>
    <x v="0"/>
    <x v="0"/>
    <x v="5"/>
    <x v="5"/>
    <x v="5"/>
    <n v="8600"/>
    <x v="337"/>
    <n v="81.7"/>
    <n v="0"/>
    <n v="82"/>
    <n v="1"/>
    <x v="1"/>
    <n v="29.71"/>
    <n v="0"/>
    <x v="0"/>
    <n v="3.17"/>
    <n v="3.4550000000000001"/>
    <n v="29.71"/>
  </r>
  <r>
    <n v="1449"/>
    <d v="2025-12-11T00:00:00"/>
    <x v="0"/>
    <s v="Jueves"/>
    <x v="11"/>
    <x v="0"/>
    <x v="0"/>
    <x v="2"/>
    <x v="2"/>
    <x v="2"/>
    <n v="17400"/>
    <x v="129"/>
    <n v="86.1"/>
    <n v="0"/>
    <n v="59"/>
    <n v="0"/>
    <x v="0"/>
    <n v="49.59"/>
    <n v="0"/>
    <x v="0"/>
    <n v="5.21"/>
    <n v="2.85"/>
    <n v="49.59"/>
  </r>
  <r>
    <n v="1081"/>
    <d v="2025-12-11T00:00:00"/>
    <x v="0"/>
    <s v="Jueves"/>
    <x v="11"/>
    <x v="0"/>
    <x v="0"/>
    <x v="1"/>
    <x v="1"/>
    <x v="1"/>
    <n v="21000"/>
    <x v="1"/>
    <n v="72.5"/>
    <n v="0"/>
    <n v="193"/>
    <n v="1"/>
    <x v="1"/>
    <n v="178.06"/>
    <n v="0"/>
    <x v="0"/>
    <n v="18.23"/>
    <n v="8.4789999999999992"/>
    <n v="178.06"/>
  </r>
  <r>
    <n v="2185"/>
    <d v="2025-12-11T00:00:00"/>
    <x v="0"/>
    <s v="Jueves"/>
    <x v="11"/>
    <x v="0"/>
    <x v="0"/>
    <x v="3"/>
    <x v="3"/>
    <x v="3"/>
    <n v="9800"/>
    <x v="84"/>
    <n v="86.2"/>
    <n v="0"/>
    <n v="279"/>
    <n v="1"/>
    <x v="1"/>
    <n v="98.97"/>
    <n v="0"/>
    <x v="0"/>
    <n v="10.38"/>
    <n v="10.099"/>
    <n v="98.97"/>
  </r>
  <r>
    <n v="346"/>
    <d v="2025-12-11T08:00:00"/>
    <x v="1"/>
    <s v="Jueves"/>
    <x v="11"/>
    <x v="0"/>
    <x v="0"/>
    <x v="4"/>
    <x v="4"/>
    <x v="4"/>
    <n v="12500"/>
    <x v="83"/>
    <n v="70"/>
    <n v="0"/>
    <n v="388"/>
    <n v="1"/>
    <x v="1"/>
    <n v="111.47"/>
    <n v="0"/>
    <x v="1"/>
    <n v="18.690000000000001"/>
    <n v="8.9179999999999993"/>
    <n v="111.47"/>
  </r>
  <r>
    <n v="1082"/>
    <d v="2025-12-11T08:00:00"/>
    <x v="1"/>
    <s v="Jueves"/>
    <x v="11"/>
    <x v="0"/>
    <x v="0"/>
    <x v="1"/>
    <x v="1"/>
    <x v="1"/>
    <n v="21000"/>
    <x v="80"/>
    <n v="75.400000000000006"/>
    <n v="0"/>
    <n v="408"/>
    <n v="1"/>
    <x v="1"/>
    <n v="281.17"/>
    <n v="0"/>
    <x v="1"/>
    <n v="46.67"/>
    <n v="13.388999999999999"/>
    <n v="281.17"/>
  </r>
  <r>
    <n v="2186"/>
    <d v="2025-12-11T08:00:00"/>
    <x v="1"/>
    <s v="Jueves"/>
    <x v="11"/>
    <x v="0"/>
    <x v="0"/>
    <x v="3"/>
    <x v="3"/>
    <x v="3"/>
    <n v="9800"/>
    <x v="129"/>
    <n v="74.8"/>
    <n v="0"/>
    <n v="67"/>
    <n v="1"/>
    <x v="1"/>
    <n v="35.54"/>
    <n v="0"/>
    <x v="1"/>
    <n v="6.21"/>
    <n v="3.6269999999999998"/>
    <n v="35.54"/>
  </r>
  <r>
    <n v="1450"/>
    <d v="2025-12-11T08:00:00"/>
    <x v="1"/>
    <s v="Jueves"/>
    <x v="11"/>
    <x v="0"/>
    <x v="0"/>
    <x v="2"/>
    <x v="2"/>
    <x v="2"/>
    <n v="17400"/>
    <x v="41"/>
    <n v="98.3"/>
    <n v="0"/>
    <n v="257"/>
    <n v="0"/>
    <x v="0"/>
    <n v="56.26"/>
    <n v="0"/>
    <x v="1"/>
    <n v="9.3699999999999992"/>
    <n v="3.2330000000000001"/>
    <n v="56.26"/>
  </r>
  <r>
    <n v="1818"/>
    <d v="2025-12-11T08:00:00"/>
    <x v="1"/>
    <s v="Jueves"/>
    <x v="11"/>
    <x v="0"/>
    <x v="0"/>
    <x v="0"/>
    <x v="0"/>
    <x v="0"/>
    <n v="26000"/>
    <x v="138"/>
    <n v="79.400000000000006"/>
    <n v="0"/>
    <n v="172"/>
    <n v="1"/>
    <x v="1"/>
    <n v="259.60000000000002"/>
    <n v="0"/>
    <x v="1"/>
    <m/>
    <n v="9.9849999999999994"/>
    <n v="259.60000000000002"/>
  </r>
  <r>
    <n v="714"/>
    <d v="2025-12-11T08:00:00"/>
    <x v="1"/>
    <s v="Jueves"/>
    <x v="11"/>
    <x v="0"/>
    <x v="0"/>
    <x v="5"/>
    <x v="5"/>
    <x v="5"/>
    <n v="8600"/>
    <x v="2"/>
    <n v="99"/>
    <n v="0"/>
    <n v="821"/>
    <n v="1"/>
    <x v="1"/>
    <n v="114.97"/>
    <n v="0"/>
    <x v="1"/>
    <n v="19.28"/>
    <n v="13.369"/>
    <n v="114.97"/>
  </r>
  <r>
    <n v="1451"/>
    <d v="2025-12-11T14:00:00"/>
    <x v="2"/>
    <s v="Jueves"/>
    <x v="11"/>
    <x v="0"/>
    <x v="0"/>
    <x v="2"/>
    <x v="2"/>
    <x v="2"/>
    <n v="17400"/>
    <x v="161"/>
    <n v="87.4"/>
    <n v="435.2"/>
    <n v="1404"/>
    <n v="1"/>
    <x v="2"/>
    <n v="190.06"/>
    <n v="51.37"/>
    <x v="1"/>
    <n v="23.83"/>
    <n v="10.923"/>
    <n v="138.69"/>
  </r>
  <r>
    <n v="347"/>
    <d v="2025-12-11T14:00:00"/>
    <x v="2"/>
    <s v="Jueves"/>
    <x v="11"/>
    <x v="0"/>
    <x v="0"/>
    <x v="4"/>
    <x v="4"/>
    <x v="4"/>
    <n v="12500"/>
    <x v="41"/>
    <n v="59.9"/>
    <n v="574.70000000000005"/>
    <n v="552"/>
    <n v="1"/>
    <x v="1"/>
    <n v="111.35"/>
    <n v="85.81"/>
    <x v="1"/>
    <n v="4.3499999999999996"/>
    <n v="8.9079999999999995"/>
    <n v="25.54"/>
  </r>
  <r>
    <n v="1083"/>
    <d v="2025-12-11T14:00:00"/>
    <x v="2"/>
    <s v="Jueves"/>
    <x v="11"/>
    <x v="0"/>
    <x v="0"/>
    <x v="1"/>
    <x v="1"/>
    <x v="1"/>
    <n v="21000"/>
    <x v="139"/>
    <n v="68.2"/>
    <n v="384"/>
    <n v="361"/>
    <n v="0"/>
    <x v="0"/>
    <n v="208.86"/>
    <n v="79.05"/>
    <x v="1"/>
    <n v="20.91"/>
    <n v="9.9459999999999997"/>
    <n v="129.81"/>
  </r>
  <r>
    <n v="2187"/>
    <d v="2025-12-11T14:00:00"/>
    <x v="2"/>
    <s v="Jueves"/>
    <x v="11"/>
    <x v="0"/>
    <x v="0"/>
    <x v="3"/>
    <x v="3"/>
    <x v="3"/>
    <n v="9800"/>
    <x v="36"/>
    <n v="72.099999999999994"/>
    <n v="415.9"/>
    <n v="67"/>
    <n v="1"/>
    <x v="1"/>
    <n v="20.41"/>
    <n v="0"/>
    <x v="1"/>
    <n v="3.34"/>
    <n v="2.0830000000000002"/>
    <n v="20.41"/>
  </r>
  <r>
    <n v="715"/>
    <d v="2025-12-11T14:00:00"/>
    <x v="2"/>
    <s v="Jueves"/>
    <x v="11"/>
    <x v="0"/>
    <x v="0"/>
    <x v="5"/>
    <x v="5"/>
    <x v="5"/>
    <n v="8600"/>
    <x v="41"/>
    <n v="99"/>
    <n v="169.9"/>
    <n v="823"/>
    <n v="1"/>
    <x v="1"/>
    <n v="85.54"/>
    <n v="11.45"/>
    <x v="1"/>
    <n v="12.14"/>
    <n v="9.9469999999999992"/>
    <n v="74.09"/>
  </r>
  <r>
    <n v="1819"/>
    <d v="2025-12-11T14:00:00"/>
    <x v="2"/>
    <s v="Jueves"/>
    <x v="11"/>
    <x v="0"/>
    <x v="0"/>
    <x v="0"/>
    <x v="0"/>
    <x v="0"/>
    <n v="26000"/>
    <x v="143"/>
    <n v="49.9"/>
    <n v="512.4"/>
    <n v="156"/>
    <n v="1"/>
    <x v="1"/>
    <n v="171.92"/>
    <n v="144.33000000000001"/>
    <x v="1"/>
    <n v="4.46"/>
    <n v="6.6120000000000001"/>
    <n v="27.59"/>
  </r>
  <r>
    <n v="348"/>
    <d v="2025-12-11T20:00:00"/>
    <x v="3"/>
    <s v="Jueves"/>
    <x v="11"/>
    <x v="0"/>
    <x v="0"/>
    <x v="4"/>
    <x v="4"/>
    <x v="4"/>
    <n v="12500"/>
    <x v="77"/>
    <n v="80.7"/>
    <n v="0"/>
    <n v="35"/>
    <n v="1"/>
    <x v="1"/>
    <n v="42.68"/>
    <n v="0"/>
    <x v="2"/>
    <n v="10.85"/>
    <n v="3.4140000000000001"/>
    <n v="42.68"/>
  </r>
  <r>
    <n v="1820"/>
    <d v="2025-12-11T20:00:00"/>
    <x v="3"/>
    <s v="Jueves"/>
    <x v="11"/>
    <x v="0"/>
    <x v="0"/>
    <x v="0"/>
    <x v="0"/>
    <x v="0"/>
    <n v="26000"/>
    <x v="2"/>
    <n v="82"/>
    <n v="0"/>
    <n v="170"/>
    <n v="1"/>
    <x v="1"/>
    <n v="269.95"/>
    <n v="0"/>
    <x v="2"/>
    <n v="69.569999999999993"/>
    <n v="10.382999999999999"/>
    <n v="269.95"/>
  </r>
  <r>
    <n v="1084"/>
    <d v="2025-12-11T20:00:00"/>
    <x v="3"/>
    <s v="Jueves"/>
    <x v="11"/>
    <x v="0"/>
    <x v="0"/>
    <x v="1"/>
    <x v="1"/>
    <x v="1"/>
    <n v="21000"/>
    <x v="89"/>
    <n v="54.1"/>
    <n v="0"/>
    <n v="423"/>
    <n v="1"/>
    <x v="1"/>
    <n v="281.51"/>
    <n v="0"/>
    <x v="2"/>
    <n v="71.95"/>
    <n v="13.404999999999999"/>
    <n v="281.51"/>
  </r>
  <r>
    <n v="1452"/>
    <d v="2025-12-11T20:00:00"/>
    <x v="3"/>
    <s v="Jueves"/>
    <x v="11"/>
    <x v="0"/>
    <x v="0"/>
    <x v="2"/>
    <x v="2"/>
    <x v="2"/>
    <n v="17400"/>
    <x v="107"/>
    <n v="75.400000000000006"/>
    <n v="0"/>
    <n v="1337"/>
    <n v="1"/>
    <x v="1"/>
    <n v="278.3"/>
    <n v="0"/>
    <x v="2"/>
    <n v="72.05"/>
    <n v="15.994"/>
    <n v="278.3"/>
  </r>
  <r>
    <n v="2188"/>
    <d v="2025-12-11T20:00:00"/>
    <x v="3"/>
    <s v="Jueves"/>
    <x v="11"/>
    <x v="0"/>
    <x v="0"/>
    <x v="3"/>
    <x v="3"/>
    <x v="3"/>
    <n v="9800"/>
    <x v="154"/>
    <n v="83.4"/>
    <n v="0"/>
    <n v="301"/>
    <n v="1"/>
    <x v="1"/>
    <n v="95.46"/>
    <n v="0"/>
    <x v="2"/>
    <n v="25.63"/>
    <n v="9.7409999999999997"/>
    <n v="95.46"/>
  </r>
  <r>
    <n v="716"/>
    <d v="2025-12-11T20:00:00"/>
    <x v="3"/>
    <s v="Jueves"/>
    <x v="11"/>
    <x v="0"/>
    <x v="0"/>
    <x v="5"/>
    <x v="5"/>
    <x v="5"/>
    <n v="8600"/>
    <x v="60"/>
    <n v="99"/>
    <n v="0"/>
    <n v="28"/>
    <n v="1"/>
    <x v="1"/>
    <n v="25.57"/>
    <n v="0"/>
    <x v="2"/>
    <n v="6.51"/>
    <n v="2.9729999999999999"/>
    <n v="25.57"/>
  </r>
  <r>
    <n v="1453"/>
    <d v="2025-12-15T00:00:00"/>
    <x v="0"/>
    <s v="Lunes"/>
    <x v="11"/>
    <x v="0"/>
    <x v="0"/>
    <x v="2"/>
    <x v="2"/>
    <x v="2"/>
    <n v="17400"/>
    <x v="84"/>
    <n v="79.5"/>
    <n v="0"/>
    <m/>
    <n v="0"/>
    <x v="0"/>
    <n v="48.3"/>
    <n v="0"/>
    <x v="0"/>
    <n v="4.9400000000000004"/>
    <n v="2.7759999999999998"/>
    <n v="48.3"/>
  </r>
  <r>
    <n v="1821"/>
    <d v="2025-12-15T00:00:00"/>
    <x v="0"/>
    <s v="Lunes"/>
    <x v="11"/>
    <x v="0"/>
    <x v="0"/>
    <x v="0"/>
    <x v="0"/>
    <x v="0"/>
    <n v="26000"/>
    <x v="43"/>
    <n v="78.099999999999994"/>
    <n v="0"/>
    <m/>
    <n v="1"/>
    <x v="1"/>
    <n v="134.44"/>
    <n v="0"/>
    <x v="0"/>
    <n v="14.33"/>
    <n v="5.1710000000000003"/>
    <n v="134.44"/>
  </r>
  <r>
    <n v="2189"/>
    <d v="2025-12-15T00:00:00"/>
    <x v="0"/>
    <s v="Lunes"/>
    <x v="11"/>
    <x v="0"/>
    <x v="0"/>
    <x v="3"/>
    <x v="3"/>
    <x v="3"/>
    <n v="9800"/>
    <x v="67"/>
    <n v="80.3"/>
    <n v="0"/>
    <n v="299"/>
    <n v="1"/>
    <x v="1"/>
    <n v="102.15"/>
    <n v="0"/>
    <x v="0"/>
    <n v="10.75"/>
    <n v="10.423"/>
    <n v="102.15"/>
  </r>
  <r>
    <n v="349"/>
    <d v="2025-12-15T00:00:00"/>
    <x v="0"/>
    <s v="Lunes"/>
    <x v="11"/>
    <x v="0"/>
    <x v="0"/>
    <x v="4"/>
    <x v="4"/>
    <x v="4"/>
    <n v="12500"/>
    <x v="42"/>
    <n v="71.2"/>
    <n v="0"/>
    <n v="43"/>
    <n v="0"/>
    <x v="0"/>
    <n v="23.35"/>
    <n v="0"/>
    <x v="0"/>
    <n v="2.52"/>
    <n v="1.8680000000000001"/>
    <n v="23.35"/>
  </r>
  <r>
    <n v="717"/>
    <d v="2025-12-15T00:00:00"/>
    <x v="0"/>
    <s v="Lunes"/>
    <x v="11"/>
    <x v="0"/>
    <x v="0"/>
    <x v="5"/>
    <x v="5"/>
    <x v="5"/>
    <n v="8600"/>
    <x v="68"/>
    <n v="99"/>
    <n v="0"/>
    <n v="3"/>
    <n v="1"/>
    <x v="1"/>
    <n v="25.52"/>
    <n v="0"/>
    <x v="0"/>
    <n v="2.66"/>
    <n v="2.9670000000000001"/>
    <n v="25.52"/>
  </r>
  <r>
    <n v="1085"/>
    <d v="2025-12-15T00:00:00"/>
    <x v="0"/>
    <s v="Lunes"/>
    <x v="11"/>
    <x v="0"/>
    <x v="0"/>
    <x v="1"/>
    <x v="1"/>
    <x v="1"/>
    <n v="21000"/>
    <x v="114"/>
    <n v="76.3"/>
    <n v="0"/>
    <n v="240"/>
    <n v="1"/>
    <x v="1"/>
    <n v="186.34"/>
    <n v="0"/>
    <x v="0"/>
    <n v="19.940000000000001"/>
    <n v="8.8729999999999993"/>
    <n v="186.34"/>
  </r>
  <r>
    <n v="1454"/>
    <d v="2025-12-15T08:00:00"/>
    <x v="1"/>
    <s v="Lunes"/>
    <x v="11"/>
    <x v="0"/>
    <x v="0"/>
    <x v="2"/>
    <x v="2"/>
    <x v="2"/>
    <n v="17400"/>
    <x v="100"/>
    <n v="99"/>
    <n v="0"/>
    <n v="129"/>
    <n v="0"/>
    <x v="0"/>
    <n v="54.06"/>
    <n v="0"/>
    <x v="1"/>
    <n v="8.99"/>
    <n v="3.1070000000000002"/>
    <n v="54.06"/>
  </r>
  <r>
    <n v="1086"/>
    <d v="2025-12-15T08:00:00"/>
    <x v="1"/>
    <s v="Lunes"/>
    <x v="11"/>
    <x v="0"/>
    <x v="0"/>
    <x v="1"/>
    <x v="1"/>
    <x v="1"/>
    <n v="21000"/>
    <x v="48"/>
    <n v="76.3"/>
    <n v="0"/>
    <n v="395"/>
    <n v="1"/>
    <x v="1"/>
    <n v="290.97000000000003"/>
    <n v="0"/>
    <x v="1"/>
    <n v="48.62"/>
    <n v="13.856"/>
    <n v="290.97000000000003"/>
  </r>
  <r>
    <n v="350"/>
    <d v="2025-12-15T08:00:00"/>
    <x v="1"/>
    <s v="Lunes"/>
    <x v="11"/>
    <x v="0"/>
    <x v="0"/>
    <x v="4"/>
    <x v="4"/>
    <x v="4"/>
    <n v="12500"/>
    <x v="128"/>
    <n v="75.2"/>
    <n v="0"/>
    <n v="356"/>
    <n v="1"/>
    <x v="1"/>
    <n v="110.02"/>
    <n v="0"/>
    <x v="1"/>
    <n v="18.579999999999998"/>
    <n v="8.8019999999999996"/>
    <n v="110.02"/>
  </r>
  <r>
    <n v="718"/>
    <d v="2025-12-15T08:00:00"/>
    <x v="1"/>
    <s v="Lunes"/>
    <x v="11"/>
    <x v="0"/>
    <x v="0"/>
    <x v="5"/>
    <x v="5"/>
    <x v="5"/>
    <n v="8600"/>
    <x v="8"/>
    <n v="99"/>
    <m/>
    <n v="818"/>
    <n v="1"/>
    <x v="1"/>
    <n v="127.31"/>
    <n v="0"/>
    <x v="1"/>
    <n v="21.68"/>
    <n v="14.803000000000001"/>
    <n v="127.31"/>
  </r>
  <r>
    <n v="1822"/>
    <d v="2025-12-15T08:00:00"/>
    <x v="1"/>
    <s v="Lunes"/>
    <x v="11"/>
    <x v="0"/>
    <x v="0"/>
    <x v="0"/>
    <x v="0"/>
    <x v="0"/>
    <n v="26000"/>
    <x v="38"/>
    <n v="84.3"/>
    <n v="0"/>
    <n v="158"/>
    <n v="1"/>
    <x v="1"/>
    <n v="269.43"/>
    <n v="0"/>
    <x v="1"/>
    <n v="45.56"/>
    <n v="10.363"/>
    <n v="269.43"/>
  </r>
  <r>
    <n v="2190"/>
    <d v="2025-12-15T08:00:00"/>
    <x v="1"/>
    <s v="Lunes"/>
    <x v="11"/>
    <x v="0"/>
    <x v="0"/>
    <x v="3"/>
    <x v="3"/>
    <x v="3"/>
    <n v="9800"/>
    <x v="84"/>
    <n v="89.1"/>
    <n v="0"/>
    <n v="51"/>
    <n v="1"/>
    <x v="1"/>
    <n v="32.83"/>
    <n v="0"/>
    <x v="1"/>
    <n v="5.52"/>
    <n v="3.35"/>
    <n v="32.83"/>
  </r>
  <r>
    <n v="1455"/>
    <d v="2025-12-15T14:00:00"/>
    <x v="2"/>
    <s v="Lunes"/>
    <x v="11"/>
    <x v="0"/>
    <x v="0"/>
    <x v="2"/>
    <x v="2"/>
    <x v="2"/>
    <n v="17400"/>
    <x v="189"/>
    <n v="67.3"/>
    <n v="429.3"/>
    <n v="1345"/>
    <n v="0"/>
    <x v="0"/>
    <n v="206.86"/>
    <n v="56.27"/>
    <x v="1"/>
    <n v="25.19"/>
    <n v="11.888999999999999"/>
    <n v="150.59"/>
  </r>
  <r>
    <n v="719"/>
    <d v="2025-12-15T14:00:00"/>
    <x v="2"/>
    <s v="Lunes"/>
    <x v="11"/>
    <x v="0"/>
    <x v="0"/>
    <x v="5"/>
    <x v="5"/>
    <x v="5"/>
    <n v="8600"/>
    <x v="20"/>
    <n v="88.3"/>
    <n v="393.7"/>
    <n v="877"/>
    <n v="1"/>
    <x v="1"/>
    <n v="88.76"/>
    <n v="28.36"/>
    <x v="1"/>
    <n v="10.47"/>
    <n v="10.321"/>
    <n v="60.4"/>
  </r>
  <r>
    <n v="1823"/>
    <d v="2025-12-15T14:00:00"/>
    <x v="2"/>
    <s v="Lunes"/>
    <x v="11"/>
    <x v="0"/>
    <x v="0"/>
    <x v="0"/>
    <x v="0"/>
    <x v="0"/>
    <n v="26000"/>
    <x v="20"/>
    <n v="77.400000000000006"/>
    <n v="396.5"/>
    <n v="170"/>
    <n v="1"/>
    <x v="1"/>
    <n v="165.64"/>
    <n v="111.19"/>
    <x v="1"/>
    <n v="9.06"/>
    <n v="6.3710000000000004"/>
    <n v="54.45"/>
  </r>
  <r>
    <n v="1087"/>
    <d v="2025-12-15T14:00:00"/>
    <x v="2"/>
    <s v="Lunes"/>
    <x v="11"/>
    <x v="0"/>
    <x v="0"/>
    <x v="1"/>
    <x v="1"/>
    <x v="1"/>
    <n v="21000"/>
    <x v="105"/>
    <n v="72.400000000000006"/>
    <n v="424.6"/>
    <n v="410"/>
    <n v="0"/>
    <x v="0"/>
    <n v="213.7"/>
    <n v="85.7"/>
    <x v="1"/>
    <n v="21.77"/>
    <n v="10.176"/>
    <n v="128"/>
  </r>
  <r>
    <n v="2191"/>
    <d v="2025-12-15T14:00:00"/>
    <x v="2"/>
    <s v="Lunes"/>
    <x v="11"/>
    <x v="0"/>
    <x v="0"/>
    <x v="3"/>
    <x v="3"/>
    <x v="3"/>
    <n v="9800"/>
    <x v="99"/>
    <n v="88.8"/>
    <n v="171.1"/>
    <n v="85"/>
    <n v="1"/>
    <x v="2"/>
    <n v="20.07"/>
    <n v="0"/>
    <x v="1"/>
    <n v="3.32"/>
    <n v="2.048"/>
    <n v="20.07"/>
  </r>
  <r>
    <n v="351"/>
    <d v="2025-12-15T14:00:00"/>
    <x v="2"/>
    <s v="Lunes"/>
    <x v="11"/>
    <x v="0"/>
    <x v="0"/>
    <x v="4"/>
    <x v="4"/>
    <x v="4"/>
    <n v="12500"/>
    <x v="74"/>
    <n v="89"/>
    <n v="323.7"/>
    <n v="532"/>
    <n v="1"/>
    <x v="1"/>
    <n v="107.09"/>
    <n v="46.56"/>
    <x v="1"/>
    <n v="10.1"/>
    <n v="8.5670000000000002"/>
    <n v="60.53"/>
  </r>
  <r>
    <n v="1456"/>
    <d v="2025-12-15T20:00:00"/>
    <x v="3"/>
    <s v="Lunes"/>
    <x v="11"/>
    <x v="0"/>
    <x v="0"/>
    <x v="2"/>
    <x v="2"/>
    <x v="2"/>
    <n v="17400"/>
    <x v="107"/>
    <m/>
    <n v="0"/>
    <n v="1412"/>
    <n v="1"/>
    <x v="1"/>
    <n v="278.2"/>
    <n v="0"/>
    <x v="2"/>
    <n v="70.05"/>
    <n v="15.989000000000001"/>
    <n v="278.2"/>
  </r>
  <r>
    <n v="720"/>
    <d v="2025-12-15T20:00:00"/>
    <x v="3"/>
    <s v="Lunes"/>
    <x v="11"/>
    <x v="0"/>
    <x v="0"/>
    <x v="5"/>
    <x v="5"/>
    <x v="5"/>
    <n v="8600"/>
    <x v="175"/>
    <n v="89.4"/>
    <n v="0"/>
    <n v="121"/>
    <n v="1"/>
    <x v="1"/>
    <n v="26.55"/>
    <n v="0"/>
    <x v="2"/>
    <n v="6.95"/>
    <n v="3.0870000000000002"/>
    <n v="26.55"/>
  </r>
  <r>
    <n v="352"/>
    <d v="2025-12-15T20:00:00"/>
    <x v="3"/>
    <s v="Lunes"/>
    <x v="11"/>
    <x v="0"/>
    <x v="0"/>
    <x v="4"/>
    <x v="4"/>
    <x v="4"/>
    <n v="12500"/>
    <x v="125"/>
    <n v="78.099999999999994"/>
    <n v="0"/>
    <n v="54"/>
    <n v="1"/>
    <x v="1"/>
    <n v="40.270000000000003"/>
    <n v="0"/>
    <x v="2"/>
    <n v="10.28"/>
    <n v="3.222"/>
    <n v="40.270000000000003"/>
  </r>
  <r>
    <n v="1824"/>
    <d v="2025-12-15T20:00:00"/>
    <x v="3"/>
    <s v="Lunes"/>
    <x v="11"/>
    <x v="0"/>
    <x v="0"/>
    <x v="0"/>
    <x v="0"/>
    <x v="0"/>
    <n v="26000"/>
    <x v="84"/>
    <n v="78.900000000000006"/>
    <n v="0"/>
    <n v="204"/>
    <n v="1"/>
    <x v="1"/>
    <n v="279.60000000000002"/>
    <n v="0"/>
    <x v="2"/>
    <n v="72.19"/>
    <n v="10.754"/>
    <n v="279.60000000000002"/>
  </r>
  <r>
    <n v="1088"/>
    <d v="2025-12-15T20:00:00"/>
    <x v="3"/>
    <s v="Lunes"/>
    <x v="11"/>
    <x v="0"/>
    <x v="0"/>
    <x v="1"/>
    <x v="1"/>
    <x v="1"/>
    <n v="21000"/>
    <x v="167"/>
    <n v="77"/>
    <n v="0"/>
    <n v="380"/>
    <n v="1"/>
    <x v="1"/>
    <n v="281.20999999999998"/>
    <n v="0"/>
    <x v="2"/>
    <n v="72.3"/>
    <n v="13.391"/>
    <n v="281.20999999999998"/>
  </r>
  <r>
    <n v="2192"/>
    <d v="2025-12-15T20:00:00"/>
    <x v="3"/>
    <s v="Lunes"/>
    <x v="11"/>
    <x v="0"/>
    <x v="0"/>
    <x v="3"/>
    <x v="3"/>
    <x v="3"/>
    <n v="9800"/>
    <x v="107"/>
    <n v="82.1"/>
    <n v="0"/>
    <n v="294"/>
    <n v="1"/>
    <x v="1"/>
    <n v="95.22"/>
    <n v="0"/>
    <x v="2"/>
    <n v="25.28"/>
    <n v="9.7159999999999993"/>
    <n v="95.22"/>
  </r>
  <r>
    <n v="2193"/>
    <d v="2025-12-19T00:00:00"/>
    <x v="0"/>
    <s v="Viernes"/>
    <x v="11"/>
    <x v="0"/>
    <x v="0"/>
    <x v="3"/>
    <x v="3"/>
    <x v="3"/>
    <n v="9800"/>
    <x v="67"/>
    <n v="76.7"/>
    <n v="0"/>
    <n v="301"/>
    <n v="1"/>
    <x v="1"/>
    <n v="104.63"/>
    <n v="0"/>
    <x v="0"/>
    <n v="10.45"/>
    <n v="10.677"/>
    <n v="104.63"/>
  </r>
  <r>
    <n v="721"/>
    <d v="2025-12-19T00:00:00"/>
    <x v="0"/>
    <s v="Viernes"/>
    <x v="11"/>
    <x v="0"/>
    <x v="0"/>
    <x v="5"/>
    <x v="5"/>
    <x v="5"/>
    <n v="8600"/>
    <x v="5"/>
    <n v="95.4"/>
    <n v="0"/>
    <n v="55"/>
    <n v="1"/>
    <x v="1"/>
    <n v="27.09"/>
    <n v="0"/>
    <x v="0"/>
    <n v="2.83"/>
    <n v="3.15"/>
    <n v="27.09"/>
  </r>
  <r>
    <n v="1825"/>
    <d v="2025-12-19T00:00:00"/>
    <x v="0"/>
    <s v="Viernes"/>
    <x v="11"/>
    <x v="0"/>
    <x v="0"/>
    <x v="0"/>
    <x v="0"/>
    <x v="0"/>
    <n v="26000"/>
    <x v="4"/>
    <n v="83.5"/>
    <n v="0"/>
    <n v="41"/>
    <n v="1"/>
    <x v="1"/>
    <n v="135.52000000000001"/>
    <n v="0"/>
    <x v="0"/>
    <n v="13.9"/>
    <n v="5.2119999999999997"/>
    <n v="135.52000000000001"/>
  </r>
  <r>
    <n v="353"/>
    <d v="2025-12-19T00:00:00"/>
    <x v="0"/>
    <s v="Viernes"/>
    <x v="11"/>
    <x v="0"/>
    <x v="0"/>
    <x v="4"/>
    <x v="4"/>
    <x v="4"/>
    <n v="12500"/>
    <x v="338"/>
    <m/>
    <n v="0"/>
    <n v="0"/>
    <n v="0"/>
    <x v="0"/>
    <n v="23.91"/>
    <n v="0"/>
    <x v="0"/>
    <n v="2.44"/>
    <n v="1.913"/>
    <n v="23.91"/>
  </r>
  <r>
    <n v="1089"/>
    <d v="2025-12-19T00:00:00"/>
    <x v="0"/>
    <s v="Viernes"/>
    <x v="11"/>
    <x v="0"/>
    <x v="0"/>
    <x v="1"/>
    <x v="1"/>
    <x v="1"/>
    <n v="21000"/>
    <x v="63"/>
    <n v="77.8"/>
    <n v="0"/>
    <n v="156"/>
    <n v="1"/>
    <x v="1"/>
    <n v="191.7"/>
    <n v="0"/>
    <x v="0"/>
    <n v="19.78"/>
    <n v="9.1289999999999996"/>
    <n v="191.7"/>
  </r>
  <r>
    <n v="1457"/>
    <d v="2025-12-19T00:00:00"/>
    <x v="0"/>
    <s v="Viernes"/>
    <x v="11"/>
    <x v="0"/>
    <x v="0"/>
    <x v="2"/>
    <x v="2"/>
    <x v="2"/>
    <n v="17400"/>
    <x v="43"/>
    <n v="78.8"/>
    <n v="0"/>
    <n v="257"/>
    <n v="0"/>
    <x v="0"/>
    <n v="60.49"/>
    <n v="0"/>
    <x v="0"/>
    <n v="6.3"/>
    <n v="3.476"/>
    <n v="60.49"/>
  </r>
  <r>
    <n v="2194"/>
    <d v="2025-12-19T08:00:00"/>
    <x v="1"/>
    <s v="Viernes"/>
    <x v="11"/>
    <x v="0"/>
    <x v="0"/>
    <x v="3"/>
    <x v="3"/>
    <x v="3"/>
    <n v="9800"/>
    <x v="74"/>
    <n v="96.5"/>
    <n v="0"/>
    <n v="54"/>
    <n v="1"/>
    <x v="1"/>
    <n v="33.770000000000003"/>
    <n v="0"/>
    <x v="1"/>
    <n v="5.66"/>
    <n v="3.4460000000000002"/>
    <n v="33.770000000000003"/>
  </r>
  <r>
    <n v="1090"/>
    <d v="2025-12-19T08:00:00"/>
    <x v="1"/>
    <s v="Viernes"/>
    <x v="11"/>
    <x v="0"/>
    <x v="0"/>
    <x v="1"/>
    <x v="1"/>
    <x v="1"/>
    <n v="21000"/>
    <x v="45"/>
    <n v="69"/>
    <n v="0"/>
    <n v="408"/>
    <n v="1"/>
    <x v="1"/>
    <n v="285.33"/>
    <n v="0"/>
    <x v="1"/>
    <n v="48.93"/>
    <n v="13.587"/>
    <n v="285.33"/>
  </r>
  <r>
    <n v="722"/>
    <d v="2025-12-19T08:00:00"/>
    <x v="1"/>
    <s v="Viernes"/>
    <x v="11"/>
    <x v="0"/>
    <x v="0"/>
    <x v="5"/>
    <x v="5"/>
    <x v="5"/>
    <n v="8600"/>
    <x v="38"/>
    <n v="95.1"/>
    <n v="0"/>
    <n v="775"/>
    <n v="1"/>
    <x v="1"/>
    <n v="113.59"/>
    <n v="0"/>
    <x v="1"/>
    <n v="18.79"/>
    <n v="13.208"/>
    <n v="113.59"/>
  </r>
  <r>
    <n v="1826"/>
    <d v="2025-12-19T08:00:00"/>
    <x v="1"/>
    <s v="Viernes"/>
    <x v="11"/>
    <x v="0"/>
    <x v="0"/>
    <x v="0"/>
    <x v="0"/>
    <x v="0"/>
    <n v="26000"/>
    <x v="42"/>
    <n v="73.8"/>
    <n v="0"/>
    <n v="166"/>
    <n v="1"/>
    <x v="1"/>
    <n v="266.89999999999998"/>
    <n v="0"/>
    <x v="1"/>
    <n v="45.96"/>
    <n v="10.265000000000001"/>
    <n v="266.89999999999998"/>
  </r>
  <r>
    <n v="354"/>
    <d v="2025-12-19T08:00:00"/>
    <x v="1"/>
    <s v="Viernes"/>
    <x v="11"/>
    <x v="0"/>
    <x v="0"/>
    <x v="4"/>
    <x v="4"/>
    <x v="4"/>
    <n v="12500"/>
    <x v="339"/>
    <n v="76.2"/>
    <n v="0"/>
    <n v="339"/>
    <n v="1"/>
    <x v="1"/>
    <n v="111.93"/>
    <n v="0"/>
    <x v="1"/>
    <n v="18.54"/>
    <n v="8.9540000000000006"/>
    <n v="111.93"/>
  </r>
  <r>
    <n v="1458"/>
    <d v="2025-12-19T08:00:00"/>
    <x v="1"/>
    <s v="Viernes"/>
    <x v="11"/>
    <x v="0"/>
    <x v="0"/>
    <x v="2"/>
    <x v="2"/>
    <x v="2"/>
    <n v="17400"/>
    <x v="74"/>
    <n v="87.8"/>
    <n v="0"/>
    <n v="87"/>
    <n v="0"/>
    <x v="0"/>
    <n v="51.54"/>
    <n v="0"/>
    <x v="1"/>
    <n v="8.56"/>
    <n v="2.9620000000000002"/>
    <n v="51.54"/>
  </r>
  <r>
    <n v="1091"/>
    <d v="2025-12-19T14:00:00"/>
    <x v="2"/>
    <s v="Viernes"/>
    <x v="11"/>
    <x v="0"/>
    <x v="0"/>
    <x v="1"/>
    <x v="1"/>
    <x v="1"/>
    <n v="21000"/>
    <x v="105"/>
    <n v="76"/>
    <n v="431.7"/>
    <n v="429"/>
    <n v="0"/>
    <x v="0"/>
    <n v="208.13"/>
    <n v="91.51"/>
    <x v="1"/>
    <n v="19.53"/>
    <n v="9.9109999999999996"/>
    <n v="116.62"/>
  </r>
  <r>
    <n v="1827"/>
    <d v="2025-12-19T14:00:00"/>
    <x v="2"/>
    <s v="Viernes"/>
    <x v="11"/>
    <x v="0"/>
    <x v="0"/>
    <x v="0"/>
    <x v="0"/>
    <x v="0"/>
    <n v="26000"/>
    <x v="53"/>
    <n v="79.400000000000006"/>
    <n v="369.8"/>
    <n v="189"/>
    <n v="0"/>
    <x v="0"/>
    <n v="155.26"/>
    <n v="98.48"/>
    <x v="1"/>
    <n v="9.5399999999999991"/>
    <n v="5.9720000000000004"/>
    <n v="56.78"/>
  </r>
  <r>
    <n v="723"/>
    <d v="2025-12-19T14:00:00"/>
    <x v="2"/>
    <s v="Viernes"/>
    <x v="11"/>
    <x v="0"/>
    <x v="0"/>
    <x v="5"/>
    <x v="5"/>
    <x v="5"/>
    <n v="8600"/>
    <x v="59"/>
    <n v="99"/>
    <n v="194.4"/>
    <n v="759"/>
    <n v="1"/>
    <x v="1"/>
    <n v="85.3"/>
    <n v="14.49"/>
    <x v="1"/>
    <n v="11.78"/>
    <n v="9.9190000000000005"/>
    <n v="70.81"/>
  </r>
  <r>
    <n v="2195"/>
    <d v="2025-12-19T14:00:00"/>
    <x v="2"/>
    <s v="Viernes"/>
    <x v="11"/>
    <x v="0"/>
    <x v="0"/>
    <x v="3"/>
    <x v="3"/>
    <x v="3"/>
    <n v="9800"/>
    <x v="153"/>
    <n v="93.1"/>
    <n v="259.89999999999998"/>
    <n v="65"/>
    <n v="1"/>
    <x v="2"/>
    <n v="17.77"/>
    <n v="0"/>
    <x v="1"/>
    <n v="2.91"/>
    <n v="1.8129999999999999"/>
    <n v="17.77"/>
  </r>
  <r>
    <n v="355"/>
    <d v="2025-12-19T14:00:00"/>
    <x v="2"/>
    <s v="Viernes"/>
    <x v="11"/>
    <x v="0"/>
    <x v="0"/>
    <x v="4"/>
    <x v="4"/>
    <x v="4"/>
    <n v="12500"/>
    <x v="77"/>
    <n v="67.400000000000006"/>
    <n v="550.9"/>
    <n v="649"/>
    <n v="1"/>
    <x v="1"/>
    <n v="112.19"/>
    <n v="82.56"/>
    <x v="1"/>
    <n v="4.92"/>
    <n v="8.9749999999999996"/>
    <n v="29.63"/>
  </r>
  <r>
    <n v="1459"/>
    <d v="2025-12-19T14:00:00"/>
    <x v="2"/>
    <s v="Viernes"/>
    <x v="11"/>
    <x v="0"/>
    <x v="0"/>
    <x v="2"/>
    <x v="2"/>
    <x v="2"/>
    <n v="17400"/>
    <x v="101"/>
    <n v="70"/>
    <n v="411.7"/>
    <n v="1312"/>
    <n v="1"/>
    <x v="2"/>
    <n v="208.73"/>
    <n v="50.83"/>
    <x v="1"/>
    <n v="26.59"/>
    <n v="11.996"/>
    <n v="157.9"/>
  </r>
  <r>
    <n v="2196"/>
    <d v="2025-12-19T20:00:00"/>
    <x v="3"/>
    <s v="Viernes"/>
    <x v="11"/>
    <x v="0"/>
    <x v="0"/>
    <x v="3"/>
    <x v="3"/>
    <x v="3"/>
    <n v="9800"/>
    <x v="90"/>
    <m/>
    <n v="0"/>
    <n v="288"/>
    <n v="1"/>
    <x v="1"/>
    <n v="101.73"/>
    <n v="0"/>
    <x v="2"/>
    <n v="25.72"/>
    <n v="10.381"/>
    <n v="101.73"/>
  </r>
  <r>
    <n v="356"/>
    <d v="2025-12-19T20:00:00"/>
    <x v="3"/>
    <s v="Viernes"/>
    <x v="11"/>
    <x v="0"/>
    <x v="0"/>
    <x v="4"/>
    <x v="4"/>
    <x v="4"/>
    <n v="12500"/>
    <x v="10"/>
    <n v="83.4"/>
    <n v="0"/>
    <n v="77"/>
    <n v="1"/>
    <x v="1"/>
    <n v="44.96"/>
    <n v="0"/>
    <x v="2"/>
    <n v="11.02"/>
    <n v="3.597"/>
    <n v="44.96"/>
  </r>
  <r>
    <n v="1092"/>
    <d v="2025-12-19T20:00:00"/>
    <x v="3"/>
    <s v="Viernes"/>
    <x v="11"/>
    <x v="0"/>
    <x v="0"/>
    <x v="1"/>
    <x v="1"/>
    <x v="1"/>
    <n v="21000"/>
    <x v="6"/>
    <n v="61.1"/>
    <n v="0"/>
    <n v="410"/>
    <n v="1"/>
    <x v="1"/>
    <n v="291.52999999999997"/>
    <n v="0"/>
    <x v="2"/>
    <n v="74.08"/>
    <n v="13.882"/>
    <n v="291.52999999999997"/>
  </r>
  <r>
    <n v="1828"/>
    <d v="2025-12-19T20:00:00"/>
    <x v="3"/>
    <s v="Viernes"/>
    <x v="11"/>
    <x v="0"/>
    <x v="0"/>
    <x v="0"/>
    <x v="0"/>
    <x v="0"/>
    <n v="26000"/>
    <x v="46"/>
    <n v="79.7"/>
    <n v="0"/>
    <n v="185"/>
    <n v="1"/>
    <x v="1"/>
    <n v="273.29000000000002"/>
    <n v="0"/>
    <x v="2"/>
    <n v="69.930000000000007"/>
    <n v="10.510999999999999"/>
    <n v="273.29000000000002"/>
  </r>
  <r>
    <n v="724"/>
    <d v="2025-12-19T20:00:00"/>
    <x v="3"/>
    <s v="Viernes"/>
    <x v="11"/>
    <x v="0"/>
    <x v="0"/>
    <x v="5"/>
    <x v="5"/>
    <x v="5"/>
    <n v="8600"/>
    <x v="80"/>
    <n v="94"/>
    <n v="0"/>
    <n v="24"/>
    <n v="1"/>
    <x v="1"/>
    <n v="23.97"/>
    <n v="0"/>
    <x v="2"/>
    <n v="6.22"/>
    <n v="2.7869999999999999"/>
    <n v="23.97"/>
  </r>
  <r>
    <n v="1460"/>
    <d v="2025-12-19T20:00:00"/>
    <x v="3"/>
    <s v="Viernes"/>
    <x v="11"/>
    <x v="0"/>
    <x v="0"/>
    <x v="2"/>
    <x v="2"/>
    <x v="2"/>
    <n v="17400"/>
    <x v="50"/>
    <n v="77.599999999999994"/>
    <n v="0"/>
    <n v="1268"/>
    <n v="1"/>
    <x v="1"/>
    <n v="285.27999999999997"/>
    <n v="0"/>
    <x v="2"/>
    <n v="74.66"/>
    <n v="16.395"/>
    <n v="285.27999999999997"/>
  </r>
  <r>
    <n v="1829"/>
    <d v="2025-12-23T00:00:00"/>
    <x v="0"/>
    <s v="Martes"/>
    <x v="11"/>
    <x v="0"/>
    <x v="0"/>
    <x v="0"/>
    <x v="0"/>
    <x v="0"/>
    <n v="26000"/>
    <x v="340"/>
    <n v="76.3"/>
    <n v="0"/>
    <n v="66"/>
    <n v="1"/>
    <x v="1"/>
    <n v="133.49"/>
    <n v="0"/>
    <x v="0"/>
    <n v="14.23"/>
    <n v="5.1340000000000003"/>
    <n v="133.49"/>
  </r>
  <r>
    <n v="357"/>
    <d v="2025-12-23T00:00:00"/>
    <x v="0"/>
    <s v="Martes"/>
    <x v="11"/>
    <x v="0"/>
    <x v="0"/>
    <x v="4"/>
    <x v="4"/>
    <x v="4"/>
    <n v="12500"/>
    <x v="341"/>
    <n v="76"/>
    <n v="0"/>
    <n v="39"/>
    <n v="0"/>
    <x v="0"/>
    <n v="23.66"/>
    <n v="0"/>
    <x v="0"/>
    <n v="2.4500000000000002"/>
    <n v="1.893"/>
    <n v="23.66"/>
  </r>
  <r>
    <n v="1093"/>
    <d v="2025-12-23T00:00:00"/>
    <x v="0"/>
    <s v="Martes"/>
    <x v="11"/>
    <x v="0"/>
    <x v="0"/>
    <x v="1"/>
    <x v="1"/>
    <x v="1"/>
    <n v="21000"/>
    <x v="113"/>
    <n v="87.7"/>
    <n v="0"/>
    <n v="203"/>
    <n v="1"/>
    <x v="1"/>
    <n v="187.4"/>
    <n v="0"/>
    <x v="0"/>
    <n v="18.95"/>
    <n v="8.9239999999999995"/>
    <n v="187.4"/>
  </r>
  <r>
    <n v="1461"/>
    <d v="2025-12-23T00:00:00"/>
    <x v="0"/>
    <s v="Martes"/>
    <x v="11"/>
    <x v="0"/>
    <x v="0"/>
    <x v="2"/>
    <x v="2"/>
    <x v="2"/>
    <n v="17400"/>
    <x v="151"/>
    <n v="94.9"/>
    <n v="0"/>
    <n v="58"/>
    <n v="0"/>
    <x v="0"/>
    <n v="49.89"/>
    <n v="0"/>
    <x v="0"/>
    <n v="4.99"/>
    <n v="2.867"/>
    <n v="49.89"/>
  </r>
  <r>
    <n v="725"/>
    <d v="2025-12-23T00:00:00"/>
    <x v="0"/>
    <s v="Martes"/>
    <x v="11"/>
    <x v="0"/>
    <x v="0"/>
    <x v="5"/>
    <x v="5"/>
    <x v="5"/>
    <n v="8600"/>
    <x v="80"/>
    <n v="95.7"/>
    <n v="0"/>
    <n v="88"/>
    <n v="0"/>
    <x v="0"/>
    <n v="17.739999999999998"/>
    <n v="0"/>
    <x v="0"/>
    <n v="1.81"/>
    <n v="2.0630000000000002"/>
    <n v="17.739999999999998"/>
  </r>
  <r>
    <n v="2197"/>
    <d v="2025-12-23T00:00:00"/>
    <x v="0"/>
    <s v="Martes"/>
    <x v="11"/>
    <x v="0"/>
    <x v="0"/>
    <x v="3"/>
    <x v="3"/>
    <x v="3"/>
    <n v="9800"/>
    <x v="335"/>
    <n v="99"/>
    <n v="0"/>
    <n v="326"/>
    <n v="1"/>
    <x v="1"/>
    <n v="95.83"/>
    <n v="0"/>
    <x v="0"/>
    <n v="10.06"/>
    <n v="9.7789999999999999"/>
    <n v="95.83"/>
  </r>
  <r>
    <n v="358"/>
    <d v="2025-12-23T08:00:00"/>
    <x v="1"/>
    <s v="Martes"/>
    <x v="11"/>
    <x v="0"/>
    <x v="0"/>
    <x v="4"/>
    <x v="4"/>
    <x v="4"/>
    <n v="12500"/>
    <x v="342"/>
    <n v="81.8"/>
    <n v="0"/>
    <n v="338"/>
    <n v="1"/>
    <x v="1"/>
    <n v="111.21"/>
    <n v="0"/>
    <x v="1"/>
    <n v="17.84"/>
    <n v="8.8970000000000002"/>
    <n v="111.21"/>
  </r>
  <r>
    <n v="1830"/>
    <d v="2025-12-23T08:00:00"/>
    <x v="1"/>
    <s v="Martes"/>
    <x v="11"/>
    <x v="0"/>
    <x v="0"/>
    <x v="0"/>
    <x v="0"/>
    <x v="0"/>
    <n v="26000"/>
    <x v="5"/>
    <n v="83.8"/>
    <n v="0"/>
    <n v="169"/>
    <n v="1"/>
    <x v="1"/>
    <n v="257.82"/>
    <n v="0"/>
    <x v="1"/>
    <n v="41.35"/>
    <n v="9.9160000000000004"/>
    <n v="257.82"/>
  </r>
  <r>
    <n v="2198"/>
    <d v="2025-12-23T08:00:00"/>
    <x v="1"/>
    <s v="Martes"/>
    <x v="11"/>
    <x v="0"/>
    <x v="0"/>
    <x v="3"/>
    <x v="3"/>
    <x v="3"/>
    <n v="9800"/>
    <x v="60"/>
    <n v="81.3"/>
    <n v="0"/>
    <n v="90"/>
    <n v="1"/>
    <x v="1"/>
    <n v="39.57"/>
    <n v="0"/>
    <x v="1"/>
    <n v="6.56"/>
    <n v="4.0380000000000003"/>
    <n v="39.57"/>
  </r>
  <r>
    <n v="1094"/>
    <d v="2025-12-23T08:00:00"/>
    <x v="1"/>
    <s v="Martes"/>
    <x v="11"/>
    <x v="0"/>
    <x v="0"/>
    <x v="1"/>
    <x v="1"/>
    <x v="1"/>
    <n v="21000"/>
    <x v="108"/>
    <n v="82.8"/>
    <n v="0"/>
    <n v="406"/>
    <n v="1"/>
    <x v="1"/>
    <n v="306.69"/>
    <n v="0"/>
    <x v="1"/>
    <n v="51"/>
    <n v="14.603999999999999"/>
    <n v="306.69"/>
  </r>
  <r>
    <n v="726"/>
    <d v="2025-12-23T08:00:00"/>
    <x v="1"/>
    <s v="Martes"/>
    <x v="11"/>
    <x v="0"/>
    <x v="0"/>
    <x v="5"/>
    <x v="5"/>
    <x v="5"/>
    <n v="8600"/>
    <x v="333"/>
    <n v="87.8"/>
    <n v="0"/>
    <n v="7"/>
    <n v="0"/>
    <x v="0"/>
    <n v="12.22"/>
    <n v="0"/>
    <x v="1"/>
    <n v="2.0499999999999998"/>
    <n v="1.421"/>
    <n v="12.22"/>
  </r>
  <r>
    <n v="1462"/>
    <d v="2025-12-23T08:00:00"/>
    <x v="1"/>
    <s v="Martes"/>
    <x v="11"/>
    <x v="0"/>
    <x v="0"/>
    <x v="2"/>
    <x v="2"/>
    <x v="2"/>
    <n v="17400"/>
    <x v="17"/>
    <n v="87.4"/>
    <n v="0"/>
    <n v="182"/>
    <n v="0"/>
    <x v="0"/>
    <n v="56.09"/>
    <n v="0"/>
    <x v="1"/>
    <n v="9.4600000000000009"/>
    <n v="3.2240000000000002"/>
    <n v="56.09"/>
  </r>
  <r>
    <n v="2199"/>
    <d v="2025-12-23T14:00:00"/>
    <x v="2"/>
    <s v="Martes"/>
    <x v="11"/>
    <x v="0"/>
    <x v="0"/>
    <x v="3"/>
    <x v="3"/>
    <x v="3"/>
    <n v="9800"/>
    <x v="153"/>
    <n v="89.4"/>
    <n v="336.2"/>
    <m/>
    <n v="1"/>
    <x v="2"/>
    <n v="19.04"/>
    <n v="0"/>
    <x v="1"/>
    <n v="3.04"/>
    <n v="1.9430000000000001"/>
    <n v="19.04"/>
  </r>
  <r>
    <n v="727"/>
    <d v="2025-12-23T14:00:00"/>
    <x v="2"/>
    <s v="Martes"/>
    <x v="11"/>
    <x v="0"/>
    <x v="0"/>
    <x v="5"/>
    <x v="5"/>
    <x v="5"/>
    <n v="8600"/>
    <x v="60"/>
    <n v="93.1"/>
    <n v="239.1"/>
    <n v="0"/>
    <n v="0"/>
    <x v="0"/>
    <n v="7.12"/>
    <n v="18.66"/>
    <x v="1"/>
    <n v="-0.75"/>
    <n v="0.82799999999999996"/>
    <n v="0"/>
  </r>
  <r>
    <n v="1095"/>
    <d v="2025-12-23T14:00:00"/>
    <x v="2"/>
    <s v="Martes"/>
    <x v="11"/>
    <x v="0"/>
    <x v="0"/>
    <x v="1"/>
    <x v="1"/>
    <x v="1"/>
    <n v="21000"/>
    <x v="37"/>
    <n v="75.099999999999994"/>
    <n v="443.5"/>
    <n v="434"/>
    <n v="1"/>
    <x v="1"/>
    <n v="213.65"/>
    <n v="82.13"/>
    <x v="1"/>
    <n v="22.03"/>
    <n v="10.173999999999999"/>
    <n v="131.52000000000001"/>
  </r>
  <r>
    <n v="1463"/>
    <d v="2025-12-23T14:00:00"/>
    <x v="2"/>
    <s v="Martes"/>
    <x v="11"/>
    <x v="0"/>
    <x v="0"/>
    <x v="2"/>
    <x v="2"/>
    <x v="2"/>
    <n v="17400"/>
    <x v="116"/>
    <n v="85.8"/>
    <n v="349"/>
    <n v="1435"/>
    <n v="0"/>
    <x v="0"/>
    <n v="214.04"/>
    <n v="46.07"/>
    <x v="1"/>
    <n v="28.76"/>
    <n v="12.301"/>
    <n v="167.97"/>
  </r>
  <r>
    <n v="1831"/>
    <d v="2025-12-23T14:00:00"/>
    <x v="2"/>
    <s v="Martes"/>
    <x v="11"/>
    <x v="0"/>
    <x v="0"/>
    <x v="0"/>
    <x v="0"/>
    <x v="0"/>
    <n v="26000"/>
    <x v="143"/>
    <n v="67.900000000000006"/>
    <n v="430.6"/>
    <n v="176"/>
    <n v="1"/>
    <x v="1"/>
    <n v="169.12"/>
    <n v="117.86"/>
    <x v="1"/>
    <n v="8.42"/>
    <n v="6.5049999999999999"/>
    <n v="51.26"/>
  </r>
  <r>
    <n v="359"/>
    <d v="2025-12-23T14:00:00"/>
    <x v="2"/>
    <s v="Martes"/>
    <x v="11"/>
    <x v="0"/>
    <x v="0"/>
    <x v="4"/>
    <x v="4"/>
    <x v="4"/>
    <n v="12500"/>
    <x v="40"/>
    <n v="66.8"/>
    <n v="431"/>
    <n v="622"/>
    <n v="1"/>
    <x v="1"/>
    <n v="115.17"/>
    <n v="66.489999999999995"/>
    <x v="1"/>
    <n v="8.06"/>
    <n v="9.2140000000000004"/>
    <n v="48.68"/>
  </r>
  <r>
    <n v="1832"/>
    <d v="2025-12-23T20:00:00"/>
    <x v="3"/>
    <s v="Martes"/>
    <x v="11"/>
    <x v="0"/>
    <x v="0"/>
    <x v="0"/>
    <x v="0"/>
    <x v="0"/>
    <n v="26000"/>
    <x v="112"/>
    <n v="70.3"/>
    <n v="0"/>
    <n v="178"/>
    <n v="1"/>
    <x v="1"/>
    <n v="1153.57"/>
    <n v="0"/>
    <x v="2"/>
    <n v="66.33"/>
    <n v="44.368000000000002"/>
    <n v="1153.57"/>
  </r>
  <r>
    <n v="2200"/>
    <d v="2025-12-23T20:00:00"/>
    <x v="3"/>
    <s v="Martes"/>
    <x v="11"/>
    <x v="0"/>
    <x v="0"/>
    <x v="3"/>
    <x v="3"/>
    <x v="3"/>
    <n v="9800"/>
    <x v="43"/>
    <n v="83.9"/>
    <n v="0"/>
    <n v="312"/>
    <n v="1"/>
    <x v="2"/>
    <n v="98.25"/>
    <n v="0"/>
    <x v="2"/>
    <n v="24.66"/>
    <n v="10.026"/>
    <n v="98.25"/>
  </r>
  <r>
    <n v="1464"/>
    <d v="2025-12-23T20:00:00"/>
    <x v="3"/>
    <s v="Martes"/>
    <x v="11"/>
    <x v="0"/>
    <x v="0"/>
    <x v="2"/>
    <x v="2"/>
    <x v="2"/>
    <n v="17400"/>
    <x v="117"/>
    <n v="84.7"/>
    <n v="0"/>
    <n v="1380"/>
    <n v="1"/>
    <x v="1"/>
    <n v="274.54000000000002"/>
    <n v="0"/>
    <x v="2"/>
    <n v="71"/>
    <n v="15.778"/>
    <n v="274.54000000000002"/>
  </r>
  <r>
    <n v="728"/>
    <d v="2025-12-23T20:00:00"/>
    <x v="3"/>
    <s v="Martes"/>
    <x v="11"/>
    <x v="0"/>
    <x v="0"/>
    <x v="5"/>
    <x v="5"/>
    <x v="5"/>
    <n v="8600"/>
    <x v="157"/>
    <m/>
    <n v="0"/>
    <n v="8"/>
    <n v="0"/>
    <x v="0"/>
    <n v="13.55"/>
    <n v="0"/>
    <x v="2"/>
    <n v="3.42"/>
    <n v="1.5760000000000001"/>
    <n v="13.55"/>
  </r>
  <r>
    <n v="360"/>
    <d v="2025-12-23T20:00:00"/>
    <x v="3"/>
    <s v="Martes"/>
    <x v="11"/>
    <x v="0"/>
    <x v="0"/>
    <x v="4"/>
    <x v="4"/>
    <x v="4"/>
    <n v="12500"/>
    <x v="10"/>
    <n v="71.2"/>
    <m/>
    <n v="76"/>
    <n v="1"/>
    <x v="1"/>
    <n v="44.14"/>
    <n v="0"/>
    <x v="2"/>
    <n v="11.17"/>
    <n v="3.5310000000000001"/>
    <n v="44.14"/>
  </r>
  <r>
    <n v="1096"/>
    <d v="2025-12-23T20:00:00"/>
    <x v="3"/>
    <s v="Martes"/>
    <x v="11"/>
    <x v="0"/>
    <x v="0"/>
    <x v="1"/>
    <x v="1"/>
    <x v="1"/>
    <n v="21000"/>
    <x v="73"/>
    <n v="72.099999999999994"/>
    <n v="0"/>
    <n v="411"/>
    <n v="1"/>
    <x v="1"/>
    <n v="292.23"/>
    <n v="0"/>
    <x v="2"/>
    <n v="75.28"/>
    <n v="13.916"/>
    <n v="292.23"/>
  </r>
  <r>
    <n v="1833"/>
    <d v="2025-12-27T00:00:00"/>
    <x v="0"/>
    <s v="Sabado"/>
    <x v="11"/>
    <x v="0"/>
    <x v="1"/>
    <x v="0"/>
    <x v="0"/>
    <x v="0"/>
    <n v="26000"/>
    <x v="343"/>
    <n v="76.7"/>
    <n v="0"/>
    <n v="41"/>
    <n v="1"/>
    <x v="1"/>
    <n v="96.12"/>
    <n v="0"/>
    <x v="0"/>
    <n v="9.81"/>
    <n v="3.6970000000000001"/>
    <n v="96.12"/>
  </r>
  <r>
    <n v="1097"/>
    <d v="2025-12-27T00:00:00"/>
    <x v="0"/>
    <s v="Sabado"/>
    <x v="11"/>
    <x v="0"/>
    <x v="1"/>
    <x v="1"/>
    <x v="1"/>
    <x v="1"/>
    <n v="21000"/>
    <x v="113"/>
    <n v="77.900000000000006"/>
    <n v="0"/>
    <m/>
    <n v="1"/>
    <x v="1"/>
    <n v="200.5"/>
    <n v="0"/>
    <x v="0"/>
    <n v="20.21"/>
    <n v="9.548"/>
    <n v="200.5"/>
  </r>
  <r>
    <n v="361"/>
    <d v="2025-12-27T00:00:00"/>
    <x v="0"/>
    <s v="Sabado"/>
    <x v="11"/>
    <x v="0"/>
    <x v="1"/>
    <x v="4"/>
    <x v="4"/>
    <x v="4"/>
    <n v="12500"/>
    <x v="341"/>
    <n v="80.400000000000006"/>
    <n v="0"/>
    <n v="32"/>
    <n v="0"/>
    <x v="0"/>
    <n v="26.35"/>
    <n v="0"/>
    <x v="0"/>
    <n v="2.66"/>
    <n v="2.1080000000000001"/>
    <n v="26.35"/>
  </r>
  <r>
    <n v="729"/>
    <d v="2025-12-27T00:00:00"/>
    <x v="0"/>
    <s v="Sabado"/>
    <x v="11"/>
    <x v="0"/>
    <x v="1"/>
    <x v="5"/>
    <x v="5"/>
    <x v="5"/>
    <n v="8600"/>
    <x v="109"/>
    <n v="99"/>
    <n v="0"/>
    <n v="0"/>
    <n v="0"/>
    <x v="0"/>
    <n v="12.64"/>
    <n v="0"/>
    <x v="0"/>
    <n v="1.27"/>
    <n v="1.47"/>
    <n v="12.64"/>
  </r>
  <r>
    <n v="2201"/>
    <d v="2025-12-27T00:00:00"/>
    <x v="0"/>
    <s v="Sabado"/>
    <x v="11"/>
    <x v="0"/>
    <x v="1"/>
    <x v="3"/>
    <x v="3"/>
    <x v="3"/>
    <n v="9800"/>
    <x v="29"/>
    <n v="89"/>
    <m/>
    <n v="285"/>
    <n v="1"/>
    <x v="1"/>
    <n v="99.9"/>
    <n v="0"/>
    <x v="0"/>
    <n v="10.26"/>
    <n v="10.194000000000001"/>
    <n v="99.9"/>
  </r>
  <r>
    <n v="1465"/>
    <d v="2025-12-27T00:00:00"/>
    <x v="0"/>
    <s v="Sabado"/>
    <x v="11"/>
    <x v="0"/>
    <x v="1"/>
    <x v="2"/>
    <x v="2"/>
    <x v="2"/>
    <n v="17400"/>
    <x v="69"/>
    <n v="90.7"/>
    <n v="0"/>
    <n v="91"/>
    <n v="1"/>
    <x v="1"/>
    <n v="69.48"/>
    <n v="0"/>
    <x v="0"/>
    <n v="7.09"/>
    <n v="3.9929999999999999"/>
    <n v="69.48"/>
  </r>
  <r>
    <n v="362"/>
    <d v="2025-12-27T08:00:00"/>
    <x v="1"/>
    <s v="Sabado"/>
    <x v="11"/>
    <x v="0"/>
    <x v="1"/>
    <x v="4"/>
    <x v="4"/>
    <x v="4"/>
    <n v="12500"/>
    <x v="83"/>
    <n v="80.7"/>
    <n v="0"/>
    <n v="38"/>
    <n v="0"/>
    <x v="0"/>
    <n v="25.37"/>
    <n v="0"/>
    <x v="0"/>
    <n v="2.63"/>
    <n v="2.0299999999999998"/>
    <n v="25.37"/>
  </r>
  <r>
    <n v="1834"/>
    <d v="2025-12-27T08:00:00"/>
    <x v="1"/>
    <s v="Sabado"/>
    <x v="11"/>
    <x v="0"/>
    <x v="1"/>
    <x v="0"/>
    <x v="0"/>
    <x v="0"/>
    <n v="26000"/>
    <x v="87"/>
    <n v="61.6"/>
    <n v="0"/>
    <n v="69"/>
    <n v="1"/>
    <x v="1"/>
    <n v="132.38999999999999"/>
    <n v="0"/>
    <x v="0"/>
    <n v="13.19"/>
    <n v="5.0919999999999996"/>
    <n v="132.38999999999999"/>
  </r>
  <r>
    <n v="1466"/>
    <d v="2025-12-27T08:00:00"/>
    <x v="1"/>
    <s v="Sabado"/>
    <x v="11"/>
    <x v="0"/>
    <x v="1"/>
    <x v="2"/>
    <x v="2"/>
    <x v="2"/>
    <n v="17400"/>
    <x v="96"/>
    <n v="87"/>
    <n v="0"/>
    <n v="189"/>
    <n v="1"/>
    <x v="1"/>
    <n v="66.56"/>
    <n v="0"/>
    <x v="0"/>
    <n v="6.82"/>
    <n v="3.8250000000000002"/>
    <n v="66.56"/>
  </r>
  <r>
    <n v="2202"/>
    <d v="2025-12-27T08:00:00"/>
    <x v="1"/>
    <s v="Sabado"/>
    <x v="11"/>
    <x v="0"/>
    <x v="1"/>
    <x v="3"/>
    <x v="3"/>
    <x v="3"/>
    <n v="9800"/>
    <x v="31"/>
    <n v="95.1"/>
    <n v="0"/>
    <n v="119"/>
    <n v="1"/>
    <x v="1"/>
    <n v="46.92"/>
    <n v="0"/>
    <x v="0"/>
    <n v="4.8600000000000003"/>
    <n v="4.7880000000000003"/>
    <n v="46.92"/>
  </r>
  <r>
    <n v="730"/>
    <d v="2025-12-27T08:00:00"/>
    <x v="1"/>
    <s v="Sabado"/>
    <x v="11"/>
    <x v="0"/>
    <x v="1"/>
    <x v="5"/>
    <x v="5"/>
    <x v="5"/>
    <n v="8600"/>
    <x v="344"/>
    <n v="99"/>
    <n v="0"/>
    <n v="8"/>
    <n v="0"/>
    <x v="0"/>
    <n v="13.15"/>
    <n v="0"/>
    <x v="0"/>
    <n v="1.33"/>
    <n v="1.5289999999999999"/>
    <n v="13.15"/>
  </r>
  <r>
    <n v="1098"/>
    <d v="2025-12-27T08:00:00"/>
    <x v="1"/>
    <s v="Sabado"/>
    <x v="11"/>
    <x v="0"/>
    <x v="1"/>
    <x v="1"/>
    <x v="1"/>
    <x v="1"/>
    <n v="21000"/>
    <x v="7"/>
    <n v="91.2"/>
    <n v="0"/>
    <n v="401"/>
    <n v="1"/>
    <x v="1"/>
    <n v="265.93"/>
    <n v="0"/>
    <x v="0"/>
    <n v="26.86"/>
    <n v="12.663"/>
    <n v="265.93"/>
  </r>
  <r>
    <n v="2203"/>
    <d v="2025-12-27T14:00:00"/>
    <x v="2"/>
    <s v="Sabado"/>
    <x v="11"/>
    <x v="0"/>
    <x v="1"/>
    <x v="3"/>
    <x v="3"/>
    <x v="3"/>
    <n v="9800"/>
    <x v="116"/>
    <n v="82.5"/>
    <n v="342.1"/>
    <n v="114"/>
    <n v="0"/>
    <x v="0"/>
    <n v="26.95"/>
    <n v="0"/>
    <x v="0"/>
    <n v="2.78"/>
    <n v="2.75"/>
    <n v="26.95"/>
  </r>
  <r>
    <n v="363"/>
    <d v="2025-12-27T14:00:00"/>
    <x v="2"/>
    <s v="Sabado"/>
    <x v="11"/>
    <x v="0"/>
    <x v="1"/>
    <x v="4"/>
    <x v="4"/>
    <x v="4"/>
    <n v="12500"/>
    <x v="6"/>
    <n v="69.5"/>
    <n v="335.9"/>
    <n v="25"/>
    <n v="0"/>
    <x v="0"/>
    <n v="17.309999999999999"/>
    <n v="47.88"/>
    <x v="0"/>
    <n v="-1.28"/>
    <n v="1.385"/>
    <n v="0"/>
  </r>
  <r>
    <n v="731"/>
    <d v="2025-12-27T14:00:00"/>
    <x v="2"/>
    <s v="Sabado"/>
    <x v="11"/>
    <x v="0"/>
    <x v="1"/>
    <x v="5"/>
    <x v="5"/>
    <x v="5"/>
    <n v="8600"/>
    <x v="173"/>
    <n v="93.5"/>
    <n v="253.6"/>
    <n v="0"/>
    <n v="0"/>
    <x v="0"/>
    <n v="7.61"/>
    <n v="18.23"/>
    <x v="0"/>
    <n v="-0.44"/>
    <n v="0.88500000000000001"/>
    <n v="0"/>
  </r>
  <r>
    <n v="1835"/>
    <d v="2025-12-27T14:00:00"/>
    <x v="2"/>
    <s v="Sabado"/>
    <x v="11"/>
    <x v="0"/>
    <x v="1"/>
    <x v="0"/>
    <x v="0"/>
    <x v="0"/>
    <n v="26000"/>
    <x v="78"/>
    <n v="77.5"/>
    <n v="392"/>
    <n v="71"/>
    <n v="1"/>
    <x v="1"/>
    <n v="86.83"/>
    <n v="102.72"/>
    <x v="0"/>
    <n v="-0.66"/>
    <n v="3.34"/>
    <n v="0"/>
  </r>
  <r>
    <n v="1467"/>
    <d v="2025-12-27T14:00:00"/>
    <x v="2"/>
    <s v="Sabado"/>
    <x v="11"/>
    <x v="0"/>
    <x v="1"/>
    <x v="2"/>
    <x v="2"/>
    <x v="2"/>
    <n v="17400"/>
    <x v="135"/>
    <n v="84.4"/>
    <n v="276.3"/>
    <n v="1596"/>
    <n v="0"/>
    <x v="0"/>
    <n v="212.56"/>
    <n v="37.17"/>
    <x v="0"/>
    <n v="18.14"/>
    <n v="12.215999999999999"/>
    <n v="175.39"/>
  </r>
  <r>
    <n v="1099"/>
    <d v="2025-12-27T14:00:00"/>
    <x v="2"/>
    <s v="Sabado"/>
    <x v="11"/>
    <x v="0"/>
    <x v="1"/>
    <x v="1"/>
    <x v="1"/>
    <x v="1"/>
    <n v="21000"/>
    <x v="11"/>
    <n v="76.400000000000006"/>
    <n v="417.2"/>
    <n v="430"/>
    <n v="1"/>
    <x v="2"/>
    <n v="200.43"/>
    <n v="90.55"/>
    <x v="0"/>
    <n v="10.94"/>
    <n v="9.5440000000000005"/>
    <n v="109.88"/>
  </r>
  <r>
    <n v="2204"/>
    <d v="2025-12-27T20:00:00"/>
    <x v="3"/>
    <s v="Sabado"/>
    <x v="11"/>
    <x v="0"/>
    <x v="1"/>
    <x v="3"/>
    <x v="3"/>
    <x v="3"/>
    <n v="9800"/>
    <x v="12"/>
    <n v="80"/>
    <n v="0"/>
    <n v="315"/>
    <n v="1"/>
    <x v="1"/>
    <n v="99.73"/>
    <n v="0"/>
    <x v="0"/>
    <n v="10.41"/>
    <n v="10.177"/>
    <n v="99.73"/>
  </r>
  <r>
    <n v="1100"/>
    <d v="2025-12-27T20:00:00"/>
    <x v="3"/>
    <s v="Sabado"/>
    <x v="11"/>
    <x v="0"/>
    <x v="1"/>
    <x v="1"/>
    <x v="1"/>
    <x v="1"/>
    <n v="21000"/>
    <x v="12"/>
    <n v="67.400000000000006"/>
    <m/>
    <n v="420"/>
    <n v="1"/>
    <x v="1"/>
    <n v="311.42"/>
    <n v="0"/>
    <x v="0"/>
    <n v="31.48"/>
    <n v="14.83"/>
    <n v="311.42"/>
  </r>
  <r>
    <n v="1468"/>
    <d v="2025-12-27T20:00:00"/>
    <x v="3"/>
    <s v="Sabado"/>
    <x v="11"/>
    <x v="0"/>
    <x v="1"/>
    <x v="2"/>
    <x v="2"/>
    <x v="2"/>
    <n v="17400"/>
    <x v="40"/>
    <n v="81.7"/>
    <n v="0"/>
    <n v="1616"/>
    <n v="1"/>
    <x v="1"/>
    <n v="321.42"/>
    <n v="0"/>
    <x v="0"/>
    <n v="32.979999999999997"/>
    <n v="18.472000000000001"/>
    <n v="321.42"/>
  </r>
  <r>
    <n v="732"/>
    <d v="2025-12-27T20:00:00"/>
    <x v="3"/>
    <s v="Sabado"/>
    <x v="11"/>
    <x v="0"/>
    <x v="1"/>
    <x v="5"/>
    <x v="5"/>
    <x v="5"/>
    <n v="8600"/>
    <x v="40"/>
    <n v="89.8"/>
    <n v="0"/>
    <n v="35"/>
    <n v="0"/>
    <x v="0"/>
    <n v="13.73"/>
    <n v="0"/>
    <x v="0"/>
    <n v="1.42"/>
    <n v="1.597"/>
    <n v="13.73"/>
  </r>
  <r>
    <n v="1836"/>
    <d v="2025-12-27T20:00:00"/>
    <x v="3"/>
    <s v="Sabado"/>
    <x v="11"/>
    <x v="0"/>
    <x v="1"/>
    <x v="0"/>
    <x v="0"/>
    <x v="0"/>
    <n v="26000"/>
    <x v="14"/>
    <n v="87.8"/>
    <m/>
    <n v="76"/>
    <n v="1"/>
    <x v="1"/>
    <n v="137.44"/>
    <n v="0"/>
    <x v="0"/>
    <n v="13.43"/>
    <n v="5.2859999999999996"/>
    <n v="137.44"/>
  </r>
  <r>
    <n v="364"/>
    <d v="2025-12-27T20:00:00"/>
    <x v="3"/>
    <s v="Sabado"/>
    <x v="11"/>
    <x v="0"/>
    <x v="1"/>
    <x v="4"/>
    <x v="4"/>
    <x v="4"/>
    <n v="12500"/>
    <x v="334"/>
    <n v="83.1"/>
    <n v="0"/>
    <n v="8"/>
    <n v="0"/>
    <x v="0"/>
    <n v="22.82"/>
    <n v="0"/>
    <x v="0"/>
    <n v="2.2799999999999998"/>
    <n v="1.8260000000000001"/>
    <n v="22.82"/>
  </r>
  <r>
    <n v="1469"/>
    <d v="2025-12-31T00:00:00"/>
    <x v="0"/>
    <s v="Miercoles"/>
    <x v="11"/>
    <x v="0"/>
    <x v="0"/>
    <x v="2"/>
    <x v="2"/>
    <x v="2"/>
    <n v="17400"/>
    <x v="126"/>
    <n v="75.8"/>
    <n v="0"/>
    <n v="111"/>
    <n v="0"/>
    <x v="0"/>
    <n v="52.48"/>
    <n v="0"/>
    <x v="0"/>
    <n v="5.24"/>
    <n v="3.016"/>
    <n v="52.48"/>
  </r>
  <r>
    <n v="365"/>
    <d v="2025-12-31T00:00:00"/>
    <x v="0"/>
    <s v="Miercoles"/>
    <x v="11"/>
    <x v="0"/>
    <x v="0"/>
    <x v="4"/>
    <x v="4"/>
    <x v="4"/>
    <n v="12500"/>
    <x v="102"/>
    <n v="78.099999999999994"/>
    <n v="0"/>
    <n v="0"/>
    <n v="0"/>
    <x v="0"/>
    <n v="26.38"/>
    <n v="0"/>
    <x v="0"/>
    <n v="2.57"/>
    <n v="2.11"/>
    <n v="26.38"/>
  </r>
  <r>
    <n v="1101"/>
    <d v="2025-12-31T00:00:00"/>
    <x v="0"/>
    <s v="Miercoles"/>
    <x v="11"/>
    <x v="0"/>
    <x v="0"/>
    <x v="1"/>
    <x v="1"/>
    <x v="1"/>
    <n v="21000"/>
    <x v="339"/>
    <n v="77.2"/>
    <n v="0"/>
    <n v="148"/>
    <n v="1"/>
    <x v="1"/>
    <n v="197.89"/>
    <n v="0"/>
    <x v="0"/>
    <n v="20.62"/>
    <n v="9.423"/>
    <n v="197.89"/>
  </r>
  <r>
    <n v="2205"/>
    <d v="2025-12-31T00:00:00"/>
    <x v="0"/>
    <s v="Miercoles"/>
    <x v="11"/>
    <x v="0"/>
    <x v="0"/>
    <x v="3"/>
    <x v="3"/>
    <x v="3"/>
    <n v="9800"/>
    <x v="112"/>
    <n v="85.6"/>
    <n v="0"/>
    <n v="308"/>
    <n v="1"/>
    <x v="1"/>
    <n v="101.63"/>
    <n v="0"/>
    <x v="0"/>
    <n v="10.06"/>
    <n v="10.37"/>
    <n v="101.63"/>
  </r>
  <r>
    <n v="1837"/>
    <d v="2025-12-31T00:00:00"/>
    <x v="0"/>
    <s v="Miercoles"/>
    <x v="11"/>
    <x v="0"/>
    <x v="0"/>
    <x v="0"/>
    <x v="0"/>
    <x v="0"/>
    <n v="26000"/>
    <x v="336"/>
    <n v="81.8"/>
    <n v="0"/>
    <m/>
    <n v="1"/>
    <x v="1"/>
    <n v="140.25"/>
    <n v="0"/>
    <x v="0"/>
    <n v="14.01"/>
    <n v="5.3940000000000001"/>
    <n v="140.25"/>
  </r>
  <r>
    <n v="733"/>
    <d v="2025-12-31T00:00:00"/>
    <x v="0"/>
    <s v="Miercoles"/>
    <x v="11"/>
    <x v="0"/>
    <x v="0"/>
    <x v="5"/>
    <x v="5"/>
    <x v="5"/>
    <n v="8600"/>
    <x v="125"/>
    <n v="99"/>
    <n v="0"/>
    <n v="13"/>
    <n v="0"/>
    <x v="0"/>
    <n v="12.49"/>
    <n v="0"/>
    <x v="0"/>
    <n v="1.26"/>
    <n v="1.452"/>
    <n v="12.49"/>
  </r>
  <r>
    <n v="2206"/>
    <d v="2025-12-31T08:00:00"/>
    <x v="1"/>
    <s v="Miercoles"/>
    <x v="11"/>
    <x v="0"/>
    <x v="0"/>
    <x v="3"/>
    <x v="3"/>
    <x v="3"/>
    <n v="9800"/>
    <x v="79"/>
    <n v="84"/>
    <n v="0"/>
    <n v="46"/>
    <n v="1"/>
    <x v="1"/>
    <n v="34.43"/>
    <n v="0"/>
    <x v="1"/>
    <n v="5.41"/>
    <n v="3.5129999999999999"/>
    <n v="34.43"/>
  </r>
  <r>
    <n v="1470"/>
    <d v="2025-12-31T08:00:00"/>
    <x v="1"/>
    <s v="Miercoles"/>
    <x v="11"/>
    <x v="0"/>
    <x v="0"/>
    <x v="2"/>
    <x v="2"/>
    <x v="2"/>
    <n v="17400"/>
    <x v="16"/>
    <n v="87.6"/>
    <n v="0"/>
    <n v="242"/>
    <n v="0"/>
    <x v="0"/>
    <n v="54.92"/>
    <n v="0"/>
    <x v="1"/>
    <n v="8.67"/>
    <n v="3.1560000000000001"/>
    <n v="54.92"/>
  </r>
  <r>
    <n v="1102"/>
    <d v="2025-12-31T08:00:00"/>
    <x v="1"/>
    <s v="Miercoles"/>
    <x v="11"/>
    <x v="0"/>
    <x v="0"/>
    <x v="1"/>
    <x v="1"/>
    <x v="1"/>
    <n v="21000"/>
    <x v="79"/>
    <n v="73.8"/>
    <n v="0"/>
    <n v="425"/>
    <n v="1"/>
    <x v="1"/>
    <n v="300.70999999999998"/>
    <n v="0"/>
    <x v="1"/>
    <n v="48.08"/>
    <n v="14.32"/>
    <n v="300.70999999999998"/>
  </r>
  <r>
    <n v="366"/>
    <d v="2025-12-31T08:00:00"/>
    <x v="1"/>
    <s v="Miercoles"/>
    <x v="11"/>
    <x v="0"/>
    <x v="0"/>
    <x v="4"/>
    <x v="4"/>
    <x v="4"/>
    <n v="12500"/>
    <x v="81"/>
    <n v="78.900000000000006"/>
    <n v="0"/>
    <n v="339"/>
    <n v="1"/>
    <x v="1"/>
    <n v="109.1"/>
    <n v="0"/>
    <x v="1"/>
    <n v="17.78"/>
    <n v="8.7279999999999998"/>
    <n v="109.1"/>
  </r>
  <r>
    <n v="734"/>
    <d v="2025-12-31T08:00:00"/>
    <x v="1"/>
    <s v="Miercoles"/>
    <x v="11"/>
    <x v="0"/>
    <x v="0"/>
    <x v="5"/>
    <x v="5"/>
    <x v="5"/>
    <n v="8600"/>
    <x v="112"/>
    <n v="96.8"/>
    <n v="0"/>
    <n v="1"/>
    <n v="0"/>
    <x v="0"/>
    <n v="12.63"/>
    <n v="0"/>
    <x v="1"/>
    <n v="2.14"/>
    <n v="1.4690000000000001"/>
    <n v="12.63"/>
  </r>
  <r>
    <n v="1838"/>
    <d v="2025-12-31T08:00:00"/>
    <x v="1"/>
    <s v="Miercoles"/>
    <x v="11"/>
    <x v="0"/>
    <x v="0"/>
    <x v="0"/>
    <x v="0"/>
    <x v="0"/>
    <n v="26000"/>
    <x v="48"/>
    <n v="76.900000000000006"/>
    <n v="0"/>
    <n v="180"/>
    <n v="1"/>
    <x v="1"/>
    <n v="275.02"/>
    <n v="0"/>
    <x v="1"/>
    <n v="45.3"/>
    <n v="10.577999999999999"/>
    <n v="275.02"/>
  </r>
  <r>
    <n v="2207"/>
    <d v="2025-12-31T14:00:00"/>
    <x v="2"/>
    <s v="Miercoles"/>
    <x v="11"/>
    <x v="0"/>
    <x v="0"/>
    <x v="3"/>
    <x v="3"/>
    <x v="3"/>
    <n v="9800"/>
    <x v="78"/>
    <n v="93.7"/>
    <n v="317.10000000000002"/>
    <n v="77"/>
    <n v="1"/>
    <x v="1"/>
    <n v="21.08"/>
    <n v="0"/>
    <x v="1"/>
    <n v="3.37"/>
    <n v="2.1509999999999998"/>
    <n v="21.08"/>
  </r>
  <r>
    <n v="1103"/>
    <d v="2025-12-31T14:00:00"/>
    <x v="2"/>
    <s v="Miercoles"/>
    <x v="11"/>
    <x v="0"/>
    <x v="0"/>
    <x v="1"/>
    <x v="1"/>
    <x v="1"/>
    <n v="21000"/>
    <x v="260"/>
    <n v="54.2"/>
    <n v="509.2"/>
    <n v="400"/>
    <n v="1"/>
    <x v="1"/>
    <n v="1130.8699999999999"/>
    <n v="100.08"/>
    <x v="1"/>
    <n v="15.41"/>
    <n v="53.850999999999999"/>
    <n v="1030.79"/>
  </r>
  <r>
    <n v="735"/>
    <d v="2025-12-31T14:00:00"/>
    <x v="2"/>
    <s v="Miercoles"/>
    <x v="11"/>
    <x v="0"/>
    <x v="0"/>
    <x v="5"/>
    <x v="5"/>
    <x v="5"/>
    <n v="8600"/>
    <x v="20"/>
    <n v="89.3"/>
    <n v="270.39999999999998"/>
    <n v="0"/>
    <n v="0"/>
    <x v="0"/>
    <n v="7.67"/>
    <n v="19.78"/>
    <x v="1"/>
    <n v="-0.77"/>
    <n v="0.89200000000000002"/>
    <n v="0"/>
  </r>
  <r>
    <n v="367"/>
    <d v="2025-12-31T14:00:00"/>
    <x v="2"/>
    <s v="Miercoles"/>
    <x v="11"/>
    <x v="0"/>
    <x v="0"/>
    <x v="4"/>
    <x v="4"/>
    <x v="4"/>
    <n v="12500"/>
    <x v="154"/>
    <n v="59.1"/>
    <n v="400.2"/>
    <n v="639"/>
    <n v="1"/>
    <x v="1"/>
    <n v="108.85"/>
    <n v="60.39"/>
    <x v="1"/>
    <n v="7.8"/>
    <n v="8.7080000000000002"/>
    <n v="48.46"/>
  </r>
  <r>
    <n v="1471"/>
    <d v="2025-12-31T14:00:00"/>
    <x v="2"/>
    <s v="Miercoles"/>
    <x v="11"/>
    <x v="0"/>
    <x v="0"/>
    <x v="2"/>
    <x v="2"/>
    <x v="2"/>
    <n v="17400"/>
    <x v="99"/>
    <n v="78.099999999999994"/>
    <n v="485.3"/>
    <n v="1238"/>
    <n v="1"/>
    <x v="2"/>
    <n v="198.92"/>
    <n v="69.010000000000005"/>
    <x v="1"/>
    <n v="20.86"/>
    <n v="11.432"/>
    <n v="129.91"/>
  </r>
  <r>
    <n v="1839"/>
    <d v="2025-12-31T14:00:00"/>
    <x v="2"/>
    <s v="Miercoles"/>
    <x v="11"/>
    <x v="0"/>
    <x v="0"/>
    <x v="0"/>
    <x v="0"/>
    <x v="0"/>
    <n v="26000"/>
    <x v="24"/>
    <n v="64.400000000000006"/>
    <n v="385.3"/>
    <n v="185"/>
    <n v="1"/>
    <x v="1"/>
    <n v="166.98"/>
    <n v="102.13"/>
    <x v="1"/>
    <n v="10.59"/>
    <n v="6.4219999999999997"/>
    <n v="64.849999999999994"/>
  </r>
  <r>
    <n v="2208"/>
    <d v="2025-12-31T20:00:00"/>
    <x v="3"/>
    <s v="Miercoles"/>
    <x v="11"/>
    <x v="0"/>
    <x v="0"/>
    <x v="3"/>
    <x v="3"/>
    <x v="3"/>
    <n v="9800"/>
    <x v="54"/>
    <n v="98.9"/>
    <n v="0"/>
    <n v="311"/>
    <n v="1"/>
    <x v="1"/>
    <n v="100.17"/>
    <n v="0"/>
    <x v="2"/>
    <n v="25.28"/>
    <n v="10.221"/>
    <n v="100.17"/>
  </r>
  <r>
    <n v="1472"/>
    <d v="2025-12-31T20:00:00"/>
    <x v="3"/>
    <s v="Miercoles"/>
    <x v="11"/>
    <x v="0"/>
    <x v="0"/>
    <x v="2"/>
    <x v="2"/>
    <x v="2"/>
    <n v="17400"/>
    <x v="142"/>
    <n v="70.5"/>
    <n v="0"/>
    <n v="1376"/>
    <n v="1"/>
    <x v="1"/>
    <n v="285.52999999999997"/>
    <n v="0"/>
    <x v="2"/>
    <n v="72.239999999999995"/>
    <n v="16.41"/>
    <n v="285.52999999999997"/>
  </r>
  <r>
    <n v="1104"/>
    <d v="2025-12-31T20:00:00"/>
    <x v="3"/>
    <s v="Miercoles"/>
    <x v="11"/>
    <x v="0"/>
    <x v="0"/>
    <x v="1"/>
    <x v="1"/>
    <x v="1"/>
    <n v="21000"/>
    <x v="31"/>
    <n v="72.7"/>
    <n v="0"/>
    <n v="428"/>
    <n v="1"/>
    <x v="1"/>
    <n v="313.19"/>
    <n v="0"/>
    <x v="2"/>
    <n v="79.36"/>
    <n v="14.914"/>
    <n v="313.19"/>
  </r>
  <r>
    <n v="1840"/>
    <d v="2025-12-31T20:00:00"/>
    <x v="3"/>
    <s v="Miercoles"/>
    <x v="11"/>
    <x v="0"/>
    <x v="0"/>
    <x v="0"/>
    <x v="0"/>
    <x v="0"/>
    <n v="26000"/>
    <x v="96"/>
    <n v="83.3"/>
    <n v="0"/>
    <n v="179"/>
    <n v="1"/>
    <x v="1"/>
    <n v="287.08999999999997"/>
    <n v="0"/>
    <x v="2"/>
    <n v="73.84"/>
    <n v="11.042"/>
    <n v="287.08999999999997"/>
  </r>
  <r>
    <n v="736"/>
    <d v="2025-12-31T20:00:00"/>
    <x v="3"/>
    <s v="Miercoles"/>
    <x v="11"/>
    <x v="0"/>
    <x v="0"/>
    <x v="5"/>
    <x v="5"/>
    <x v="5"/>
    <n v="8600"/>
    <x v="60"/>
    <n v="99"/>
    <n v="0"/>
    <n v="19"/>
    <n v="0"/>
    <x v="0"/>
    <n v="14.41"/>
    <n v="0"/>
    <x v="2"/>
    <n v="3.52"/>
    <n v="1.6759999999999999"/>
    <n v="14.41"/>
  </r>
  <r>
    <n v="368"/>
    <d v="2025-12-31T20:00:00"/>
    <x v="3"/>
    <s v="Miercoles"/>
    <x v="11"/>
    <x v="0"/>
    <x v="0"/>
    <x v="4"/>
    <x v="4"/>
    <x v="4"/>
    <n v="12500"/>
    <x v="46"/>
    <n v="73.3"/>
    <n v="0"/>
    <n v="85"/>
    <n v="1"/>
    <x v="1"/>
    <n v="40.69"/>
    <n v="0"/>
    <x v="2"/>
    <n v="10.14"/>
    <n v="3.2549999999999999"/>
    <n v="40.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6E8BB-B3AC-43ED-925B-F0BEC3E19EB4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0:E38" firstHeaderRow="1" firstDataRow="2" firstDataCol="1"/>
  <pivotFields count="24">
    <pivotField showAll="0"/>
    <pivotField numFmtId="166"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7">
        <item x="5"/>
        <item x="2"/>
        <item x="1"/>
        <item x="0"/>
        <item x="3"/>
        <item x="4"/>
        <item t="default"/>
      </items>
    </pivotField>
    <pivotField showAll="0">
      <items count="7">
        <item x="3"/>
        <item x="5"/>
        <item x="4"/>
        <item x="1"/>
        <item x="2"/>
        <item x="0"/>
        <item t="default"/>
      </items>
    </pivotField>
    <pivotField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4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a de consumo_kwh" fld="17" showDataAs="percentOfRow" baseField="7" baseItem="0" numFmtId="165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D9F12-193E-4EAF-84EF-5978AE26A92F}" name="TablaDinámica14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A105:B111" firstHeaderRow="1" firstDataRow="1" firstDataCol="1"/>
  <pivotFields count="24">
    <pivotField showAll="0"/>
    <pivotField numFmtId="166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/>
    <pivotField showAll="0"/>
    <pivotField showAll="0"/>
    <pivotField showAll="0"/>
    <pivotField dataField="1" showAll="0"/>
    <pivotField showAll="0"/>
    <pivotField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romedio de hvac_activo" fld="15" subtotal="average" baseField="9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18D6B-880C-4DCB-B4D3-48A41A31F06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B14" firstHeaderRow="1" firstDataRow="1" firstDataCol="1"/>
  <pivotFields count="24">
    <pivotField showAll="0"/>
    <pivotField numFmtId="166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5"/>
        <item x="4"/>
        <item x="1"/>
        <item x="2"/>
        <item x="0"/>
        <item t="default"/>
      </items>
    </pivotField>
    <pivotField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sumo medio (Kwh)" fld="17" subtotal="average" baseField="4" baseItem="0" numFmtId="167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E335D-297D-463F-9E84-4E0B0C5A9FEC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K3" firstHeaderRow="1" firstDataRow="1" firstDataCol="0"/>
  <pivotFields count="24">
    <pivotField showAll="0"/>
    <pivotField numFmtId="166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Promedio de wh_m2" fld="21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A1AAD-D2E5-48E0-A2EB-9F48B6C4A35E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55:C68" firstHeaderRow="0" firstDataRow="1" firstDataCol="1"/>
  <pivotFields count="24">
    <pivotField showAll="0"/>
    <pivotField numFmtId="166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5"/>
        <item x="4"/>
        <item x="1"/>
        <item x="2"/>
        <item x="0"/>
        <item t="default"/>
      </items>
    </pivotField>
    <pivotField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/>
    <pivotField showAll="0"/>
    <pivotField showAll="0"/>
    <pivotField showAll="0"/>
    <pivotField showAll="0"/>
    <pivotField showAll="0"/>
    <pivotField dataField="1" showAll="0"/>
    <pivotField dataField="1"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nsumo" fld="17" subtotal="average" baseField="4" baseItem="0" numFmtId="167"/>
    <dataField name="Genracion Solar" fld="18" subtotal="average" baseField="4" baseItem="0" numFmtId="168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7B916-B67E-463F-90F6-9F9B050B5F62}" name="TablaDinámica1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5">
  <location ref="A95:C102" firstHeaderRow="1" firstDataRow="2" firstDataCol="1"/>
  <pivotFields count="24">
    <pivotField showAll="0"/>
    <pivotField numFmtId="166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/>
    <pivotField showAll="0"/>
    <pivotField showAll="0"/>
    <pivotField showAll="0"/>
    <pivotField showAll="0"/>
    <pivotField showAll="0"/>
    <pivotField dataField="1"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6"/>
  </colFields>
  <colItems count="2">
    <i>
      <x/>
    </i>
    <i>
      <x v="1"/>
    </i>
  </colItems>
  <dataFields count="1">
    <dataField name="Promedio de consumo_kwh" fld="17" subtotal="average" baseField="9" baseItem="0" numFmtId="167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5BCE4-241B-4E5E-82E0-43E321BE46DA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2:J3" firstHeaderRow="1" firstDataRow="1" firstDataCol="0"/>
  <pivotFields count="24">
    <pivotField showAll="0"/>
    <pivotField numFmtId="166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Consumo medio (kWh)" fld="17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7AC94-40F7-450C-A5F4-7E182121977C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0:B52" firstHeaderRow="1" firstDataRow="1" firstDataCol="1"/>
  <pivotFields count="24">
    <pivotField showAll="0"/>
    <pivotField numFmtId="166"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5"/>
        <item x="4"/>
        <item x="1"/>
        <item x="2"/>
        <item x="0"/>
        <item t="default"/>
      </items>
    </pivotField>
    <pivotField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consumo_kwh" fld="17" subtotal="average" baseField="11" baseItem="0" numFmtId="167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B3866-FBD5-4306-922D-1AC57FC8726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0:H26" firstHeaderRow="1" firstDataRow="2" firstDataCol="1"/>
  <pivotFields count="24">
    <pivotField showAll="0"/>
    <pivotField numFmtId="166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7">
        <item x="3"/>
        <item x="5"/>
        <item x="4"/>
        <item x="1"/>
        <item x="2"/>
        <item x="0"/>
        <item t="default"/>
      </items>
    </pivotField>
    <pivotField axis="axisCol"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nsumo por Edificio según horas" fld="17" subtotal="average" baseField="2" baseItem="0" numFmtId="167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D970D-54C6-488A-9039-BFFAEEE1C67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1:F8" firstHeaderRow="1" firstDataRow="1" firstDataCol="1"/>
  <pivotFields count="24">
    <pivotField showAll="0"/>
    <pivotField numFmtId="166"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 sortType="descending">
      <items count="7">
        <item x="5"/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3"/>
        <item x="5"/>
        <item x="4"/>
        <item x="1"/>
        <item x="2"/>
        <item x="0"/>
        <item t="default"/>
      </items>
    </pivotField>
    <pivotField showAll="0">
      <items count="7">
        <item x="2"/>
        <item x="5"/>
        <item x="0"/>
        <item x="4"/>
        <item x="3"/>
        <item x="1"/>
        <item t="default"/>
      </items>
    </pivotField>
    <pivotField numFmtId="3"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Fields count="1">
    <field x="7"/>
  </rowFields>
  <rowItems count="7">
    <i>
      <x v="2"/>
    </i>
    <i>
      <x v="1"/>
    </i>
    <i>
      <x v="4"/>
    </i>
    <i>
      <x v="3"/>
    </i>
    <i>
      <x/>
    </i>
    <i>
      <x v="5"/>
    </i>
    <i t="grand">
      <x/>
    </i>
  </rowItems>
  <colItems count="1">
    <i/>
  </colItems>
  <dataFields count="1">
    <dataField name="Intensidad  (wh/m2)" fld="21" subtotal="average" baseField="7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9DF0B-DFAD-48E5-BA35-48A888F13081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70:B75" firstHeaderRow="1" firstDataRow="1" firstDataCol="1"/>
  <pivotFields count="24">
    <pivotField dataField="1" showAll="0"/>
    <pivotField numFmtId="166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id_lectura" fld="0" subtotal="countNums" baseField="16" baseItem="0" numFmtId="1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99914-A9F2-4E4B-B926-5C09C2794BD9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:I3" firstHeaderRow="1" firstDataRow="1" firstDataCol="0"/>
  <pivotFields count="24">
    <pivotField dataField="1" showAll="0"/>
    <pivotField numFmtId="166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Lecturas Analizada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713C1-6569-49AE-969F-25D992D8B90A}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dificio">
  <location ref="A80:F87" firstHeaderRow="0" firstDataRow="1" firstDataCol="1"/>
  <pivotFields count="24">
    <pivotField showAll="0"/>
    <pivotField numFmtId="166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7">
        <item x="5"/>
        <item x="2"/>
        <item x="1"/>
        <item x="0"/>
        <item x="3"/>
        <item x="4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showAll="0"/>
    <pivotField dataField="1" numFmtId="4" showAll="0"/>
    <pivotField showAll="0">
      <items count="4">
        <item x="1"/>
        <item x="2"/>
        <item x="0"/>
        <item t="default"/>
      </items>
    </pivotField>
    <pivotField dataField="1" showAll="0"/>
    <pivotField dataField="1" showAll="0"/>
    <pivotField showAll="0"/>
    <pivotField dataField="1"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edia Solar" fld="18" subtotal="average" baseField="7" baseItem="0" numFmtId="167"/>
    <dataField name="Intensidad (Wh/m²)" fld="21" subtotal="average" baseField="7" baseItem="0" numFmtId="167"/>
    <dataField name="Coste medio (€)" fld="20" subtotal="average" baseField="7" baseItem="0" numFmtId="167"/>
    <dataField name="Consumo Medio" fld="17" subtotal="average" baseField="7" baseItem="0" numFmtId="167"/>
    <dataField name="Cobertura_solar" fld="23" baseField="7" baseItem="0" numFmtId="165"/>
  </dataFields>
  <formats count="4"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field="7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cion" xr10:uid="{EF871EFD-5174-4F8B-BBA4-8DDE6A2CB2C9}" sourceName="estacion">
  <pivotTables>
    <pivotTable tabId="5" name="TablaDinámica1"/>
    <pivotTable tabId="5" name="TablaDinámica2"/>
    <pivotTable tabId="5" name="TablaDinámica3"/>
    <pivotTable tabId="5" name="TablaDinámica4"/>
    <pivotTable tabId="5" name="TablaDinámica5"/>
    <pivotTable tabId="5" name="TablaDinámica6"/>
  </pivotTables>
  <data>
    <tabular pivotCacheId="462257605">
      <items count="4">
        <i x="0" s="1"/>
        <i x="3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814FE5CE-FB96-4206-BFE1-A117C441208F}" sourceName="ciudad">
  <pivotTables>
    <pivotTable tabId="5" name="TablaDinámica1"/>
    <pivotTable tabId="5" name="TablaDinámica2"/>
    <pivotTable tabId="5" name="TablaDinámica3"/>
    <pivotTable tabId="5" name="TablaDinámica4"/>
    <pivotTable tabId="5" name="TablaDinámica5"/>
    <pivotTable tabId="5" name="TablaDinámica6"/>
  </pivotTables>
  <data>
    <tabular pivotCacheId="462257605">
      <items count="6">
        <i x="3" s="1"/>
        <i x="5" s="1"/>
        <i x="4" s="1"/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edificio" xr10:uid="{EFCA4D79-07F0-4511-B7ED-5B10FFA0C39C}" sourceName="tipo_edificio">
  <pivotTables>
    <pivotTable tabId="5" name="TablaDinámica1"/>
    <pivotTable tabId="5" name="TablaDinámica2"/>
    <pivotTable tabId="5" name="TablaDinámica3"/>
    <pivotTable tabId="5" name="TablaDinámica4"/>
    <pivotTable tabId="5" name="TablaDinámica5"/>
    <pivotTable tabId="5" name="TablaDinámica6"/>
  </pivotTables>
  <data>
    <tabular pivotCacheId="462257605">
      <items count="6">
        <i x="2" s="1"/>
        <i x="5" s="1"/>
        <i x="0" s="1"/>
        <i x="4" s="1"/>
        <i x="3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ia" xr10:uid="{E5748A74-9DCA-47A0-B1CB-24CDBD5962D8}" sourceName="tipo_dia">
  <pivotTables>
    <pivotTable tabId="5" name="TablaDinámica13"/>
    <pivotTable tabId="5" name="TablaDinámica1"/>
    <pivotTable tabId="5" name="TablaDinámica10"/>
    <pivotTable tabId="5" name="TablaDinámica11"/>
    <pivotTable tabId="5" name="TablaDinámica14"/>
    <pivotTable tabId="5" name="TablaDinámica2"/>
    <pivotTable tabId="5" name="TablaDinámica3"/>
    <pivotTable tabId="5" name="TablaDinámica4"/>
    <pivotTable tabId="5" name="TablaDinámica5"/>
    <pivotTable tabId="5" name="TablaDinámica6"/>
    <pivotTable tabId="5" name="TablaDinámica7"/>
    <pivotTable tabId="5" name="TablaDinámica8"/>
    <pivotTable tabId="5" name="TablaDinámica9"/>
  </pivotTables>
  <data>
    <tabular pivotCacheId="462257605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eriodo_tarifario" xr10:uid="{FF0F55E5-A13C-4BC1-AEDF-FF9B58F81426}" sourceName="periodo_tarifario">
  <pivotTables>
    <pivotTable tabId="5" name="TablaDinámica13"/>
    <pivotTable tabId="5" name="TablaDinámica1"/>
    <pivotTable tabId="5" name="TablaDinámica10"/>
    <pivotTable tabId="5" name="TablaDinámica11"/>
    <pivotTable tabId="5" name="TablaDinámica14"/>
    <pivotTable tabId="5" name="TablaDinámica2"/>
    <pivotTable tabId="5" name="TablaDinámica3"/>
    <pivotTable tabId="5" name="TablaDinámica4"/>
    <pivotTable tabId="5" name="TablaDinámica5"/>
    <pivotTable tabId="5" name="TablaDinámica6"/>
    <pivotTable tabId="5" name="TablaDinámica7"/>
    <pivotTable tabId="5" name="TablaDinámica8"/>
    <pivotTable tabId="5" name="TablaDinámica9"/>
  </pivotTables>
  <data>
    <tabular pivotCacheId="462257605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cion 1" xr10:uid="{36467959-CF6A-4C8F-8D30-8B8DA508B212}" cache="SegmentaciónDeDatos_estacion" caption="Estacion" columnCount="2" rowHeight="241300"/>
  <slicer name="ciudad 1" xr10:uid="{88B211FE-0FF7-4AF6-AC63-43833DD162ED}" cache="SegmentaciónDeDatos_ciudad" caption="Ciudad" columnCount="2" rowHeight="241300"/>
  <slicer name="tipo_edificio 1" xr10:uid="{788F7ABF-F012-458C-94E6-98E1F665B909}" cache="SegmentaciónDeDatos_tipo_edificio" caption="Tipo Edificio" columnCount="2" rowHeight="241300"/>
  <slicer name="tipo_dia 1" xr10:uid="{52F5456E-64E7-442B-BD77-BE5520FA62D8}" cache="SegmentaciónDeDatos_tipo_dia" caption="Tipo dia" rowHeight="241300"/>
  <slicer name="periodo_tarifario 1" xr10:uid="{3D188AF1-F76C-4804-A2AD-CC583C5D2DCB}" cache="SegmentaciónDeDatos_periodo_tarifario" caption="Periodo Tarifari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cturas" displayName="Lecturas" ref="A1:W2209" totalsRowShown="0">
  <autoFilter ref="A1:W2209" xr:uid="{00000000-0009-0000-0100-000001000000}"/>
  <tableColumns count="23">
    <tableColumn id="1" xr3:uid="{00000000-0010-0000-0000-000001000000}" name="id_lectura"/>
    <tableColumn id="2" xr3:uid="{00000000-0010-0000-0000-000002000000}" name="fecha_hora"/>
    <tableColumn id="3" xr3:uid="{00000000-0010-0000-0000-000003000000}" name="hora"/>
    <tableColumn id="4" xr3:uid="{00000000-0010-0000-0000-000004000000}" name="dia_semana"/>
    <tableColumn id="5" xr3:uid="{00000000-0010-0000-0000-000005000000}" name="mes"/>
    <tableColumn id="6" xr3:uid="{00000000-0010-0000-0000-000006000000}" name="estacion"/>
    <tableColumn id="7" xr3:uid="{00000000-0010-0000-0000-000007000000}" name="tipo_dia"/>
    <tableColumn id="8" xr3:uid="{00000000-0010-0000-0000-000008000000}" name="edificio"/>
    <tableColumn id="9" xr3:uid="{00000000-0010-0000-0000-000009000000}" name="ciudad"/>
    <tableColumn id="10" xr3:uid="{00000000-0010-0000-0000-00000A000000}" name="tipo_edificio"/>
    <tableColumn id="11" xr3:uid="{00000000-0010-0000-0000-00000B000000}" name="superficie_m2"/>
    <tableColumn id="12" xr3:uid="{00000000-0010-0000-0000-00000C000000}" name="temperatura_exterior_c"/>
    <tableColumn id="13" xr3:uid="{00000000-0010-0000-0000-00000D000000}" name="humedad_relativa_pct"/>
    <tableColumn id="14" xr3:uid="{00000000-0010-0000-0000-00000E000000}" name="radiacion_solar_wm2"/>
    <tableColumn id="15" xr3:uid="{00000000-0010-0000-0000-00000F000000}" name="ocupacion_personas"/>
    <tableColumn id="16" xr3:uid="{00000000-0010-0000-0000-000010000000}" name="hvac_activo"/>
    <tableColumn id="17" xr3:uid="{00000000-0010-0000-0000-000011000000}" name="modo_hvac"/>
    <tableColumn id="18" xr3:uid="{00000000-0010-0000-0000-000012000000}" name="consumo_kwh"/>
    <tableColumn id="19" xr3:uid="{00000000-0010-0000-0000-000013000000}" name="generacion_solar_kwh"/>
    <tableColumn id="20" xr3:uid="{00000000-0010-0000-0000-000014000000}" name="periodo_tarifario"/>
    <tableColumn id="21" xr3:uid="{00000000-0010-0000-0000-000015000000}" name="coste_eur"/>
    <tableColumn id="22" xr3:uid="{00000000-0010-0000-0000-000016000000}" name="wh_m2"/>
    <tableColumn id="23" xr3:uid="{00000000-0010-0000-0000-000017000000}" name="energia_red_kw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1120-B7A1-4950-BDD4-1F66B144673A}">
  <dimension ref="A1"/>
  <sheetViews>
    <sheetView showGridLines="0" tabSelected="1" topLeftCell="A7" workbookViewId="0">
      <selection activeCell="Y32" sqref="Y32"/>
    </sheetView>
  </sheetViews>
  <sheetFormatPr baseColWidth="10" defaultRowHeight="15" x14ac:dyDescent="0.25"/>
  <cols>
    <col min="1" max="1" width="18.28515625" bestFit="1" customWidth="1"/>
    <col min="3" max="3" width="20.7109375" bestFit="1" customWidth="1"/>
    <col min="24" max="24" width="10.42578125" customWidth="1"/>
    <col min="25" max="25" width="15.42578125" bestFit="1" customWidth="1"/>
    <col min="30" max="30" width="14.5703125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0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5" sqref="H15"/>
    </sheetView>
  </sheetViews>
  <sheetFormatPr baseColWidth="10" defaultColWidth="8.7109375" defaultRowHeight="15" x14ac:dyDescent="0.25"/>
  <cols>
    <col min="1" max="1" width="11" customWidth="1"/>
    <col min="2" max="2" width="18" customWidth="1"/>
    <col min="3" max="7" width="11" customWidth="1"/>
    <col min="8" max="8" width="22" customWidth="1"/>
    <col min="9" max="11" width="11" customWidth="1"/>
    <col min="12" max="15" width="13" customWidth="1"/>
    <col min="16" max="18" width="11" customWidth="1"/>
    <col min="19" max="20" width="13" customWidth="1"/>
    <col min="21" max="23" width="11" customWidth="1"/>
  </cols>
  <sheetData>
    <row r="1" spans="1:23" ht="15" customHeight="1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29</v>
      </c>
      <c r="G1" t="s">
        <v>30</v>
      </c>
      <c r="H1" t="s">
        <v>45</v>
      </c>
      <c r="I1" t="s">
        <v>10</v>
      </c>
      <c r="J1" t="s">
        <v>9</v>
      </c>
      <c r="K1" t="s">
        <v>46</v>
      </c>
      <c r="L1" t="s">
        <v>5</v>
      </c>
      <c r="M1" t="s">
        <v>6</v>
      </c>
      <c r="N1" t="s">
        <v>7</v>
      </c>
      <c r="O1" t="s">
        <v>8</v>
      </c>
      <c r="P1" t="s">
        <v>47</v>
      </c>
      <c r="Q1" t="s">
        <v>11</v>
      </c>
      <c r="R1" t="s">
        <v>0</v>
      </c>
      <c r="S1" t="s">
        <v>3</v>
      </c>
      <c r="T1" t="s">
        <v>28</v>
      </c>
      <c r="U1" t="s">
        <v>4</v>
      </c>
      <c r="V1" t="s">
        <v>1</v>
      </c>
      <c r="W1" t="s">
        <v>2</v>
      </c>
    </row>
    <row r="2" spans="1:23" ht="15" customHeight="1" x14ac:dyDescent="0.25">
      <c r="A2">
        <v>1473</v>
      </c>
      <c r="B2" s="1">
        <v>45658</v>
      </c>
      <c r="C2">
        <v>0</v>
      </c>
      <c r="D2" t="s">
        <v>48</v>
      </c>
      <c r="E2">
        <v>1</v>
      </c>
      <c r="F2" t="s">
        <v>32</v>
      </c>
      <c r="G2" t="s">
        <v>33</v>
      </c>
      <c r="H2" t="s">
        <v>49</v>
      </c>
      <c r="I2" t="s">
        <v>27</v>
      </c>
      <c r="J2" t="s">
        <v>18</v>
      </c>
      <c r="K2" s="2">
        <v>26000</v>
      </c>
      <c r="L2" s="3">
        <v>1.1000000000000001</v>
      </c>
      <c r="M2" s="3">
        <v>66.2</v>
      </c>
      <c r="N2" s="3">
        <v>0</v>
      </c>
      <c r="O2" s="2">
        <v>0</v>
      </c>
      <c r="P2">
        <v>0</v>
      </c>
      <c r="Q2" t="s">
        <v>14</v>
      </c>
      <c r="R2" s="4">
        <v>46.86</v>
      </c>
      <c r="S2" s="4">
        <v>0</v>
      </c>
      <c r="T2" t="s">
        <v>31</v>
      </c>
      <c r="U2" s="4">
        <v>4.8099999999999996</v>
      </c>
      <c r="V2" s="4">
        <v>1.802</v>
      </c>
      <c r="W2" s="4">
        <v>46.86</v>
      </c>
    </row>
    <row r="3" spans="1:23" ht="15" customHeight="1" x14ac:dyDescent="0.25">
      <c r="A3">
        <v>737</v>
      </c>
      <c r="B3" s="1">
        <v>45658</v>
      </c>
      <c r="C3">
        <v>0</v>
      </c>
      <c r="D3" t="s">
        <v>48</v>
      </c>
      <c r="E3">
        <v>1</v>
      </c>
      <c r="F3" t="s">
        <v>32</v>
      </c>
      <c r="G3" t="s">
        <v>33</v>
      </c>
      <c r="H3" t="s">
        <v>50</v>
      </c>
      <c r="I3" t="s">
        <v>22</v>
      </c>
      <c r="J3" t="s">
        <v>12</v>
      </c>
      <c r="K3" s="2">
        <v>21000</v>
      </c>
      <c r="L3" s="3">
        <v>4.5999999999999996</v>
      </c>
      <c r="M3" s="3">
        <v>91.2</v>
      </c>
      <c r="N3" s="3">
        <v>0</v>
      </c>
      <c r="O3" s="2">
        <v>195</v>
      </c>
      <c r="P3">
        <v>1</v>
      </c>
      <c r="Q3" t="s">
        <v>17</v>
      </c>
      <c r="R3" s="4">
        <v>168.08</v>
      </c>
      <c r="S3" s="4">
        <v>0</v>
      </c>
      <c r="T3" t="s">
        <v>31</v>
      </c>
      <c r="U3" s="4">
        <v>16.670000000000002</v>
      </c>
      <c r="V3" s="4">
        <v>8.0039999999999996</v>
      </c>
      <c r="W3" s="4">
        <v>168.08</v>
      </c>
    </row>
    <row r="4" spans="1:23" ht="15" customHeight="1" x14ac:dyDescent="0.25">
      <c r="A4">
        <v>1105</v>
      </c>
      <c r="B4" s="1">
        <v>45658</v>
      </c>
      <c r="C4">
        <v>0</v>
      </c>
      <c r="D4" t="s">
        <v>48</v>
      </c>
      <c r="E4">
        <v>1</v>
      </c>
      <c r="F4" t="s">
        <v>32</v>
      </c>
      <c r="G4" t="s">
        <v>33</v>
      </c>
      <c r="H4" t="s">
        <v>51</v>
      </c>
      <c r="I4" t="s">
        <v>25</v>
      </c>
      <c r="J4" t="s">
        <v>15</v>
      </c>
      <c r="K4" s="2">
        <v>17400</v>
      </c>
      <c r="L4" s="3">
        <v>7.7</v>
      </c>
      <c r="M4" s="3">
        <v>89.8</v>
      </c>
      <c r="N4" s="3">
        <v>0</v>
      </c>
      <c r="O4" s="2">
        <v>102</v>
      </c>
      <c r="P4">
        <v>0</v>
      </c>
      <c r="Q4" t="s">
        <v>14</v>
      </c>
      <c r="R4" s="4">
        <v>55.33</v>
      </c>
      <c r="S4" s="4">
        <v>0</v>
      </c>
      <c r="T4" t="s">
        <v>31</v>
      </c>
      <c r="U4" s="4">
        <v>5.62</v>
      </c>
      <c r="V4" s="4">
        <v>3.18</v>
      </c>
      <c r="W4" s="4">
        <v>55.33</v>
      </c>
    </row>
    <row r="5" spans="1:23" ht="15" customHeight="1" x14ac:dyDescent="0.25">
      <c r="A5">
        <v>1841</v>
      </c>
      <c r="B5" s="1">
        <v>45658</v>
      </c>
      <c r="C5">
        <v>0</v>
      </c>
      <c r="D5" t="s">
        <v>48</v>
      </c>
      <c r="E5">
        <v>1</v>
      </c>
      <c r="F5" t="s">
        <v>32</v>
      </c>
      <c r="G5" t="s">
        <v>33</v>
      </c>
      <c r="H5" t="s">
        <v>52</v>
      </c>
      <c r="I5" t="s">
        <v>13</v>
      </c>
      <c r="J5" t="s">
        <v>21</v>
      </c>
      <c r="K5" s="2">
        <v>9800</v>
      </c>
      <c r="L5" s="3">
        <v>8</v>
      </c>
      <c r="M5" s="3">
        <v>92.2</v>
      </c>
      <c r="N5" s="3">
        <v>0</v>
      </c>
      <c r="O5" s="2">
        <v>293</v>
      </c>
      <c r="P5">
        <v>1</v>
      </c>
      <c r="Q5" t="s">
        <v>17</v>
      </c>
      <c r="R5" s="4">
        <v>103.37</v>
      </c>
      <c r="S5" s="4">
        <v>0</v>
      </c>
      <c r="T5" t="s">
        <v>31</v>
      </c>
      <c r="U5" s="4">
        <v>10.67</v>
      </c>
      <c r="V5" s="4">
        <v>10.548</v>
      </c>
      <c r="W5" s="4">
        <v>103.37</v>
      </c>
    </row>
    <row r="6" spans="1:23" ht="15" customHeight="1" x14ac:dyDescent="0.25">
      <c r="A6">
        <v>1</v>
      </c>
      <c r="B6" s="1">
        <v>45658</v>
      </c>
      <c r="C6">
        <v>0</v>
      </c>
      <c r="D6" t="s">
        <v>48</v>
      </c>
      <c r="E6">
        <v>1</v>
      </c>
      <c r="F6" t="s">
        <v>32</v>
      </c>
      <c r="G6" t="s">
        <v>33</v>
      </c>
      <c r="H6" t="s">
        <v>53</v>
      </c>
      <c r="I6" t="s">
        <v>19</v>
      </c>
      <c r="J6" t="s">
        <v>26</v>
      </c>
      <c r="K6" s="2">
        <v>12500</v>
      </c>
      <c r="L6" s="3">
        <v>-0.5</v>
      </c>
      <c r="M6" s="3">
        <v>83.5</v>
      </c>
      <c r="N6" s="3">
        <v>0</v>
      </c>
      <c r="O6" s="2">
        <v>41</v>
      </c>
      <c r="P6">
        <v>0</v>
      </c>
      <c r="Q6" t="s">
        <v>14</v>
      </c>
      <c r="R6" s="4">
        <v>27.48</v>
      </c>
      <c r="S6" s="4">
        <v>0</v>
      </c>
      <c r="T6" t="s">
        <v>31</v>
      </c>
      <c r="U6" s="4">
        <v>2.77</v>
      </c>
      <c r="V6" s="4">
        <v>2.198</v>
      </c>
      <c r="W6" s="4">
        <v>27.48</v>
      </c>
    </row>
    <row r="7" spans="1:23" ht="15" customHeight="1" x14ac:dyDescent="0.25">
      <c r="A7">
        <v>369</v>
      </c>
      <c r="B7" s="1">
        <v>45658</v>
      </c>
      <c r="C7">
        <v>0</v>
      </c>
      <c r="D7" t="s">
        <v>48</v>
      </c>
      <c r="E7">
        <v>1</v>
      </c>
      <c r="F7" t="s">
        <v>32</v>
      </c>
      <c r="G7" t="s">
        <v>33</v>
      </c>
      <c r="H7" t="s">
        <v>54</v>
      </c>
      <c r="I7" t="s">
        <v>16</v>
      </c>
      <c r="J7" t="s">
        <v>24</v>
      </c>
      <c r="K7" s="2">
        <v>8600</v>
      </c>
      <c r="L7" s="3">
        <v>4.9000000000000004</v>
      </c>
      <c r="M7" s="3">
        <v>88.4</v>
      </c>
      <c r="N7" s="3">
        <v>0</v>
      </c>
      <c r="O7" s="2">
        <v>0</v>
      </c>
      <c r="P7">
        <v>0</v>
      </c>
      <c r="Q7" t="s">
        <v>14</v>
      </c>
      <c r="R7" s="4">
        <v>11.42</v>
      </c>
      <c r="S7" s="4">
        <v>0</v>
      </c>
      <c r="T7" t="s">
        <v>31</v>
      </c>
      <c r="U7" s="4">
        <v>1.1399999999999999</v>
      </c>
      <c r="V7" s="4">
        <v>1.3280000000000001</v>
      </c>
      <c r="W7" s="4">
        <v>11.42</v>
      </c>
    </row>
    <row r="8" spans="1:23" ht="15" customHeight="1" x14ac:dyDescent="0.25">
      <c r="A8">
        <v>1106</v>
      </c>
      <c r="B8" s="1">
        <v>45658.333333333343</v>
      </c>
      <c r="C8">
        <v>8</v>
      </c>
      <c r="D8" t="s">
        <v>48</v>
      </c>
      <c r="E8">
        <v>1</v>
      </c>
      <c r="F8" t="s">
        <v>32</v>
      </c>
      <c r="G8" t="s">
        <v>33</v>
      </c>
      <c r="H8" t="s">
        <v>51</v>
      </c>
      <c r="I8" t="s">
        <v>25</v>
      </c>
      <c r="J8" t="s">
        <v>15</v>
      </c>
      <c r="K8" s="2">
        <v>17400</v>
      </c>
      <c r="L8" s="3">
        <v>12.9</v>
      </c>
      <c r="M8" s="3">
        <v>98.5</v>
      </c>
      <c r="N8" s="3">
        <v>0</v>
      </c>
      <c r="O8" s="2">
        <v>56</v>
      </c>
      <c r="P8">
        <v>0</v>
      </c>
      <c r="Q8" t="s">
        <v>14</v>
      </c>
      <c r="R8" s="4">
        <v>49.94</v>
      </c>
      <c r="S8" s="4">
        <v>0</v>
      </c>
      <c r="T8" t="s">
        <v>31</v>
      </c>
      <c r="U8" s="4">
        <v>5.17</v>
      </c>
      <c r="V8" s="4">
        <v>2.87</v>
      </c>
      <c r="W8" s="4">
        <v>49.94</v>
      </c>
    </row>
    <row r="9" spans="1:23" ht="15" customHeight="1" x14ac:dyDescent="0.25">
      <c r="A9">
        <v>738</v>
      </c>
      <c r="B9" s="1">
        <v>45658.333333333343</v>
      </c>
      <c r="C9">
        <v>8</v>
      </c>
      <c r="D9" t="s">
        <v>48</v>
      </c>
      <c r="E9">
        <v>1</v>
      </c>
      <c r="F9" t="s">
        <v>32</v>
      </c>
      <c r="G9" t="s">
        <v>33</v>
      </c>
      <c r="H9" t="s">
        <v>50</v>
      </c>
      <c r="I9" t="s">
        <v>22</v>
      </c>
      <c r="J9" t="s">
        <v>12</v>
      </c>
      <c r="K9" s="2">
        <v>21000</v>
      </c>
      <c r="L9" s="3">
        <v>8.1</v>
      </c>
      <c r="M9" s="3">
        <v>78.3</v>
      </c>
      <c r="N9" s="3">
        <v>0</v>
      </c>
      <c r="O9" s="2">
        <v>420</v>
      </c>
      <c r="P9">
        <v>1</v>
      </c>
      <c r="Q9" t="s">
        <v>17</v>
      </c>
      <c r="R9" s="4">
        <v>274.72000000000003</v>
      </c>
      <c r="S9" s="4">
        <v>0</v>
      </c>
      <c r="T9" t="s">
        <v>31</v>
      </c>
      <c r="U9" s="4">
        <v>28.3</v>
      </c>
      <c r="V9" s="4">
        <v>13.082000000000001</v>
      </c>
      <c r="W9" s="4">
        <v>274.72000000000003</v>
      </c>
    </row>
    <row r="10" spans="1:23" ht="15" customHeight="1" x14ac:dyDescent="0.25">
      <c r="A10">
        <v>1842</v>
      </c>
      <c r="B10" s="1">
        <v>45658.333333333343</v>
      </c>
      <c r="C10">
        <v>8</v>
      </c>
      <c r="D10" t="s">
        <v>48</v>
      </c>
      <c r="E10">
        <v>1</v>
      </c>
      <c r="F10" t="s">
        <v>32</v>
      </c>
      <c r="G10" t="s">
        <v>33</v>
      </c>
      <c r="H10" t="s">
        <v>52</v>
      </c>
      <c r="I10" t="s">
        <v>13</v>
      </c>
      <c r="J10" t="s">
        <v>21</v>
      </c>
      <c r="K10" s="2">
        <v>9800</v>
      </c>
      <c r="L10" s="3">
        <v>7.7</v>
      </c>
      <c r="M10" s="3">
        <v>86.5</v>
      </c>
      <c r="N10" s="3">
        <v>0</v>
      </c>
      <c r="O10" s="2">
        <v>126</v>
      </c>
      <c r="P10">
        <v>1</v>
      </c>
      <c r="Q10" t="s">
        <v>17</v>
      </c>
      <c r="R10" s="4">
        <v>50.51</v>
      </c>
      <c r="S10" s="4">
        <v>0</v>
      </c>
      <c r="T10" t="s">
        <v>31</v>
      </c>
      <c r="U10" s="4">
        <v>5.09</v>
      </c>
      <c r="V10" s="4">
        <v>5.1539999999999999</v>
      </c>
      <c r="W10" s="4">
        <v>50.51</v>
      </c>
    </row>
    <row r="11" spans="1:23" ht="15" customHeight="1" x14ac:dyDescent="0.25">
      <c r="A11">
        <v>1474</v>
      </c>
      <c r="B11" s="1">
        <v>45658.333333333343</v>
      </c>
      <c r="C11">
        <v>8</v>
      </c>
      <c r="D11" t="s">
        <v>48</v>
      </c>
      <c r="E11">
        <v>1</v>
      </c>
      <c r="F11" t="s">
        <v>32</v>
      </c>
      <c r="G11" t="s">
        <v>33</v>
      </c>
      <c r="H11" t="s">
        <v>49</v>
      </c>
      <c r="I11" t="s">
        <v>27</v>
      </c>
      <c r="J11" t="s">
        <v>18</v>
      </c>
      <c r="K11" s="2">
        <v>26000</v>
      </c>
      <c r="L11" s="3">
        <v>7</v>
      </c>
      <c r="M11" s="3"/>
      <c r="N11" s="3">
        <v>0</v>
      </c>
      <c r="O11" s="2">
        <v>17</v>
      </c>
      <c r="P11">
        <v>0</v>
      </c>
      <c r="Q11" t="s">
        <v>14</v>
      </c>
      <c r="R11" s="4">
        <v>44.37</v>
      </c>
      <c r="S11" s="4">
        <v>0</v>
      </c>
      <c r="T11" t="s">
        <v>31</v>
      </c>
      <c r="U11" s="4">
        <v>4.5999999999999996</v>
      </c>
      <c r="V11" s="4">
        <v>1.7070000000000001</v>
      </c>
      <c r="W11" s="4">
        <v>44.37</v>
      </c>
    </row>
    <row r="12" spans="1:23" ht="15" customHeight="1" x14ac:dyDescent="0.25">
      <c r="A12">
        <v>2</v>
      </c>
      <c r="B12" s="1">
        <v>45658.333333333343</v>
      </c>
      <c r="C12">
        <v>8</v>
      </c>
      <c r="D12" t="s">
        <v>48</v>
      </c>
      <c r="E12">
        <v>1</v>
      </c>
      <c r="F12" t="s">
        <v>32</v>
      </c>
      <c r="G12" t="s">
        <v>33</v>
      </c>
      <c r="H12" t="s">
        <v>53</v>
      </c>
      <c r="I12" t="s">
        <v>19</v>
      </c>
      <c r="J12" t="s">
        <v>26</v>
      </c>
      <c r="K12" s="2">
        <v>12500</v>
      </c>
      <c r="L12" s="3">
        <v>0.1</v>
      </c>
      <c r="M12" s="3">
        <v>87.5</v>
      </c>
      <c r="N12" s="3">
        <v>0</v>
      </c>
      <c r="O12" s="2">
        <v>0</v>
      </c>
      <c r="P12">
        <v>0</v>
      </c>
      <c r="Q12" t="s">
        <v>14</v>
      </c>
      <c r="R12" s="4">
        <v>24.61</v>
      </c>
      <c r="S12" s="4">
        <v>0</v>
      </c>
      <c r="T12" t="s">
        <v>31</v>
      </c>
      <c r="U12" s="4">
        <v>2.4700000000000002</v>
      </c>
      <c r="V12" s="4">
        <v>1.9690000000000001</v>
      </c>
      <c r="W12" s="4">
        <v>24.61</v>
      </c>
    </row>
    <row r="13" spans="1:23" ht="15" customHeight="1" x14ac:dyDescent="0.25">
      <c r="A13">
        <v>370</v>
      </c>
      <c r="B13" s="1">
        <v>45658.333333333343</v>
      </c>
      <c r="C13">
        <v>8</v>
      </c>
      <c r="D13" t="s">
        <v>48</v>
      </c>
      <c r="E13">
        <v>1</v>
      </c>
      <c r="F13" t="s">
        <v>32</v>
      </c>
      <c r="G13" t="s">
        <v>33</v>
      </c>
      <c r="H13" t="s">
        <v>54</v>
      </c>
      <c r="I13" t="s">
        <v>16</v>
      </c>
      <c r="J13" t="s">
        <v>24</v>
      </c>
      <c r="K13" s="2">
        <v>8600</v>
      </c>
      <c r="L13" s="3">
        <v>6.3</v>
      </c>
      <c r="M13" s="3">
        <v>94.9</v>
      </c>
      <c r="N13" s="3">
        <v>0</v>
      </c>
      <c r="O13" s="2">
        <v>84</v>
      </c>
      <c r="P13">
        <v>0</v>
      </c>
      <c r="Q13" t="s">
        <v>14</v>
      </c>
      <c r="R13" s="4">
        <v>16.05</v>
      </c>
      <c r="S13" s="4">
        <v>0</v>
      </c>
      <c r="T13" t="s">
        <v>31</v>
      </c>
      <c r="U13" s="4">
        <v>1.63</v>
      </c>
      <c r="V13" s="4">
        <v>1.8660000000000001</v>
      </c>
      <c r="W13" s="4">
        <v>16.05</v>
      </c>
    </row>
    <row r="14" spans="1:23" ht="15" customHeight="1" x14ac:dyDescent="0.25">
      <c r="A14">
        <v>1107</v>
      </c>
      <c r="B14" s="1">
        <v>45658.583333333343</v>
      </c>
      <c r="C14">
        <v>14</v>
      </c>
      <c r="D14" t="s">
        <v>48</v>
      </c>
      <c r="E14">
        <v>1</v>
      </c>
      <c r="F14" t="s">
        <v>32</v>
      </c>
      <c r="G14" t="s">
        <v>33</v>
      </c>
      <c r="H14" t="s">
        <v>51</v>
      </c>
      <c r="I14" t="s">
        <v>25</v>
      </c>
      <c r="J14" t="s">
        <v>15</v>
      </c>
      <c r="K14" s="2">
        <v>17400</v>
      </c>
      <c r="L14" s="3">
        <v>14.9</v>
      </c>
      <c r="M14" s="3">
        <v>81</v>
      </c>
      <c r="N14" s="3">
        <v>402.3</v>
      </c>
      <c r="O14" s="2">
        <v>1412</v>
      </c>
      <c r="P14">
        <v>1</v>
      </c>
      <c r="Q14" t="s">
        <v>23</v>
      </c>
      <c r="R14" s="4">
        <v>186.36</v>
      </c>
      <c r="S14" s="4">
        <v>49.62</v>
      </c>
      <c r="T14" t="s">
        <v>31</v>
      </c>
      <c r="U14" s="4">
        <v>14.15</v>
      </c>
      <c r="V14" s="4">
        <v>10.71</v>
      </c>
      <c r="W14" s="4">
        <v>136.74</v>
      </c>
    </row>
    <row r="15" spans="1:23" ht="15" customHeight="1" x14ac:dyDescent="0.25">
      <c r="A15">
        <v>3</v>
      </c>
      <c r="B15" s="1">
        <v>45658.583333333343</v>
      </c>
      <c r="C15">
        <v>14</v>
      </c>
      <c r="D15" t="s">
        <v>48</v>
      </c>
      <c r="E15">
        <v>1</v>
      </c>
      <c r="F15" t="s">
        <v>32</v>
      </c>
      <c r="G15" t="s">
        <v>33</v>
      </c>
      <c r="H15" t="s">
        <v>53</v>
      </c>
      <c r="I15" t="s">
        <v>19</v>
      </c>
      <c r="J15" t="s">
        <v>26</v>
      </c>
      <c r="K15" s="2">
        <v>12500</v>
      </c>
      <c r="L15" s="3">
        <v>13.2</v>
      </c>
      <c r="M15" s="3">
        <v>77.900000000000006</v>
      </c>
      <c r="N15" s="3">
        <v>292.7</v>
      </c>
      <c r="O15" s="2">
        <v>30</v>
      </c>
      <c r="P15">
        <v>0</v>
      </c>
      <c r="Q15" t="s">
        <v>14</v>
      </c>
      <c r="R15" s="4">
        <v>18.350000000000001</v>
      </c>
      <c r="S15" s="4">
        <v>47.28</v>
      </c>
      <c r="T15" t="s">
        <v>31</v>
      </c>
      <c r="U15" s="4">
        <v>-1.17</v>
      </c>
      <c r="V15" s="4">
        <v>1.468</v>
      </c>
      <c r="W15" s="4">
        <v>0</v>
      </c>
    </row>
    <row r="16" spans="1:23" ht="15" customHeight="1" x14ac:dyDescent="0.25">
      <c r="A16">
        <v>739</v>
      </c>
      <c r="B16" s="1">
        <v>45658.583333333343</v>
      </c>
      <c r="C16">
        <v>14</v>
      </c>
      <c r="D16" t="s">
        <v>48</v>
      </c>
      <c r="E16">
        <v>1</v>
      </c>
      <c r="F16" t="s">
        <v>32</v>
      </c>
      <c r="G16" t="s">
        <v>33</v>
      </c>
      <c r="H16" t="s">
        <v>50</v>
      </c>
      <c r="I16" t="s">
        <v>22</v>
      </c>
      <c r="J16" t="s">
        <v>12</v>
      </c>
      <c r="K16" s="2">
        <v>21000</v>
      </c>
      <c r="L16" s="3">
        <v>14.8</v>
      </c>
      <c r="M16" s="3">
        <v>69.7</v>
      </c>
      <c r="N16" s="3">
        <v>400.4</v>
      </c>
      <c r="O16" s="2"/>
      <c r="P16">
        <v>1</v>
      </c>
      <c r="Q16" t="s">
        <v>23</v>
      </c>
      <c r="R16" s="4">
        <v>214.45</v>
      </c>
      <c r="S16" s="4">
        <v>82.53</v>
      </c>
      <c r="T16" t="s">
        <v>31</v>
      </c>
      <c r="U16" s="4">
        <v>13.48</v>
      </c>
      <c r="V16" s="4">
        <v>10.212</v>
      </c>
      <c r="W16" s="4">
        <v>131.91999999999999</v>
      </c>
    </row>
    <row r="17" spans="1:23" ht="15" customHeight="1" x14ac:dyDescent="0.25">
      <c r="A17">
        <v>371</v>
      </c>
      <c r="B17" s="1">
        <v>45658.583333333343</v>
      </c>
      <c r="C17">
        <v>14</v>
      </c>
      <c r="D17" t="s">
        <v>48</v>
      </c>
      <c r="E17">
        <v>1</v>
      </c>
      <c r="F17" t="s">
        <v>32</v>
      </c>
      <c r="G17" t="s">
        <v>33</v>
      </c>
      <c r="H17" t="s">
        <v>54</v>
      </c>
      <c r="I17" t="s">
        <v>16</v>
      </c>
      <c r="J17" t="s">
        <v>24</v>
      </c>
      <c r="K17" s="2">
        <v>8600</v>
      </c>
      <c r="L17" s="3">
        <v>8.6</v>
      </c>
      <c r="M17" s="3"/>
      <c r="N17" s="3">
        <v>209.4</v>
      </c>
      <c r="O17" s="2">
        <v>27</v>
      </c>
      <c r="P17">
        <v>0</v>
      </c>
      <c r="Q17" t="s">
        <v>14</v>
      </c>
      <c r="R17" s="4">
        <v>9.39</v>
      </c>
      <c r="S17" s="4">
        <v>15.09</v>
      </c>
      <c r="T17" t="s">
        <v>31</v>
      </c>
      <c r="U17" s="4">
        <v>-0.23</v>
      </c>
      <c r="V17" s="4">
        <v>1.0920000000000001</v>
      </c>
      <c r="W17" s="4">
        <v>0</v>
      </c>
    </row>
    <row r="18" spans="1:23" ht="15" customHeight="1" x14ac:dyDescent="0.25">
      <c r="A18">
        <v>1843</v>
      </c>
      <c r="B18" s="1">
        <v>45658.583333333343</v>
      </c>
      <c r="C18">
        <v>14</v>
      </c>
      <c r="D18" t="s">
        <v>48</v>
      </c>
      <c r="E18">
        <v>1</v>
      </c>
      <c r="F18" t="s">
        <v>32</v>
      </c>
      <c r="G18" t="s">
        <v>33</v>
      </c>
      <c r="H18" t="s">
        <v>52</v>
      </c>
      <c r="I18" t="s">
        <v>13</v>
      </c>
      <c r="J18" t="s">
        <v>21</v>
      </c>
      <c r="K18" s="2">
        <v>9800</v>
      </c>
      <c r="L18" s="3">
        <v>15.1</v>
      </c>
      <c r="M18" s="3">
        <v>80.400000000000006</v>
      </c>
      <c r="N18" s="3">
        <v>278.8</v>
      </c>
      <c r="O18" s="2">
        <v>121</v>
      </c>
      <c r="P18">
        <v>1</v>
      </c>
      <c r="Q18" t="s">
        <v>23</v>
      </c>
      <c r="R18" s="4">
        <v>26.99</v>
      </c>
      <c r="S18" s="4">
        <v>0</v>
      </c>
      <c r="T18" t="s">
        <v>31</v>
      </c>
      <c r="U18" s="4">
        <v>2.75</v>
      </c>
      <c r="V18" s="4">
        <v>2.754</v>
      </c>
      <c r="W18" s="4">
        <v>26.99</v>
      </c>
    </row>
    <row r="19" spans="1:23" ht="15" customHeight="1" x14ac:dyDescent="0.25">
      <c r="A19">
        <v>1475</v>
      </c>
      <c r="B19" s="1">
        <v>45658.583333333343</v>
      </c>
      <c r="C19">
        <v>14</v>
      </c>
      <c r="D19" t="s">
        <v>48</v>
      </c>
      <c r="E19">
        <v>1</v>
      </c>
      <c r="F19" t="s">
        <v>32</v>
      </c>
      <c r="G19" t="s">
        <v>33</v>
      </c>
      <c r="H19" t="s">
        <v>49</v>
      </c>
      <c r="I19" t="s">
        <v>27</v>
      </c>
      <c r="J19" t="s">
        <v>18</v>
      </c>
      <c r="K19" s="2">
        <v>26000</v>
      </c>
      <c r="L19" s="3">
        <v>11.5</v>
      </c>
      <c r="M19" s="3">
        <v>66.400000000000006</v>
      </c>
      <c r="N19" s="3">
        <v>397.4</v>
      </c>
      <c r="O19" s="2">
        <v>0</v>
      </c>
      <c r="P19">
        <v>0</v>
      </c>
      <c r="Q19" t="s">
        <v>14</v>
      </c>
      <c r="R19" s="4">
        <v>36.880000000000003</v>
      </c>
      <c r="S19" s="4">
        <v>110.54</v>
      </c>
      <c r="T19" t="s">
        <v>31</v>
      </c>
      <c r="U19" s="4">
        <v>-2.98</v>
      </c>
      <c r="V19" s="4">
        <v>1.4179999999999999</v>
      </c>
      <c r="W19" s="4">
        <v>0</v>
      </c>
    </row>
    <row r="20" spans="1:23" ht="15" customHeight="1" x14ac:dyDescent="0.25">
      <c r="A20">
        <v>1844</v>
      </c>
      <c r="B20" s="1">
        <v>45658.833333333343</v>
      </c>
      <c r="C20">
        <v>20</v>
      </c>
      <c r="D20" t="s">
        <v>48</v>
      </c>
      <c r="E20">
        <v>1</v>
      </c>
      <c r="F20" t="s">
        <v>32</v>
      </c>
      <c r="G20" t="s">
        <v>33</v>
      </c>
      <c r="H20" t="s">
        <v>52</v>
      </c>
      <c r="I20" t="s">
        <v>13</v>
      </c>
      <c r="J20" t="s">
        <v>21</v>
      </c>
      <c r="K20" s="2">
        <v>9800</v>
      </c>
      <c r="L20" s="3">
        <v>10</v>
      </c>
      <c r="M20" s="3">
        <v>81.2</v>
      </c>
      <c r="N20" s="3">
        <v>0</v>
      </c>
      <c r="O20" s="2">
        <v>285</v>
      </c>
      <c r="P20">
        <v>1</v>
      </c>
      <c r="Q20" t="s">
        <v>17</v>
      </c>
      <c r="R20" s="4">
        <v>93.21</v>
      </c>
      <c r="S20" s="4">
        <v>0</v>
      </c>
      <c r="T20" t="s">
        <v>31</v>
      </c>
      <c r="U20" s="4">
        <v>9.41</v>
      </c>
      <c r="V20" s="4">
        <v>9.5109999999999992</v>
      </c>
      <c r="W20" s="4">
        <v>93.21</v>
      </c>
    </row>
    <row r="21" spans="1:23" ht="15" customHeight="1" x14ac:dyDescent="0.25">
      <c r="A21">
        <v>372</v>
      </c>
      <c r="B21" s="1">
        <v>45658.833333333343</v>
      </c>
      <c r="C21">
        <v>20</v>
      </c>
      <c r="D21" t="s">
        <v>48</v>
      </c>
      <c r="E21">
        <v>1</v>
      </c>
      <c r="F21" t="s">
        <v>32</v>
      </c>
      <c r="G21" t="s">
        <v>33</v>
      </c>
      <c r="H21" t="s">
        <v>54</v>
      </c>
      <c r="I21" t="s">
        <v>16</v>
      </c>
      <c r="J21" t="s">
        <v>24</v>
      </c>
      <c r="K21" s="2">
        <v>8600</v>
      </c>
      <c r="L21" s="3">
        <v>8.6</v>
      </c>
      <c r="M21" s="3">
        <v>90.8</v>
      </c>
      <c r="N21" s="3">
        <v>0</v>
      </c>
      <c r="O21" s="2">
        <v>0</v>
      </c>
      <c r="P21">
        <v>0</v>
      </c>
      <c r="Q21" t="s">
        <v>14</v>
      </c>
      <c r="R21" s="4">
        <v>12.78</v>
      </c>
      <c r="S21" s="4">
        <v>0</v>
      </c>
      <c r="T21" t="s">
        <v>31</v>
      </c>
      <c r="U21" s="4">
        <v>1.29</v>
      </c>
      <c r="V21" s="4">
        <v>1.486</v>
      </c>
      <c r="W21" s="4">
        <v>12.78</v>
      </c>
    </row>
    <row r="22" spans="1:23" ht="15" customHeight="1" x14ac:dyDescent="0.25">
      <c r="A22">
        <v>1476</v>
      </c>
      <c r="B22" s="1">
        <v>45658.833333333343</v>
      </c>
      <c r="C22">
        <v>20</v>
      </c>
      <c r="D22" t="s">
        <v>48</v>
      </c>
      <c r="E22">
        <v>1</v>
      </c>
      <c r="F22" t="s">
        <v>32</v>
      </c>
      <c r="G22" t="s">
        <v>33</v>
      </c>
      <c r="H22" t="s">
        <v>49</v>
      </c>
      <c r="I22" t="s">
        <v>27</v>
      </c>
      <c r="J22" t="s">
        <v>18</v>
      </c>
      <c r="K22" s="2">
        <v>26000</v>
      </c>
      <c r="L22" s="3">
        <v>8.1999999999999993</v>
      </c>
      <c r="M22" s="3">
        <v>77.400000000000006</v>
      </c>
      <c r="N22" s="3">
        <v>0</v>
      </c>
      <c r="O22" s="2">
        <v>3</v>
      </c>
      <c r="P22">
        <v>0</v>
      </c>
      <c r="Q22" t="s">
        <v>14</v>
      </c>
      <c r="R22" s="4">
        <v>46.39</v>
      </c>
      <c r="S22" s="4">
        <v>0</v>
      </c>
      <c r="T22" t="s">
        <v>31</v>
      </c>
      <c r="U22" s="4">
        <v>4.6100000000000003</v>
      </c>
      <c r="V22" s="4">
        <v>1.784</v>
      </c>
      <c r="W22" s="4">
        <v>46.39</v>
      </c>
    </row>
    <row r="23" spans="1:23" ht="15" customHeight="1" x14ac:dyDescent="0.25">
      <c r="A23">
        <v>4</v>
      </c>
      <c r="B23" s="1">
        <v>45658.833333333343</v>
      </c>
      <c r="C23">
        <v>20</v>
      </c>
      <c r="D23" t="s">
        <v>48</v>
      </c>
      <c r="E23">
        <v>1</v>
      </c>
      <c r="F23" t="s">
        <v>32</v>
      </c>
      <c r="G23" t="s">
        <v>33</v>
      </c>
      <c r="H23" t="s">
        <v>53</v>
      </c>
      <c r="I23" t="s">
        <v>19</v>
      </c>
      <c r="J23" t="s">
        <v>26</v>
      </c>
      <c r="K23" s="2">
        <v>12500</v>
      </c>
      <c r="L23" s="3">
        <v>3.6</v>
      </c>
      <c r="M23" s="3">
        <v>74.099999999999994</v>
      </c>
      <c r="N23" s="3">
        <v>0</v>
      </c>
      <c r="O23" s="2">
        <v>34</v>
      </c>
      <c r="P23">
        <v>0</v>
      </c>
      <c r="Q23" t="s">
        <v>14</v>
      </c>
      <c r="R23" s="4">
        <v>24.68</v>
      </c>
      <c r="S23" s="4">
        <v>0</v>
      </c>
      <c r="T23" t="s">
        <v>31</v>
      </c>
      <c r="U23" s="4">
        <v>2.38</v>
      </c>
      <c r="V23" s="4">
        <v>1.974</v>
      </c>
      <c r="W23" s="4">
        <v>24.68</v>
      </c>
    </row>
    <row r="24" spans="1:23" ht="15" customHeight="1" x14ac:dyDescent="0.25">
      <c r="A24">
        <v>1108</v>
      </c>
      <c r="B24" s="1">
        <v>45658.833333333343</v>
      </c>
      <c r="C24">
        <v>20</v>
      </c>
      <c r="D24" t="s">
        <v>48</v>
      </c>
      <c r="E24">
        <v>1</v>
      </c>
      <c r="F24" t="s">
        <v>32</v>
      </c>
      <c r="G24" t="s">
        <v>33</v>
      </c>
      <c r="H24" t="s">
        <v>51</v>
      </c>
      <c r="I24" t="s">
        <v>25</v>
      </c>
      <c r="J24" t="s">
        <v>15</v>
      </c>
      <c r="K24" s="2">
        <v>17400</v>
      </c>
      <c r="L24" s="3">
        <v>13.6</v>
      </c>
      <c r="M24" s="3">
        <v>78.8</v>
      </c>
      <c r="N24" s="3">
        <v>0</v>
      </c>
      <c r="O24" s="2">
        <v>1318</v>
      </c>
      <c r="P24">
        <v>1</v>
      </c>
      <c r="Q24" t="s">
        <v>17</v>
      </c>
      <c r="R24" s="4">
        <v>287.25</v>
      </c>
      <c r="S24" s="4">
        <v>0</v>
      </c>
      <c r="T24" t="s">
        <v>31</v>
      </c>
      <c r="U24" s="4">
        <v>28.29</v>
      </c>
      <c r="V24" s="4">
        <v>16.509</v>
      </c>
      <c r="W24" s="4">
        <v>287.25</v>
      </c>
    </row>
    <row r="25" spans="1:23" ht="15" customHeight="1" x14ac:dyDescent="0.25">
      <c r="A25">
        <v>740</v>
      </c>
      <c r="B25" s="1">
        <v>45658.833333333343</v>
      </c>
      <c r="C25">
        <v>20</v>
      </c>
      <c r="D25" t="s">
        <v>48</v>
      </c>
      <c r="E25">
        <v>1</v>
      </c>
      <c r="F25" t="s">
        <v>32</v>
      </c>
      <c r="G25" t="s">
        <v>33</v>
      </c>
      <c r="H25" t="s">
        <v>50</v>
      </c>
      <c r="I25" t="s">
        <v>22</v>
      </c>
      <c r="J25" t="s">
        <v>12</v>
      </c>
      <c r="K25" s="2">
        <v>21000</v>
      </c>
      <c r="L25" s="3">
        <v>14</v>
      </c>
      <c r="M25" s="3">
        <v>65.400000000000006</v>
      </c>
      <c r="N25" s="3">
        <v>0</v>
      </c>
      <c r="O25" s="2">
        <v>400</v>
      </c>
      <c r="P25">
        <v>1</v>
      </c>
      <c r="Q25" t="s">
        <v>17</v>
      </c>
      <c r="R25" s="4">
        <v>286.35000000000002</v>
      </c>
      <c r="S25" s="4">
        <v>0</v>
      </c>
      <c r="T25" t="s">
        <v>31</v>
      </c>
      <c r="U25" s="4">
        <v>28.92</v>
      </c>
      <c r="V25" s="4">
        <v>13.635999999999999</v>
      </c>
      <c r="W25" s="4">
        <v>286.35000000000002</v>
      </c>
    </row>
    <row r="26" spans="1:23" ht="15" customHeight="1" x14ac:dyDescent="0.25">
      <c r="A26">
        <v>1845</v>
      </c>
      <c r="B26" s="1">
        <v>45662</v>
      </c>
      <c r="C26">
        <v>0</v>
      </c>
      <c r="D26" t="s">
        <v>55</v>
      </c>
      <c r="E26">
        <v>1</v>
      </c>
      <c r="F26" t="s">
        <v>32</v>
      </c>
      <c r="G26" t="s">
        <v>36</v>
      </c>
      <c r="H26" t="s">
        <v>52</v>
      </c>
      <c r="I26" t="s">
        <v>13</v>
      </c>
      <c r="J26" t="s">
        <v>21</v>
      </c>
      <c r="K26" s="2">
        <v>9800</v>
      </c>
      <c r="L26" s="3">
        <v>4.9000000000000004</v>
      </c>
      <c r="M26" s="3">
        <v>81</v>
      </c>
      <c r="N26" s="3">
        <v>0</v>
      </c>
      <c r="O26" s="2">
        <v>303</v>
      </c>
      <c r="P26">
        <v>1</v>
      </c>
      <c r="Q26" t="s">
        <v>17</v>
      </c>
      <c r="R26" s="4">
        <v>98.83</v>
      </c>
      <c r="S26" s="4">
        <v>0</v>
      </c>
      <c r="T26" t="s">
        <v>31</v>
      </c>
      <c r="U26" s="4">
        <v>10.06</v>
      </c>
      <c r="V26" s="4">
        <v>10.085000000000001</v>
      </c>
      <c r="W26" s="4">
        <v>98.83</v>
      </c>
    </row>
    <row r="27" spans="1:23" ht="15" customHeight="1" x14ac:dyDescent="0.25">
      <c r="A27">
        <v>1477</v>
      </c>
      <c r="B27" s="1">
        <v>45662</v>
      </c>
      <c r="C27">
        <v>0</v>
      </c>
      <c r="D27" t="s">
        <v>55</v>
      </c>
      <c r="E27">
        <v>1</v>
      </c>
      <c r="F27" t="s">
        <v>32</v>
      </c>
      <c r="G27" t="s">
        <v>36</v>
      </c>
      <c r="H27" t="s">
        <v>49</v>
      </c>
      <c r="I27" t="s">
        <v>27</v>
      </c>
      <c r="J27" t="s">
        <v>18</v>
      </c>
      <c r="K27" s="2">
        <v>26000</v>
      </c>
      <c r="L27" s="3">
        <v>0.4</v>
      </c>
      <c r="M27" s="3">
        <v>81.3</v>
      </c>
      <c r="N27" s="3">
        <v>0</v>
      </c>
      <c r="O27" s="2">
        <v>22</v>
      </c>
      <c r="P27">
        <v>1</v>
      </c>
      <c r="Q27" t="s">
        <v>17</v>
      </c>
      <c r="R27" s="4">
        <v>98.19</v>
      </c>
      <c r="S27" s="4">
        <v>0</v>
      </c>
      <c r="T27" t="s">
        <v>31</v>
      </c>
      <c r="U27" s="4">
        <v>10.06</v>
      </c>
      <c r="V27" s="4">
        <v>3.7770000000000001</v>
      </c>
      <c r="W27" s="4">
        <v>98.19</v>
      </c>
    </row>
    <row r="28" spans="1:23" ht="15" customHeight="1" x14ac:dyDescent="0.25">
      <c r="A28">
        <v>373</v>
      </c>
      <c r="B28" s="1">
        <v>45662</v>
      </c>
      <c r="C28">
        <v>0</v>
      </c>
      <c r="D28" t="s">
        <v>55</v>
      </c>
      <c r="E28">
        <v>1</v>
      </c>
      <c r="F28" t="s">
        <v>32</v>
      </c>
      <c r="G28" t="s">
        <v>36</v>
      </c>
      <c r="H28" t="s">
        <v>54</v>
      </c>
      <c r="I28" t="s">
        <v>16</v>
      </c>
      <c r="J28" t="s">
        <v>24</v>
      </c>
      <c r="K28" s="2">
        <v>8600</v>
      </c>
      <c r="L28" s="3">
        <v>5</v>
      </c>
      <c r="M28" s="3">
        <v>94.1</v>
      </c>
      <c r="N28" s="3">
        <v>0</v>
      </c>
      <c r="O28" s="2">
        <v>16</v>
      </c>
      <c r="P28">
        <v>0</v>
      </c>
      <c r="Q28" t="s">
        <v>14</v>
      </c>
      <c r="R28" s="4">
        <v>12.19</v>
      </c>
      <c r="S28" s="4">
        <v>0</v>
      </c>
      <c r="T28" t="s">
        <v>31</v>
      </c>
      <c r="U28" s="4">
        <v>1.21</v>
      </c>
      <c r="V28" s="4">
        <v>1.417</v>
      </c>
      <c r="W28" s="4">
        <v>12.19</v>
      </c>
    </row>
    <row r="29" spans="1:23" ht="15" customHeight="1" x14ac:dyDescent="0.25">
      <c r="A29">
        <v>1109</v>
      </c>
      <c r="B29" s="1">
        <v>45662</v>
      </c>
      <c r="C29">
        <v>0</v>
      </c>
      <c r="D29" t="s">
        <v>55</v>
      </c>
      <c r="E29">
        <v>1</v>
      </c>
      <c r="F29" t="s">
        <v>32</v>
      </c>
      <c r="G29" t="s">
        <v>36</v>
      </c>
      <c r="H29" t="s">
        <v>51</v>
      </c>
      <c r="I29" t="s">
        <v>25</v>
      </c>
      <c r="J29" t="s">
        <v>15</v>
      </c>
      <c r="K29" s="2">
        <v>17400</v>
      </c>
      <c r="L29" s="3">
        <v>10.8</v>
      </c>
      <c r="M29" s="3">
        <v>81.900000000000006</v>
      </c>
      <c r="N29" s="3">
        <v>0</v>
      </c>
      <c r="O29" s="2">
        <v>0</v>
      </c>
      <c r="P29">
        <v>1</v>
      </c>
      <c r="Q29" t="s">
        <v>17</v>
      </c>
      <c r="R29" s="4">
        <v>53.76</v>
      </c>
      <c r="S29" s="4">
        <v>0</v>
      </c>
      <c r="T29" t="s">
        <v>31</v>
      </c>
      <c r="U29" s="4">
        <v>5.52</v>
      </c>
      <c r="V29" s="4">
        <v>3.09</v>
      </c>
      <c r="W29" s="4">
        <v>53.76</v>
      </c>
    </row>
    <row r="30" spans="1:23" ht="15" customHeight="1" x14ac:dyDescent="0.25">
      <c r="A30">
        <v>741</v>
      </c>
      <c r="B30" s="1">
        <v>45662</v>
      </c>
      <c r="C30">
        <v>0</v>
      </c>
      <c r="D30" t="s">
        <v>55</v>
      </c>
      <c r="E30">
        <v>1</v>
      </c>
      <c r="F30" t="s">
        <v>32</v>
      </c>
      <c r="G30" t="s">
        <v>36</v>
      </c>
      <c r="H30" t="s">
        <v>50</v>
      </c>
      <c r="I30" t="s">
        <v>22</v>
      </c>
      <c r="J30" t="s">
        <v>12</v>
      </c>
      <c r="K30" s="2">
        <v>21000</v>
      </c>
      <c r="L30" s="3">
        <v>5.5</v>
      </c>
      <c r="M30" s="3">
        <v>69.8</v>
      </c>
      <c r="N30" s="3">
        <v>0</v>
      </c>
      <c r="O30" s="2">
        <v>250</v>
      </c>
      <c r="P30">
        <v>1</v>
      </c>
      <c r="Q30" t="s">
        <v>17</v>
      </c>
      <c r="R30" s="4">
        <v>202.84</v>
      </c>
      <c r="S30" s="4">
        <v>0</v>
      </c>
      <c r="T30" t="s">
        <v>31</v>
      </c>
      <c r="U30" s="4">
        <v>20.69</v>
      </c>
      <c r="V30" s="4">
        <v>9.6590000000000007</v>
      </c>
      <c r="W30" s="4">
        <v>202.84</v>
      </c>
    </row>
    <row r="31" spans="1:23" ht="15" customHeight="1" x14ac:dyDescent="0.25">
      <c r="A31">
        <v>5</v>
      </c>
      <c r="B31" s="1">
        <v>45662</v>
      </c>
      <c r="C31">
        <v>0</v>
      </c>
      <c r="D31" t="s">
        <v>55</v>
      </c>
      <c r="E31">
        <v>1</v>
      </c>
      <c r="F31" t="s">
        <v>32</v>
      </c>
      <c r="G31" t="s">
        <v>36</v>
      </c>
      <c r="H31" t="s">
        <v>53</v>
      </c>
      <c r="I31" t="s">
        <v>19</v>
      </c>
      <c r="J31" t="s">
        <v>26</v>
      </c>
      <c r="K31" s="2">
        <v>12500</v>
      </c>
      <c r="L31" s="3">
        <v>-2.2000000000000002</v>
      </c>
      <c r="M31" s="3">
        <v>79.599999999999994</v>
      </c>
      <c r="N31" s="3">
        <v>0</v>
      </c>
      <c r="O31" s="2">
        <v>27</v>
      </c>
      <c r="P31">
        <v>0</v>
      </c>
      <c r="Q31" t="s">
        <v>14</v>
      </c>
      <c r="R31" s="4">
        <v>25.22</v>
      </c>
      <c r="S31" s="4">
        <v>0</v>
      </c>
      <c r="T31" t="s">
        <v>31</v>
      </c>
      <c r="U31" s="4">
        <v>2.5499999999999998</v>
      </c>
      <c r="V31" s="4">
        <v>2.0179999999999998</v>
      </c>
      <c r="W31" s="4">
        <v>25.22</v>
      </c>
    </row>
    <row r="32" spans="1:23" ht="15" customHeight="1" x14ac:dyDescent="0.25">
      <c r="A32">
        <v>1478</v>
      </c>
      <c r="B32" s="1">
        <v>45662.333333333343</v>
      </c>
      <c r="C32">
        <v>8</v>
      </c>
      <c r="D32" t="s">
        <v>55</v>
      </c>
      <c r="E32">
        <v>1</v>
      </c>
      <c r="F32" t="s">
        <v>32</v>
      </c>
      <c r="G32" t="s">
        <v>36</v>
      </c>
      <c r="H32" t="s">
        <v>49</v>
      </c>
      <c r="I32" t="s">
        <v>27</v>
      </c>
      <c r="J32" t="s">
        <v>18</v>
      </c>
      <c r="K32" s="2">
        <v>26000</v>
      </c>
      <c r="L32" s="3">
        <v>5.2</v>
      </c>
      <c r="M32" s="3">
        <v>89.2</v>
      </c>
      <c r="N32" s="3">
        <v>0</v>
      </c>
      <c r="O32" s="2">
        <v>53</v>
      </c>
      <c r="P32">
        <v>1</v>
      </c>
      <c r="Q32" t="s">
        <v>17</v>
      </c>
      <c r="R32" s="4">
        <v>147.09</v>
      </c>
      <c r="S32" s="4">
        <v>0</v>
      </c>
      <c r="T32" t="s">
        <v>31</v>
      </c>
      <c r="U32" s="4">
        <v>14.89</v>
      </c>
      <c r="V32" s="4">
        <v>5.657</v>
      </c>
      <c r="W32" s="4">
        <v>147.09</v>
      </c>
    </row>
    <row r="33" spans="1:23" ht="15" customHeight="1" x14ac:dyDescent="0.25">
      <c r="A33">
        <v>1846</v>
      </c>
      <c r="B33" s="1">
        <v>45662.333333333343</v>
      </c>
      <c r="C33">
        <v>8</v>
      </c>
      <c r="D33" t="s">
        <v>55</v>
      </c>
      <c r="E33">
        <v>1</v>
      </c>
      <c r="F33" t="s">
        <v>32</v>
      </c>
      <c r="G33" t="s">
        <v>36</v>
      </c>
      <c r="H33" t="s">
        <v>52</v>
      </c>
      <c r="I33" t="s">
        <v>13</v>
      </c>
      <c r="J33" t="s">
        <v>21</v>
      </c>
      <c r="K33" s="2">
        <v>9800</v>
      </c>
      <c r="L33" s="3">
        <v>8</v>
      </c>
      <c r="M33" s="3">
        <v>87.8</v>
      </c>
      <c r="N33" s="3">
        <v>0</v>
      </c>
      <c r="O33" s="2">
        <v>96</v>
      </c>
      <c r="P33">
        <v>1</v>
      </c>
      <c r="Q33" t="s">
        <v>17</v>
      </c>
      <c r="R33" s="4">
        <v>49.42</v>
      </c>
      <c r="S33" s="4">
        <v>0</v>
      </c>
      <c r="T33" t="s">
        <v>31</v>
      </c>
      <c r="U33" s="4">
        <v>5.0199999999999996</v>
      </c>
      <c r="V33" s="4">
        <v>5.0430000000000001</v>
      </c>
      <c r="W33" s="4">
        <v>49.42</v>
      </c>
    </row>
    <row r="34" spans="1:23" ht="15" customHeight="1" x14ac:dyDescent="0.25">
      <c r="A34">
        <v>6</v>
      </c>
      <c r="B34" s="1">
        <v>45662.333333333343</v>
      </c>
      <c r="C34">
        <v>8</v>
      </c>
      <c r="D34" t="s">
        <v>55</v>
      </c>
      <c r="E34">
        <v>1</v>
      </c>
      <c r="F34" t="s">
        <v>32</v>
      </c>
      <c r="G34" t="s">
        <v>36</v>
      </c>
      <c r="H34" t="s">
        <v>53</v>
      </c>
      <c r="I34" t="s">
        <v>19</v>
      </c>
      <c r="J34" t="s">
        <v>26</v>
      </c>
      <c r="K34" s="2">
        <v>12500</v>
      </c>
      <c r="L34" s="3">
        <v>1.4</v>
      </c>
      <c r="M34" s="3">
        <v>61.2</v>
      </c>
      <c r="N34" s="3">
        <v>0</v>
      </c>
      <c r="O34" s="2">
        <v>10</v>
      </c>
      <c r="P34">
        <v>0</v>
      </c>
      <c r="Q34" t="s">
        <v>14</v>
      </c>
      <c r="R34" s="4">
        <v>22.55</v>
      </c>
      <c r="S34" s="4">
        <v>0</v>
      </c>
      <c r="T34" t="s">
        <v>31</v>
      </c>
      <c r="U34" s="4">
        <v>2.2200000000000002</v>
      </c>
      <c r="V34" s="4">
        <v>1.804</v>
      </c>
      <c r="W34" s="4">
        <v>22.55</v>
      </c>
    </row>
    <row r="35" spans="1:23" ht="15" customHeight="1" x14ac:dyDescent="0.25">
      <c r="A35">
        <v>742</v>
      </c>
      <c r="B35" s="1">
        <v>45662.333333333343</v>
      </c>
      <c r="C35">
        <v>8</v>
      </c>
      <c r="D35" t="s">
        <v>55</v>
      </c>
      <c r="E35">
        <v>1</v>
      </c>
      <c r="F35" t="s">
        <v>32</v>
      </c>
      <c r="G35" t="s">
        <v>36</v>
      </c>
      <c r="H35" t="s">
        <v>50</v>
      </c>
      <c r="I35" t="s">
        <v>22</v>
      </c>
      <c r="J35" t="s">
        <v>12</v>
      </c>
      <c r="K35" s="2">
        <v>21000</v>
      </c>
      <c r="L35" s="3">
        <v>7.3</v>
      </c>
      <c r="M35" s="3">
        <v>83.2</v>
      </c>
      <c r="N35" s="3">
        <v>0</v>
      </c>
      <c r="O35" s="2">
        <v>404</v>
      </c>
      <c r="P35">
        <v>1</v>
      </c>
      <c r="Q35" t="s">
        <v>17</v>
      </c>
      <c r="R35" s="4">
        <v>286.25</v>
      </c>
      <c r="S35" s="4">
        <v>0</v>
      </c>
      <c r="T35" t="s">
        <v>31</v>
      </c>
      <c r="U35" s="4">
        <v>28.8</v>
      </c>
      <c r="V35" s="4">
        <v>13.631</v>
      </c>
      <c r="W35" s="4">
        <v>286.25</v>
      </c>
    </row>
    <row r="36" spans="1:23" ht="15" customHeight="1" x14ac:dyDescent="0.25">
      <c r="A36">
        <v>1110</v>
      </c>
      <c r="B36" s="1">
        <v>45662.333333333343</v>
      </c>
      <c r="C36">
        <v>8</v>
      </c>
      <c r="D36" t="s">
        <v>55</v>
      </c>
      <c r="E36">
        <v>1</v>
      </c>
      <c r="F36" t="s">
        <v>32</v>
      </c>
      <c r="G36" t="s">
        <v>36</v>
      </c>
      <c r="H36" t="s">
        <v>51</v>
      </c>
      <c r="I36" t="s">
        <v>25</v>
      </c>
      <c r="J36" t="s">
        <v>15</v>
      </c>
      <c r="K36" s="2">
        <v>17400</v>
      </c>
      <c r="L36" s="3">
        <v>6.4</v>
      </c>
      <c r="M36" s="3">
        <v>99</v>
      </c>
      <c r="N36" s="3">
        <v>0</v>
      </c>
      <c r="O36" s="2">
        <v>145</v>
      </c>
      <c r="P36">
        <v>1</v>
      </c>
      <c r="Q36" t="s">
        <v>17</v>
      </c>
      <c r="R36" s="4">
        <v>68.42</v>
      </c>
      <c r="S36" s="4">
        <v>0</v>
      </c>
      <c r="T36" t="s">
        <v>31</v>
      </c>
      <c r="U36" s="4">
        <v>6.86</v>
      </c>
      <c r="V36" s="4">
        <v>3.9319999999999999</v>
      </c>
      <c r="W36" s="4">
        <v>68.42</v>
      </c>
    </row>
    <row r="37" spans="1:23" ht="15" customHeight="1" x14ac:dyDescent="0.25">
      <c r="A37">
        <v>374</v>
      </c>
      <c r="B37" s="1">
        <v>45662.333333333343</v>
      </c>
      <c r="C37">
        <v>8</v>
      </c>
      <c r="D37" t="s">
        <v>55</v>
      </c>
      <c r="E37">
        <v>1</v>
      </c>
      <c r="F37" t="s">
        <v>32</v>
      </c>
      <c r="G37" t="s">
        <v>36</v>
      </c>
      <c r="H37" t="s">
        <v>54</v>
      </c>
      <c r="I37" t="s">
        <v>16</v>
      </c>
      <c r="J37" t="s">
        <v>24</v>
      </c>
      <c r="K37" s="2">
        <v>8600</v>
      </c>
      <c r="L37" s="3">
        <v>9.1</v>
      </c>
      <c r="M37" s="3">
        <v>99</v>
      </c>
      <c r="N37" s="3">
        <v>0</v>
      </c>
      <c r="O37" s="2">
        <v>18</v>
      </c>
      <c r="P37">
        <v>0</v>
      </c>
      <c r="Q37" t="s">
        <v>14</v>
      </c>
      <c r="R37" s="4">
        <v>15.24</v>
      </c>
      <c r="S37" s="4">
        <v>0</v>
      </c>
      <c r="T37" t="s">
        <v>31</v>
      </c>
      <c r="U37" s="4">
        <v>1.49</v>
      </c>
      <c r="V37" s="4">
        <v>1.772</v>
      </c>
      <c r="W37" s="4">
        <v>15.24</v>
      </c>
    </row>
    <row r="38" spans="1:23" ht="15" customHeight="1" x14ac:dyDescent="0.25">
      <c r="A38">
        <v>1847</v>
      </c>
      <c r="B38" s="1">
        <v>45662.583333333343</v>
      </c>
      <c r="C38">
        <v>14</v>
      </c>
      <c r="D38" t="s">
        <v>55</v>
      </c>
      <c r="E38">
        <v>1</v>
      </c>
      <c r="F38" t="s">
        <v>32</v>
      </c>
      <c r="G38" t="s">
        <v>36</v>
      </c>
      <c r="H38" t="s">
        <v>52</v>
      </c>
      <c r="I38" t="s">
        <v>13</v>
      </c>
      <c r="J38" t="s">
        <v>21</v>
      </c>
      <c r="K38" s="2">
        <v>9800</v>
      </c>
      <c r="L38" s="3">
        <v>12.7</v>
      </c>
      <c r="M38" s="3"/>
      <c r="N38" s="3">
        <v>376.8</v>
      </c>
      <c r="O38" s="2">
        <v>107</v>
      </c>
      <c r="P38">
        <v>1</v>
      </c>
      <c r="Q38" t="s">
        <v>17</v>
      </c>
      <c r="R38" s="4">
        <v>29.72</v>
      </c>
      <c r="S38" s="4">
        <v>0</v>
      </c>
      <c r="T38" t="s">
        <v>31</v>
      </c>
      <c r="U38" s="4">
        <v>2.96</v>
      </c>
      <c r="V38" s="4">
        <v>3.0329999999999999</v>
      </c>
      <c r="W38" s="4">
        <v>29.72</v>
      </c>
    </row>
    <row r="39" spans="1:23" ht="15" customHeight="1" x14ac:dyDescent="0.25">
      <c r="A39">
        <v>7</v>
      </c>
      <c r="B39" s="1">
        <v>45662.583333333343</v>
      </c>
      <c r="C39">
        <v>14</v>
      </c>
      <c r="D39" t="s">
        <v>55</v>
      </c>
      <c r="E39">
        <v>1</v>
      </c>
      <c r="F39" t="s">
        <v>32</v>
      </c>
      <c r="G39" t="s">
        <v>36</v>
      </c>
      <c r="H39" t="s">
        <v>53</v>
      </c>
      <c r="I39" t="s">
        <v>19</v>
      </c>
      <c r="J39" t="s">
        <v>26</v>
      </c>
      <c r="K39" s="2">
        <v>12500</v>
      </c>
      <c r="L39" s="3">
        <v>11</v>
      </c>
      <c r="M39" s="3">
        <v>64.7</v>
      </c>
      <c r="N39" s="3">
        <v>475.8</v>
      </c>
      <c r="O39" s="2">
        <v>0</v>
      </c>
      <c r="P39">
        <v>0</v>
      </c>
      <c r="Q39" t="s">
        <v>14</v>
      </c>
      <c r="R39" s="4">
        <v>16.07</v>
      </c>
      <c r="S39" s="4">
        <v>73.48</v>
      </c>
      <c r="T39" t="s">
        <v>31</v>
      </c>
      <c r="U39" s="4">
        <v>-2.37</v>
      </c>
      <c r="V39" s="4">
        <v>1.286</v>
      </c>
      <c r="W39" s="4">
        <v>0</v>
      </c>
    </row>
    <row r="40" spans="1:23" ht="15" customHeight="1" x14ac:dyDescent="0.25">
      <c r="A40">
        <v>743</v>
      </c>
      <c r="B40" s="1">
        <v>45662.583333333343</v>
      </c>
      <c r="C40">
        <v>14</v>
      </c>
      <c r="D40" t="s">
        <v>55</v>
      </c>
      <c r="E40">
        <v>1</v>
      </c>
      <c r="F40" t="s">
        <v>32</v>
      </c>
      <c r="G40" t="s">
        <v>36</v>
      </c>
      <c r="H40" t="s">
        <v>50</v>
      </c>
      <c r="I40" t="s">
        <v>22</v>
      </c>
      <c r="J40" t="s">
        <v>12</v>
      </c>
      <c r="K40" s="2">
        <v>21000</v>
      </c>
      <c r="L40" s="3">
        <v>13.7</v>
      </c>
      <c r="M40" s="3">
        <v>83.3</v>
      </c>
      <c r="N40" s="3">
        <v>397.7</v>
      </c>
      <c r="O40" s="2">
        <v>425</v>
      </c>
      <c r="P40">
        <v>1</v>
      </c>
      <c r="Q40" t="s">
        <v>17</v>
      </c>
      <c r="R40" s="4">
        <v>210.66</v>
      </c>
      <c r="S40" s="4">
        <v>85.66</v>
      </c>
      <c r="T40" t="s">
        <v>31</v>
      </c>
      <c r="U40" s="4">
        <v>12.45</v>
      </c>
      <c r="V40" s="4">
        <v>10.031000000000001</v>
      </c>
      <c r="W40" s="4">
        <v>125</v>
      </c>
    </row>
    <row r="41" spans="1:23" ht="15" customHeight="1" x14ac:dyDescent="0.25">
      <c r="A41">
        <v>1479</v>
      </c>
      <c r="B41" s="1">
        <v>45662.583333333343</v>
      </c>
      <c r="C41">
        <v>14</v>
      </c>
      <c r="D41" t="s">
        <v>55</v>
      </c>
      <c r="E41">
        <v>1</v>
      </c>
      <c r="F41" t="s">
        <v>32</v>
      </c>
      <c r="G41" t="s">
        <v>36</v>
      </c>
      <c r="H41" t="s">
        <v>49</v>
      </c>
      <c r="I41" t="s">
        <v>27</v>
      </c>
      <c r="J41" t="s">
        <v>18</v>
      </c>
      <c r="K41" s="2">
        <v>26000</v>
      </c>
      <c r="L41" s="3">
        <v>14.2</v>
      </c>
      <c r="M41" s="3">
        <v>81.8</v>
      </c>
      <c r="N41" s="3">
        <v>324.8</v>
      </c>
      <c r="O41" s="2">
        <v>66</v>
      </c>
      <c r="P41">
        <v>1</v>
      </c>
      <c r="Q41" t="s">
        <v>17</v>
      </c>
      <c r="R41" s="4">
        <v>83.38</v>
      </c>
      <c r="S41" s="4">
        <v>89.59</v>
      </c>
      <c r="T41" t="s">
        <v>31</v>
      </c>
      <c r="U41" s="4">
        <v>-0.26</v>
      </c>
      <c r="V41" s="4">
        <v>3.2069999999999999</v>
      </c>
      <c r="W41" s="4">
        <v>0</v>
      </c>
    </row>
    <row r="42" spans="1:23" ht="15" customHeight="1" x14ac:dyDescent="0.25">
      <c r="A42">
        <v>1111</v>
      </c>
      <c r="B42" s="1">
        <v>45662.583333333343</v>
      </c>
      <c r="C42">
        <v>14</v>
      </c>
      <c r="D42" t="s">
        <v>55</v>
      </c>
      <c r="E42">
        <v>1</v>
      </c>
      <c r="F42" t="s">
        <v>32</v>
      </c>
      <c r="G42" t="s">
        <v>36</v>
      </c>
      <c r="H42" t="s">
        <v>51</v>
      </c>
      <c r="I42" t="s">
        <v>25</v>
      </c>
      <c r="J42" t="s">
        <v>15</v>
      </c>
      <c r="K42" s="2">
        <v>17400</v>
      </c>
      <c r="L42" s="3">
        <v>13.3</v>
      </c>
      <c r="M42" s="3">
        <v>77.099999999999994</v>
      </c>
      <c r="N42" s="3">
        <v>436.6</v>
      </c>
      <c r="O42" s="2">
        <v>1529</v>
      </c>
      <c r="P42">
        <v>1</v>
      </c>
      <c r="Q42" t="s">
        <v>17</v>
      </c>
      <c r="R42" s="4">
        <v>226.13</v>
      </c>
      <c r="S42" s="4">
        <v>54.97</v>
      </c>
      <c r="T42" t="s">
        <v>31</v>
      </c>
      <c r="U42" s="4">
        <v>17.25</v>
      </c>
      <c r="V42" s="4">
        <v>12.996</v>
      </c>
      <c r="W42" s="4">
        <v>171.16</v>
      </c>
    </row>
    <row r="43" spans="1:23" ht="15" customHeight="1" x14ac:dyDescent="0.25">
      <c r="A43">
        <v>375</v>
      </c>
      <c r="B43" s="1">
        <v>45662.583333333343</v>
      </c>
      <c r="C43">
        <v>14</v>
      </c>
      <c r="D43" t="s">
        <v>55</v>
      </c>
      <c r="E43">
        <v>1</v>
      </c>
      <c r="F43" t="s">
        <v>32</v>
      </c>
      <c r="G43" t="s">
        <v>36</v>
      </c>
      <c r="H43" t="s">
        <v>54</v>
      </c>
      <c r="I43" t="s">
        <v>16</v>
      </c>
      <c r="J43" t="s">
        <v>24</v>
      </c>
      <c r="K43" s="2">
        <v>8600</v>
      </c>
      <c r="L43" s="3">
        <v>12</v>
      </c>
      <c r="M43" s="3">
        <v>81.2</v>
      </c>
      <c r="N43" s="3">
        <v>353</v>
      </c>
      <c r="O43" s="2">
        <v>0</v>
      </c>
      <c r="P43">
        <v>0</v>
      </c>
      <c r="Q43" t="s">
        <v>14</v>
      </c>
      <c r="R43" s="4">
        <v>7.8</v>
      </c>
      <c r="S43" s="4">
        <v>27.18</v>
      </c>
      <c r="T43" t="s">
        <v>31</v>
      </c>
      <c r="U43" s="4">
        <v>-0.8</v>
      </c>
      <c r="V43" s="4">
        <v>0.90700000000000003</v>
      </c>
      <c r="W43" s="4">
        <v>0</v>
      </c>
    </row>
    <row r="44" spans="1:23" ht="15" customHeight="1" x14ac:dyDescent="0.25">
      <c r="A44">
        <v>1480</v>
      </c>
      <c r="B44" s="1">
        <v>45662.833333333343</v>
      </c>
      <c r="C44">
        <v>20</v>
      </c>
      <c r="D44" t="s">
        <v>55</v>
      </c>
      <c r="E44">
        <v>1</v>
      </c>
      <c r="F44" t="s">
        <v>32</v>
      </c>
      <c r="G44" t="s">
        <v>36</v>
      </c>
      <c r="H44" t="s">
        <v>49</v>
      </c>
      <c r="I44" t="s">
        <v>27</v>
      </c>
      <c r="J44" t="s">
        <v>18</v>
      </c>
      <c r="K44" s="2">
        <v>26000</v>
      </c>
      <c r="L44" s="3">
        <v>6.8</v>
      </c>
      <c r="M44" s="3"/>
      <c r="N44" s="3">
        <v>0</v>
      </c>
      <c r="O44" s="2">
        <v>77</v>
      </c>
      <c r="P44">
        <v>1</v>
      </c>
      <c r="Q44" t="s">
        <v>17</v>
      </c>
      <c r="R44" s="4">
        <v>139.41999999999999</v>
      </c>
      <c r="S44" s="4">
        <v>0</v>
      </c>
      <c r="T44" t="s">
        <v>31</v>
      </c>
      <c r="U44" s="4">
        <v>14.15</v>
      </c>
      <c r="V44" s="4">
        <v>5.3620000000000001</v>
      </c>
      <c r="W44" s="4">
        <v>139.41999999999999</v>
      </c>
    </row>
    <row r="45" spans="1:23" ht="15" customHeight="1" x14ac:dyDescent="0.25">
      <c r="A45">
        <v>8</v>
      </c>
      <c r="B45" s="1">
        <v>45662.833333333343</v>
      </c>
      <c r="C45">
        <v>20</v>
      </c>
      <c r="D45" t="s">
        <v>55</v>
      </c>
      <c r="E45">
        <v>1</v>
      </c>
      <c r="F45" t="s">
        <v>32</v>
      </c>
      <c r="G45" t="s">
        <v>36</v>
      </c>
      <c r="H45" t="s">
        <v>53</v>
      </c>
      <c r="I45" t="s">
        <v>19</v>
      </c>
      <c r="J45" t="s">
        <v>26</v>
      </c>
      <c r="K45" s="2">
        <v>12500</v>
      </c>
      <c r="L45" s="3">
        <v>3.9</v>
      </c>
      <c r="M45" s="3">
        <v>72.8</v>
      </c>
      <c r="N45" s="3">
        <v>0</v>
      </c>
      <c r="O45" s="2">
        <v>0</v>
      </c>
      <c r="P45">
        <v>0</v>
      </c>
      <c r="Q45" t="s">
        <v>14</v>
      </c>
      <c r="R45" s="4">
        <v>25.26</v>
      </c>
      <c r="S45" s="4">
        <v>0</v>
      </c>
      <c r="T45" t="s">
        <v>31</v>
      </c>
      <c r="U45" s="4">
        <v>2.5299999999999998</v>
      </c>
      <c r="V45" s="4">
        <v>2.0209999999999999</v>
      </c>
      <c r="W45" s="4">
        <v>25.26</v>
      </c>
    </row>
    <row r="46" spans="1:23" ht="15" customHeight="1" x14ac:dyDescent="0.25">
      <c r="A46">
        <v>1848</v>
      </c>
      <c r="B46" s="1">
        <v>45662.833333333343</v>
      </c>
      <c r="C46">
        <v>20</v>
      </c>
      <c r="D46" t="s">
        <v>55</v>
      </c>
      <c r="E46">
        <v>1</v>
      </c>
      <c r="F46" t="s">
        <v>32</v>
      </c>
      <c r="G46" t="s">
        <v>36</v>
      </c>
      <c r="H46" t="s">
        <v>52</v>
      </c>
      <c r="I46" t="s">
        <v>13</v>
      </c>
      <c r="J46" t="s">
        <v>21</v>
      </c>
      <c r="K46" s="2">
        <v>9800</v>
      </c>
      <c r="L46" s="3">
        <v>7.7</v>
      </c>
      <c r="M46" s="3">
        <v>99</v>
      </c>
      <c r="N46" s="3">
        <v>0</v>
      </c>
      <c r="O46" s="2">
        <v>287</v>
      </c>
      <c r="P46">
        <v>1</v>
      </c>
      <c r="Q46" t="s">
        <v>17</v>
      </c>
      <c r="R46" s="4">
        <v>102.16</v>
      </c>
      <c r="S46" s="4">
        <v>0</v>
      </c>
      <c r="T46" t="s">
        <v>31</v>
      </c>
      <c r="U46" s="4">
        <v>10.09</v>
      </c>
      <c r="V46" s="4">
        <v>10.423999999999999</v>
      </c>
      <c r="W46" s="4">
        <v>102.16</v>
      </c>
    </row>
    <row r="47" spans="1:23" ht="15" customHeight="1" x14ac:dyDescent="0.25">
      <c r="A47">
        <v>376</v>
      </c>
      <c r="B47" s="1">
        <v>45662.833333333343</v>
      </c>
      <c r="C47">
        <v>20</v>
      </c>
      <c r="D47" t="s">
        <v>55</v>
      </c>
      <c r="E47">
        <v>1</v>
      </c>
      <c r="F47" t="s">
        <v>32</v>
      </c>
      <c r="G47" t="s">
        <v>36</v>
      </c>
      <c r="H47" t="s">
        <v>54</v>
      </c>
      <c r="I47" t="s">
        <v>16</v>
      </c>
      <c r="J47" t="s">
        <v>24</v>
      </c>
      <c r="K47" s="2">
        <v>8600</v>
      </c>
      <c r="L47" s="3">
        <v>10</v>
      </c>
      <c r="M47" s="3">
        <v>92.7</v>
      </c>
      <c r="N47" s="3">
        <v>0</v>
      </c>
      <c r="O47" s="2">
        <v>6</v>
      </c>
      <c r="P47">
        <v>0</v>
      </c>
      <c r="Q47" t="s">
        <v>14</v>
      </c>
      <c r="R47" s="4">
        <v>11.66</v>
      </c>
      <c r="S47" s="4">
        <v>0</v>
      </c>
      <c r="T47" t="s">
        <v>31</v>
      </c>
      <c r="U47" s="4">
        <v>1.18</v>
      </c>
      <c r="V47" s="4">
        <v>1.3560000000000001</v>
      </c>
      <c r="W47" s="4">
        <v>11.66</v>
      </c>
    </row>
    <row r="48" spans="1:23" ht="15" customHeight="1" x14ac:dyDescent="0.25">
      <c r="A48">
        <v>1112</v>
      </c>
      <c r="B48" s="1">
        <v>45662.833333333343</v>
      </c>
      <c r="C48">
        <v>20</v>
      </c>
      <c r="D48" t="s">
        <v>55</v>
      </c>
      <c r="E48">
        <v>1</v>
      </c>
      <c r="F48" t="s">
        <v>32</v>
      </c>
      <c r="G48" t="s">
        <v>36</v>
      </c>
      <c r="H48" t="s">
        <v>51</v>
      </c>
      <c r="I48" t="s">
        <v>25</v>
      </c>
      <c r="J48" t="s">
        <v>15</v>
      </c>
      <c r="K48" s="2">
        <v>17400</v>
      </c>
      <c r="L48" s="3">
        <v>11.6</v>
      </c>
      <c r="M48" s="3">
        <v>64</v>
      </c>
      <c r="N48" s="3">
        <v>0</v>
      </c>
      <c r="O48" s="2">
        <v>1581</v>
      </c>
      <c r="P48">
        <v>1</v>
      </c>
      <c r="Q48" t="s">
        <v>17</v>
      </c>
      <c r="R48" s="4">
        <v>355.75</v>
      </c>
      <c r="S48" s="4">
        <v>0</v>
      </c>
      <c r="T48" t="s">
        <v>31</v>
      </c>
      <c r="U48" s="4">
        <v>35.79</v>
      </c>
      <c r="V48" s="4">
        <v>20.445</v>
      </c>
      <c r="W48" s="4">
        <v>355.75</v>
      </c>
    </row>
    <row r="49" spans="1:23" ht="15" customHeight="1" x14ac:dyDescent="0.25">
      <c r="A49">
        <v>744</v>
      </c>
      <c r="B49" s="1">
        <v>45662.833333333343</v>
      </c>
      <c r="C49">
        <v>20</v>
      </c>
      <c r="D49" t="s">
        <v>55</v>
      </c>
      <c r="E49">
        <v>1</v>
      </c>
      <c r="F49" t="s">
        <v>32</v>
      </c>
      <c r="G49" t="s">
        <v>36</v>
      </c>
      <c r="H49" t="s">
        <v>50</v>
      </c>
      <c r="I49" t="s">
        <v>22</v>
      </c>
      <c r="J49" t="s">
        <v>12</v>
      </c>
      <c r="K49" s="2">
        <v>21000</v>
      </c>
      <c r="L49" s="3">
        <v>11.9</v>
      </c>
      <c r="M49" s="3">
        <v>58.1</v>
      </c>
      <c r="N49" s="3">
        <v>0</v>
      </c>
      <c r="O49" s="2">
        <v>364</v>
      </c>
      <c r="P49">
        <v>1</v>
      </c>
      <c r="Q49" t="s">
        <v>17</v>
      </c>
      <c r="R49" s="4">
        <v>275.32</v>
      </c>
      <c r="S49" s="4">
        <v>0</v>
      </c>
      <c r="T49" t="s">
        <v>31</v>
      </c>
      <c r="U49" s="4">
        <v>27.48</v>
      </c>
      <c r="V49" s="4">
        <v>13.11</v>
      </c>
      <c r="W49" s="4">
        <v>275.32</v>
      </c>
    </row>
    <row r="50" spans="1:23" ht="15" customHeight="1" x14ac:dyDescent="0.25">
      <c r="A50">
        <v>1481</v>
      </c>
      <c r="B50" s="1">
        <v>45666</v>
      </c>
      <c r="C50">
        <v>0</v>
      </c>
      <c r="D50" t="s">
        <v>56</v>
      </c>
      <c r="E50">
        <v>1</v>
      </c>
      <c r="F50" t="s">
        <v>32</v>
      </c>
      <c r="G50" t="s">
        <v>33</v>
      </c>
      <c r="H50" t="s">
        <v>49</v>
      </c>
      <c r="I50" t="s">
        <v>27</v>
      </c>
      <c r="J50" t="s">
        <v>18</v>
      </c>
      <c r="K50" s="2">
        <v>26000</v>
      </c>
      <c r="L50" s="3">
        <v>-0.5</v>
      </c>
      <c r="M50" s="3">
        <v>72.099999999999994</v>
      </c>
      <c r="N50" s="3">
        <v>0</v>
      </c>
      <c r="O50" s="2">
        <v>54</v>
      </c>
      <c r="P50">
        <v>1</v>
      </c>
      <c r="Q50" t="s">
        <v>17</v>
      </c>
      <c r="R50" s="4">
        <v>138.6</v>
      </c>
      <c r="S50" s="4">
        <v>0</v>
      </c>
      <c r="T50" t="s">
        <v>31</v>
      </c>
      <c r="U50" s="4">
        <v>14.05</v>
      </c>
      <c r="V50" s="4">
        <v>5.3310000000000004</v>
      </c>
      <c r="W50" s="4">
        <v>138.6</v>
      </c>
    </row>
    <row r="51" spans="1:23" ht="15" customHeight="1" x14ac:dyDescent="0.25">
      <c r="A51">
        <v>745</v>
      </c>
      <c r="B51" s="1">
        <v>45666</v>
      </c>
      <c r="C51">
        <v>0</v>
      </c>
      <c r="D51" t="s">
        <v>56</v>
      </c>
      <c r="E51">
        <v>1</v>
      </c>
      <c r="F51" t="s">
        <v>32</v>
      </c>
      <c r="G51" t="s">
        <v>33</v>
      </c>
      <c r="H51" t="s">
        <v>50</v>
      </c>
      <c r="I51" t="s">
        <v>22</v>
      </c>
      <c r="J51" t="s">
        <v>12</v>
      </c>
      <c r="K51" s="2">
        <v>21000</v>
      </c>
      <c r="L51" s="3">
        <v>4</v>
      </c>
      <c r="M51" s="3">
        <v>72.5</v>
      </c>
      <c r="N51" s="3">
        <v>0</v>
      </c>
      <c r="O51" s="2">
        <v>215</v>
      </c>
      <c r="P51">
        <v>1</v>
      </c>
      <c r="Q51" t="s">
        <v>17</v>
      </c>
      <c r="R51" s="4">
        <v>201.84</v>
      </c>
      <c r="S51" s="4">
        <v>0</v>
      </c>
      <c r="T51" t="s">
        <v>31</v>
      </c>
      <c r="U51" s="4"/>
      <c r="V51" s="4">
        <v>9.6110000000000007</v>
      </c>
      <c r="W51" s="4">
        <v>201.84</v>
      </c>
    </row>
    <row r="52" spans="1:23" ht="15" customHeight="1" x14ac:dyDescent="0.25">
      <c r="A52">
        <v>9</v>
      </c>
      <c r="B52" s="1">
        <v>45666</v>
      </c>
      <c r="C52">
        <v>0</v>
      </c>
      <c r="D52" t="s">
        <v>56</v>
      </c>
      <c r="E52">
        <v>1</v>
      </c>
      <c r="F52" t="s">
        <v>32</v>
      </c>
      <c r="G52" t="s">
        <v>33</v>
      </c>
      <c r="H52" t="s">
        <v>53</v>
      </c>
      <c r="I52" t="s">
        <v>19</v>
      </c>
      <c r="J52" t="s">
        <v>26</v>
      </c>
      <c r="K52" s="2">
        <v>12500</v>
      </c>
      <c r="L52" s="3"/>
      <c r="M52" s="3">
        <v>75.900000000000006</v>
      </c>
      <c r="N52" s="3">
        <v>0</v>
      </c>
      <c r="O52" s="2">
        <v>27</v>
      </c>
      <c r="P52">
        <v>0</v>
      </c>
      <c r="Q52" t="s">
        <v>14</v>
      </c>
      <c r="R52" s="4">
        <v>25.24</v>
      </c>
      <c r="S52" s="4">
        <v>0</v>
      </c>
      <c r="T52" t="s">
        <v>31</v>
      </c>
      <c r="U52" s="4">
        <v>2.52</v>
      </c>
      <c r="V52" s="4">
        <v>2.0190000000000001</v>
      </c>
      <c r="W52" s="4">
        <v>25.24</v>
      </c>
    </row>
    <row r="53" spans="1:23" ht="15" customHeight="1" x14ac:dyDescent="0.25">
      <c r="A53">
        <v>377</v>
      </c>
      <c r="B53" s="1">
        <v>45666</v>
      </c>
      <c r="C53">
        <v>0</v>
      </c>
      <c r="D53" t="s">
        <v>56</v>
      </c>
      <c r="E53">
        <v>1</v>
      </c>
      <c r="F53" t="s">
        <v>32</v>
      </c>
      <c r="G53" t="s">
        <v>33</v>
      </c>
      <c r="H53" t="s">
        <v>54</v>
      </c>
      <c r="I53" t="s">
        <v>16</v>
      </c>
      <c r="J53" t="s">
        <v>24</v>
      </c>
      <c r="K53" s="2">
        <v>8600</v>
      </c>
      <c r="L53" s="3">
        <v>3.3</v>
      </c>
      <c r="M53" s="3">
        <v>98.9</v>
      </c>
      <c r="N53" s="3">
        <v>0</v>
      </c>
      <c r="O53" s="2">
        <v>97</v>
      </c>
      <c r="P53">
        <v>1</v>
      </c>
      <c r="Q53" t="s">
        <v>17</v>
      </c>
      <c r="R53" s="4">
        <v>33.15</v>
      </c>
      <c r="S53" s="4">
        <v>0</v>
      </c>
      <c r="T53" t="s">
        <v>31</v>
      </c>
      <c r="U53" s="4">
        <v>3.3</v>
      </c>
      <c r="V53" s="4">
        <v>3.855</v>
      </c>
      <c r="W53" s="4">
        <v>33.15</v>
      </c>
    </row>
    <row r="54" spans="1:23" ht="15" customHeight="1" x14ac:dyDescent="0.25">
      <c r="A54">
        <v>1849</v>
      </c>
      <c r="B54" s="1">
        <v>45666</v>
      </c>
      <c r="C54">
        <v>0</v>
      </c>
      <c r="D54" t="s">
        <v>56</v>
      </c>
      <c r="E54">
        <v>1</v>
      </c>
      <c r="F54" t="s">
        <v>32</v>
      </c>
      <c r="G54" t="s">
        <v>33</v>
      </c>
      <c r="H54" t="s">
        <v>52</v>
      </c>
      <c r="I54" t="s">
        <v>13</v>
      </c>
      <c r="J54" t="s">
        <v>21</v>
      </c>
      <c r="K54" s="2">
        <v>9800</v>
      </c>
      <c r="L54" s="3">
        <v>6.2</v>
      </c>
      <c r="M54" s="3">
        <v>99</v>
      </c>
      <c r="N54" s="3">
        <v>0</v>
      </c>
      <c r="O54" s="2">
        <v>318</v>
      </c>
      <c r="P54">
        <v>1</v>
      </c>
      <c r="Q54" t="s">
        <v>17</v>
      </c>
      <c r="R54" s="4">
        <v>95.31</v>
      </c>
      <c r="S54" s="4">
        <v>0</v>
      </c>
      <c r="T54" t="s">
        <v>31</v>
      </c>
      <c r="U54" s="4">
        <v>9.1</v>
      </c>
      <c r="V54" s="4">
        <v>9.7260000000000009</v>
      </c>
      <c r="W54" s="4">
        <v>95.31</v>
      </c>
    </row>
    <row r="55" spans="1:23" ht="15" customHeight="1" x14ac:dyDescent="0.25">
      <c r="A55">
        <v>1113</v>
      </c>
      <c r="B55" s="1">
        <v>45666</v>
      </c>
      <c r="C55">
        <v>0</v>
      </c>
      <c r="D55" t="s">
        <v>56</v>
      </c>
      <c r="E55">
        <v>1</v>
      </c>
      <c r="F55" t="s">
        <v>32</v>
      </c>
      <c r="G55" t="s">
        <v>33</v>
      </c>
      <c r="H55" t="s">
        <v>51</v>
      </c>
      <c r="I55" t="s">
        <v>25</v>
      </c>
      <c r="J55" t="s">
        <v>15</v>
      </c>
      <c r="K55" s="2">
        <v>17400</v>
      </c>
      <c r="L55" s="3">
        <v>7.6</v>
      </c>
      <c r="M55" s="3">
        <v>89</v>
      </c>
      <c r="N55" s="3">
        <v>0</v>
      </c>
      <c r="O55" s="2">
        <v>107</v>
      </c>
      <c r="P55">
        <v>0</v>
      </c>
      <c r="Q55" t="s">
        <v>14</v>
      </c>
      <c r="R55" s="4">
        <v>51.84</v>
      </c>
      <c r="S55" s="4">
        <v>0</v>
      </c>
      <c r="T55" t="s">
        <v>31</v>
      </c>
      <c r="U55" s="4">
        <v>5.18</v>
      </c>
      <c r="V55" s="4">
        <v>2.9790000000000001</v>
      </c>
      <c r="W55" s="4">
        <v>51.84</v>
      </c>
    </row>
    <row r="56" spans="1:23" ht="15" customHeight="1" x14ac:dyDescent="0.25">
      <c r="A56">
        <v>10</v>
      </c>
      <c r="B56" s="1">
        <v>45666.333333333343</v>
      </c>
      <c r="C56">
        <v>8</v>
      </c>
      <c r="D56" t="s">
        <v>56</v>
      </c>
      <c r="E56">
        <v>1</v>
      </c>
      <c r="F56" t="s">
        <v>32</v>
      </c>
      <c r="G56" t="s">
        <v>33</v>
      </c>
      <c r="H56" t="s">
        <v>53</v>
      </c>
      <c r="I56" t="s">
        <v>19</v>
      </c>
      <c r="J56" t="s">
        <v>26</v>
      </c>
      <c r="K56" s="2">
        <v>12500</v>
      </c>
      <c r="L56" s="3">
        <v>0.9</v>
      </c>
      <c r="M56" s="3">
        <v>75</v>
      </c>
      <c r="N56" s="3">
        <v>0</v>
      </c>
      <c r="O56" s="2">
        <v>408</v>
      </c>
      <c r="P56">
        <v>1</v>
      </c>
      <c r="Q56" t="s">
        <v>17</v>
      </c>
      <c r="R56" s="4">
        <v>111.87</v>
      </c>
      <c r="S56" s="4">
        <v>0</v>
      </c>
      <c r="T56" t="s">
        <v>34</v>
      </c>
      <c r="U56" s="4">
        <v>18.149999999999999</v>
      </c>
      <c r="V56" s="4">
        <v>8.9499999999999993</v>
      </c>
      <c r="W56" s="4">
        <v>111.87</v>
      </c>
    </row>
    <row r="57" spans="1:23" ht="15" customHeight="1" x14ac:dyDescent="0.25">
      <c r="A57">
        <v>378</v>
      </c>
      <c r="B57" s="1">
        <v>45666.333333333343</v>
      </c>
      <c r="C57">
        <v>8</v>
      </c>
      <c r="D57" t="s">
        <v>56</v>
      </c>
      <c r="E57">
        <v>1</v>
      </c>
      <c r="F57" t="s">
        <v>32</v>
      </c>
      <c r="G57" t="s">
        <v>33</v>
      </c>
      <c r="H57" t="s">
        <v>54</v>
      </c>
      <c r="I57" t="s">
        <v>16</v>
      </c>
      <c r="J57" t="s">
        <v>24</v>
      </c>
      <c r="K57" s="2">
        <v>8600</v>
      </c>
      <c r="L57" s="3">
        <v>6.6</v>
      </c>
      <c r="M57" s="3">
        <v>99</v>
      </c>
      <c r="N57" s="3">
        <v>0</v>
      </c>
      <c r="O57" s="2">
        <v>827</v>
      </c>
      <c r="P57">
        <v>1</v>
      </c>
      <c r="Q57" t="s">
        <v>17</v>
      </c>
      <c r="R57" s="4">
        <v>133.11000000000001</v>
      </c>
      <c r="S57" s="4">
        <v>0</v>
      </c>
      <c r="T57" t="s">
        <v>34</v>
      </c>
      <c r="U57" s="4">
        <v>21.07</v>
      </c>
      <c r="V57" s="4">
        <v>15.478</v>
      </c>
      <c r="W57" s="4">
        <v>133.11000000000001</v>
      </c>
    </row>
    <row r="58" spans="1:23" ht="15" customHeight="1" x14ac:dyDescent="0.25">
      <c r="A58">
        <v>746</v>
      </c>
      <c r="B58" s="1">
        <v>45666.333333333343</v>
      </c>
      <c r="C58">
        <v>8</v>
      </c>
      <c r="D58" t="s">
        <v>56</v>
      </c>
      <c r="E58">
        <v>1</v>
      </c>
      <c r="F58" t="s">
        <v>32</v>
      </c>
      <c r="G58" t="s">
        <v>33</v>
      </c>
      <c r="H58" t="s">
        <v>50</v>
      </c>
      <c r="I58" t="s">
        <v>22</v>
      </c>
      <c r="J58" t="s">
        <v>12</v>
      </c>
      <c r="K58" s="2">
        <v>21000</v>
      </c>
      <c r="L58" s="3">
        <v>3.2</v>
      </c>
      <c r="M58" s="3">
        <v>65.900000000000006</v>
      </c>
      <c r="N58" s="3">
        <v>0</v>
      </c>
      <c r="O58" s="2">
        <v>424</v>
      </c>
      <c r="P58">
        <v>1</v>
      </c>
      <c r="Q58" t="s">
        <v>17</v>
      </c>
      <c r="R58" s="4">
        <v>303.23</v>
      </c>
      <c r="S58" s="4">
        <v>0</v>
      </c>
      <c r="T58" t="s">
        <v>34</v>
      </c>
      <c r="U58" s="4">
        <v>49.18</v>
      </c>
      <c r="V58" s="4">
        <v>14.44</v>
      </c>
      <c r="W58" s="4">
        <v>303.23</v>
      </c>
    </row>
    <row r="59" spans="1:23" ht="15" customHeight="1" x14ac:dyDescent="0.25">
      <c r="A59">
        <v>1850</v>
      </c>
      <c r="B59" s="1">
        <v>45666.333333333343</v>
      </c>
      <c r="C59">
        <v>8</v>
      </c>
      <c r="D59" t="s">
        <v>56</v>
      </c>
      <c r="E59">
        <v>1</v>
      </c>
      <c r="F59" t="s">
        <v>32</v>
      </c>
      <c r="G59" t="s">
        <v>33</v>
      </c>
      <c r="H59" t="s">
        <v>52</v>
      </c>
      <c r="I59" t="s">
        <v>13</v>
      </c>
      <c r="J59" t="s">
        <v>21</v>
      </c>
      <c r="K59" s="2">
        <v>9800</v>
      </c>
      <c r="L59" s="3">
        <v>11.4</v>
      </c>
      <c r="M59" s="3">
        <v>91.5</v>
      </c>
      <c r="N59" s="3">
        <v>0</v>
      </c>
      <c r="O59" s="2"/>
      <c r="P59">
        <v>1</v>
      </c>
      <c r="Q59" t="s">
        <v>17</v>
      </c>
      <c r="R59" s="4">
        <v>34.64</v>
      </c>
      <c r="S59" s="4">
        <v>0</v>
      </c>
      <c r="T59" t="s">
        <v>34</v>
      </c>
      <c r="U59" s="4">
        <v>5.47</v>
      </c>
      <c r="V59" s="4">
        <v>3.5350000000000001</v>
      </c>
      <c r="W59" s="4">
        <v>34.64</v>
      </c>
    </row>
    <row r="60" spans="1:23" ht="15" customHeight="1" x14ac:dyDescent="0.25">
      <c r="A60">
        <v>1482</v>
      </c>
      <c r="B60" s="1">
        <v>45666.333333333343</v>
      </c>
      <c r="C60">
        <v>8</v>
      </c>
      <c r="D60" t="s">
        <v>56</v>
      </c>
      <c r="E60">
        <v>1</v>
      </c>
      <c r="F60" t="s">
        <v>32</v>
      </c>
      <c r="G60" t="s">
        <v>33</v>
      </c>
      <c r="H60" t="s">
        <v>49</v>
      </c>
      <c r="I60" t="s">
        <v>27</v>
      </c>
      <c r="J60" t="s">
        <v>18</v>
      </c>
      <c r="K60" s="2">
        <v>26000</v>
      </c>
      <c r="L60" s="3">
        <v>4.2</v>
      </c>
      <c r="M60" s="3">
        <v>85.4</v>
      </c>
      <c r="N60" s="3">
        <v>0</v>
      </c>
      <c r="O60" s="2">
        <v>166</v>
      </c>
      <c r="P60">
        <v>1</v>
      </c>
      <c r="Q60" t="s">
        <v>17</v>
      </c>
      <c r="R60" s="4">
        <v>277.99</v>
      </c>
      <c r="S60" s="4">
        <v>0</v>
      </c>
      <c r="T60" t="s">
        <v>34</v>
      </c>
      <c r="U60" s="4">
        <v>45.87</v>
      </c>
      <c r="V60" s="4">
        <v>10.692</v>
      </c>
      <c r="W60" s="4">
        <v>277.99</v>
      </c>
    </row>
    <row r="61" spans="1:23" ht="15" customHeight="1" x14ac:dyDescent="0.25">
      <c r="A61">
        <v>1114</v>
      </c>
      <c r="B61" s="1">
        <v>45666.333333333343</v>
      </c>
      <c r="C61">
        <v>8</v>
      </c>
      <c r="D61" t="s">
        <v>56</v>
      </c>
      <c r="E61">
        <v>1</v>
      </c>
      <c r="F61" t="s">
        <v>32</v>
      </c>
      <c r="G61" t="s">
        <v>33</v>
      </c>
      <c r="H61" t="s">
        <v>51</v>
      </c>
      <c r="I61" t="s">
        <v>25</v>
      </c>
      <c r="J61" t="s">
        <v>15</v>
      </c>
      <c r="K61" s="2">
        <v>17400</v>
      </c>
      <c r="L61" s="3">
        <v>12.1</v>
      </c>
      <c r="M61" s="3">
        <v>87</v>
      </c>
      <c r="N61" s="3">
        <v>0</v>
      </c>
      <c r="O61" s="2">
        <v>0</v>
      </c>
      <c r="P61">
        <v>0</v>
      </c>
      <c r="Q61" t="s">
        <v>14</v>
      </c>
      <c r="R61" s="4">
        <v>44.34</v>
      </c>
      <c r="S61" s="4">
        <v>0</v>
      </c>
      <c r="T61" t="s">
        <v>34</v>
      </c>
      <c r="U61" s="4">
        <v>6.87</v>
      </c>
      <c r="V61" s="4">
        <v>2.548</v>
      </c>
      <c r="W61" s="4">
        <v>44.34</v>
      </c>
    </row>
    <row r="62" spans="1:23" ht="15" customHeight="1" x14ac:dyDescent="0.25">
      <c r="A62">
        <v>379</v>
      </c>
      <c r="B62" s="1">
        <v>45666.583333333343</v>
      </c>
      <c r="C62">
        <v>14</v>
      </c>
      <c r="D62" t="s">
        <v>56</v>
      </c>
      <c r="E62">
        <v>1</v>
      </c>
      <c r="F62" t="s">
        <v>32</v>
      </c>
      <c r="G62" t="s">
        <v>33</v>
      </c>
      <c r="H62" t="s">
        <v>54</v>
      </c>
      <c r="I62" t="s">
        <v>16</v>
      </c>
      <c r="J62" t="s">
        <v>24</v>
      </c>
      <c r="K62" s="2">
        <v>8600</v>
      </c>
      <c r="L62" s="3">
        <v>12.1</v>
      </c>
      <c r="M62" s="3">
        <v>99</v>
      </c>
      <c r="N62" s="3">
        <v>180.9</v>
      </c>
      <c r="O62" s="2">
        <v>747</v>
      </c>
      <c r="P62">
        <v>1</v>
      </c>
      <c r="Q62" t="s">
        <v>17</v>
      </c>
      <c r="R62" s="4">
        <v>82.62</v>
      </c>
      <c r="S62" s="4">
        <v>12.61</v>
      </c>
      <c r="T62" t="s">
        <v>34</v>
      </c>
      <c r="U62" s="4">
        <v>11.15</v>
      </c>
      <c r="V62" s="4">
        <v>9.6069999999999993</v>
      </c>
      <c r="W62" s="4">
        <v>70.010000000000005</v>
      </c>
    </row>
    <row r="63" spans="1:23" ht="15" customHeight="1" x14ac:dyDescent="0.25">
      <c r="A63">
        <v>11</v>
      </c>
      <c r="B63" s="1">
        <v>45666.583333333343</v>
      </c>
      <c r="C63">
        <v>14</v>
      </c>
      <c r="D63" t="s">
        <v>56</v>
      </c>
      <c r="E63">
        <v>1</v>
      </c>
      <c r="F63" t="s">
        <v>32</v>
      </c>
      <c r="G63" t="s">
        <v>33</v>
      </c>
      <c r="H63" t="s">
        <v>53</v>
      </c>
      <c r="I63" t="s">
        <v>19</v>
      </c>
      <c r="J63" t="s">
        <v>26</v>
      </c>
      <c r="K63" s="2">
        <v>12500</v>
      </c>
      <c r="L63" s="3">
        <v>13.2</v>
      </c>
      <c r="M63" s="3">
        <v>58.9</v>
      </c>
      <c r="N63" s="3">
        <v>332.4</v>
      </c>
      <c r="O63" s="2">
        <v>539</v>
      </c>
      <c r="P63">
        <v>1</v>
      </c>
      <c r="Q63" t="s">
        <v>17</v>
      </c>
      <c r="R63" s="4">
        <v>109.16</v>
      </c>
      <c r="S63" s="4">
        <v>48.02</v>
      </c>
      <c r="T63" t="s">
        <v>34</v>
      </c>
      <c r="U63" s="4">
        <v>10.029999999999999</v>
      </c>
      <c r="V63" s="4">
        <v>8.7330000000000005</v>
      </c>
      <c r="W63" s="4">
        <v>61.14</v>
      </c>
    </row>
    <row r="64" spans="1:23" ht="15" customHeight="1" x14ac:dyDescent="0.25">
      <c r="A64">
        <v>747</v>
      </c>
      <c r="B64" s="1">
        <v>45666.583333333343</v>
      </c>
      <c r="C64">
        <v>14</v>
      </c>
      <c r="D64" t="s">
        <v>56</v>
      </c>
      <c r="E64">
        <v>1</v>
      </c>
      <c r="F64" t="s">
        <v>32</v>
      </c>
      <c r="G64" t="s">
        <v>33</v>
      </c>
      <c r="H64" t="s">
        <v>50</v>
      </c>
      <c r="I64" t="s">
        <v>22</v>
      </c>
      <c r="J64" t="s">
        <v>12</v>
      </c>
      <c r="K64" s="2">
        <v>21000</v>
      </c>
      <c r="L64" s="3">
        <v>16.7</v>
      </c>
      <c r="M64" s="3">
        <v>70.3</v>
      </c>
      <c r="N64" s="3">
        <v>346.1</v>
      </c>
      <c r="O64" s="2">
        <v>380</v>
      </c>
      <c r="P64">
        <v>0</v>
      </c>
      <c r="Q64" t="s">
        <v>14</v>
      </c>
      <c r="R64" s="4">
        <v>190.53</v>
      </c>
      <c r="S64" s="4">
        <v>69.23</v>
      </c>
      <c r="T64" t="s">
        <v>34</v>
      </c>
      <c r="U64" s="4">
        <v>19.61</v>
      </c>
      <c r="V64" s="4">
        <v>9.0730000000000004</v>
      </c>
      <c r="W64" s="4">
        <v>121.3</v>
      </c>
    </row>
    <row r="65" spans="1:23" ht="15" customHeight="1" x14ac:dyDescent="0.25">
      <c r="A65">
        <v>1483</v>
      </c>
      <c r="B65" s="1">
        <v>45666.583333333343</v>
      </c>
      <c r="C65">
        <v>14</v>
      </c>
      <c r="D65" t="s">
        <v>56</v>
      </c>
      <c r="E65">
        <v>1</v>
      </c>
      <c r="F65" t="s">
        <v>32</v>
      </c>
      <c r="G65" t="s">
        <v>33</v>
      </c>
      <c r="H65" t="s">
        <v>49</v>
      </c>
      <c r="I65" t="s">
        <v>27</v>
      </c>
      <c r="J65" t="s">
        <v>18</v>
      </c>
      <c r="K65" s="2">
        <v>26000</v>
      </c>
      <c r="L65" s="3">
        <v>10.5</v>
      </c>
      <c r="M65" s="3">
        <v>77.5</v>
      </c>
      <c r="N65" s="3">
        <v>341</v>
      </c>
      <c r="O65" s="2">
        <v>182</v>
      </c>
      <c r="P65">
        <v>1</v>
      </c>
      <c r="Q65" t="s">
        <v>17</v>
      </c>
      <c r="R65" s="4">
        <v>155.38</v>
      </c>
      <c r="S65" s="4">
        <v>92.12</v>
      </c>
      <c r="T65" t="s">
        <v>34</v>
      </c>
      <c r="U65" s="4">
        <v>10.08</v>
      </c>
      <c r="V65" s="4">
        <v>5.976</v>
      </c>
      <c r="W65" s="4">
        <v>63.26</v>
      </c>
    </row>
    <row r="66" spans="1:23" ht="15" customHeight="1" x14ac:dyDescent="0.25">
      <c r="A66">
        <v>1851</v>
      </c>
      <c r="B66" s="1">
        <v>45666.583333333343</v>
      </c>
      <c r="C66">
        <v>14</v>
      </c>
      <c r="D66" t="s">
        <v>56</v>
      </c>
      <c r="E66">
        <v>1</v>
      </c>
      <c r="F66" t="s">
        <v>32</v>
      </c>
      <c r="G66" t="s">
        <v>33</v>
      </c>
      <c r="H66" t="s">
        <v>52</v>
      </c>
      <c r="I66" t="s">
        <v>13</v>
      </c>
      <c r="J66" t="s">
        <v>21</v>
      </c>
      <c r="K66" s="2">
        <v>9800</v>
      </c>
      <c r="L66" s="3">
        <v>14.7</v>
      </c>
      <c r="M66" s="3">
        <v>85.3</v>
      </c>
      <c r="N66" s="3">
        <v>397.7</v>
      </c>
      <c r="O66" s="2">
        <v>63</v>
      </c>
      <c r="P66">
        <v>1</v>
      </c>
      <c r="Q66" t="s">
        <v>23</v>
      </c>
      <c r="R66" s="4"/>
      <c r="S66" s="4">
        <v>0</v>
      </c>
      <c r="T66" t="s">
        <v>34</v>
      </c>
      <c r="U66" s="4">
        <v>2.88</v>
      </c>
      <c r="V66" s="4"/>
      <c r="W66" s="4"/>
    </row>
    <row r="67" spans="1:23" ht="15" customHeight="1" x14ac:dyDescent="0.25">
      <c r="A67">
        <v>1115</v>
      </c>
      <c r="B67" s="1">
        <v>45666.583333333343</v>
      </c>
      <c r="C67">
        <v>14</v>
      </c>
      <c r="D67" t="s">
        <v>56</v>
      </c>
      <c r="E67">
        <v>1</v>
      </c>
      <c r="F67" t="s">
        <v>32</v>
      </c>
      <c r="G67" t="s">
        <v>33</v>
      </c>
      <c r="H67" t="s">
        <v>51</v>
      </c>
      <c r="I67" t="s">
        <v>25</v>
      </c>
      <c r="J67" t="s">
        <v>15</v>
      </c>
      <c r="K67" s="2">
        <v>17400</v>
      </c>
      <c r="L67" s="3">
        <v>18.399999999999999</v>
      </c>
      <c r="M67" s="3">
        <v>77.7</v>
      </c>
      <c r="N67" s="3">
        <v>327.3</v>
      </c>
      <c r="O67" s="2">
        <v>1277</v>
      </c>
      <c r="P67">
        <v>0</v>
      </c>
      <c r="Q67" t="s">
        <v>14</v>
      </c>
      <c r="R67" s="4">
        <v>197.4</v>
      </c>
      <c r="S67" s="4">
        <v>42.48</v>
      </c>
      <c r="T67" t="s">
        <v>34</v>
      </c>
      <c r="U67" s="4">
        <v>24.48</v>
      </c>
      <c r="V67" s="4">
        <v>11.345000000000001</v>
      </c>
      <c r="W67" s="4">
        <v>154.91999999999999</v>
      </c>
    </row>
    <row r="68" spans="1:23" ht="15" customHeight="1" x14ac:dyDescent="0.25">
      <c r="A68">
        <v>380</v>
      </c>
      <c r="B68" s="1">
        <v>45666.833333333343</v>
      </c>
      <c r="C68">
        <v>20</v>
      </c>
      <c r="D68" t="s">
        <v>56</v>
      </c>
      <c r="E68">
        <v>1</v>
      </c>
      <c r="F68" t="s">
        <v>32</v>
      </c>
      <c r="G68" t="s">
        <v>33</v>
      </c>
      <c r="H68" t="s">
        <v>54</v>
      </c>
      <c r="I68" t="s">
        <v>16</v>
      </c>
      <c r="J68" t="s">
        <v>24</v>
      </c>
      <c r="K68" s="2">
        <v>8600</v>
      </c>
      <c r="L68" s="3">
        <v>6.1</v>
      </c>
      <c r="M68" s="3">
        <v>99</v>
      </c>
      <c r="N68" s="3">
        <v>0</v>
      </c>
      <c r="O68" s="2">
        <v>58</v>
      </c>
      <c r="P68">
        <v>1</v>
      </c>
      <c r="Q68" t="s">
        <v>17</v>
      </c>
      <c r="R68" s="4">
        <v>27.81</v>
      </c>
      <c r="S68" s="4">
        <v>0</v>
      </c>
      <c r="T68" t="s">
        <v>37</v>
      </c>
      <c r="U68" s="4">
        <v>7</v>
      </c>
      <c r="V68" s="4">
        <v>3.234</v>
      </c>
      <c r="W68" s="4">
        <v>27.81</v>
      </c>
    </row>
    <row r="69" spans="1:23" ht="15" customHeight="1" x14ac:dyDescent="0.25">
      <c r="A69">
        <v>1484</v>
      </c>
      <c r="B69" s="1">
        <v>45666.833333333343</v>
      </c>
      <c r="C69">
        <v>20</v>
      </c>
      <c r="D69" t="s">
        <v>56</v>
      </c>
      <c r="E69">
        <v>1</v>
      </c>
      <c r="F69" t="s">
        <v>32</v>
      </c>
      <c r="G69" t="s">
        <v>33</v>
      </c>
      <c r="H69" t="s">
        <v>49</v>
      </c>
      <c r="I69" t="s">
        <v>27</v>
      </c>
      <c r="J69" t="s">
        <v>18</v>
      </c>
      <c r="K69" s="2">
        <v>26000</v>
      </c>
      <c r="L69" s="3">
        <v>7.2</v>
      </c>
      <c r="M69" s="3">
        <v>75.599999999999994</v>
      </c>
      <c r="N69" s="3">
        <v>0</v>
      </c>
      <c r="O69" s="2">
        <v>165</v>
      </c>
      <c r="P69">
        <v>1</v>
      </c>
      <c r="Q69" t="s">
        <v>17</v>
      </c>
      <c r="R69" s="4">
        <v>272.64</v>
      </c>
      <c r="S69" s="4">
        <v>0</v>
      </c>
      <c r="T69" t="s">
        <v>37</v>
      </c>
      <c r="U69" s="4">
        <v>65.709999999999994</v>
      </c>
      <c r="V69" s="4">
        <v>10.486000000000001</v>
      </c>
      <c r="W69" s="4">
        <v>272.64</v>
      </c>
    </row>
    <row r="70" spans="1:23" ht="15" customHeight="1" x14ac:dyDescent="0.25">
      <c r="A70">
        <v>12</v>
      </c>
      <c r="B70" s="1">
        <v>45666.833333333343</v>
      </c>
      <c r="C70">
        <v>20</v>
      </c>
      <c r="D70" t="s">
        <v>56</v>
      </c>
      <c r="E70">
        <v>1</v>
      </c>
      <c r="F70" t="s">
        <v>32</v>
      </c>
      <c r="G70" t="s">
        <v>33</v>
      </c>
      <c r="H70" t="s">
        <v>53</v>
      </c>
      <c r="I70" t="s">
        <v>19</v>
      </c>
      <c r="J70" t="s">
        <v>26</v>
      </c>
      <c r="K70" s="2">
        <v>12500</v>
      </c>
      <c r="L70" s="3"/>
      <c r="M70" s="3">
        <v>84.8</v>
      </c>
      <c r="N70" s="3">
        <v>0</v>
      </c>
      <c r="O70" s="2">
        <v>64</v>
      </c>
      <c r="P70">
        <v>1</v>
      </c>
      <c r="Q70" t="s">
        <v>17</v>
      </c>
      <c r="R70" s="4">
        <v>244.14</v>
      </c>
      <c r="S70" s="4">
        <v>0</v>
      </c>
      <c r="T70" t="s">
        <v>37</v>
      </c>
      <c r="U70" s="4">
        <v>11.39</v>
      </c>
      <c r="V70" s="4">
        <v>19.530999999999999</v>
      </c>
      <c r="W70" s="4">
        <v>244.14</v>
      </c>
    </row>
    <row r="71" spans="1:23" ht="15" customHeight="1" x14ac:dyDescent="0.25">
      <c r="A71">
        <v>1116</v>
      </c>
      <c r="B71" s="1">
        <v>45666.833333333343</v>
      </c>
      <c r="C71">
        <v>20</v>
      </c>
      <c r="D71" t="s">
        <v>56</v>
      </c>
      <c r="E71">
        <v>1</v>
      </c>
      <c r="F71" t="s">
        <v>32</v>
      </c>
      <c r="G71" t="s">
        <v>33</v>
      </c>
      <c r="H71" t="s">
        <v>51</v>
      </c>
      <c r="I71" t="s">
        <v>25</v>
      </c>
      <c r="J71" t="s">
        <v>15</v>
      </c>
      <c r="K71" s="2">
        <v>17400</v>
      </c>
      <c r="L71" s="3">
        <v>10.199999999999999</v>
      </c>
      <c r="M71" s="3">
        <v>81.2</v>
      </c>
      <c r="N71" s="3">
        <v>0</v>
      </c>
      <c r="O71" s="2">
        <v>1366</v>
      </c>
      <c r="P71">
        <v>1</v>
      </c>
      <c r="Q71" t="s">
        <v>17</v>
      </c>
      <c r="R71" s="4">
        <v>269.24</v>
      </c>
      <c r="S71" s="4">
        <v>0</v>
      </c>
      <c r="T71" t="s">
        <v>37</v>
      </c>
      <c r="U71" s="4">
        <v>66.209999999999994</v>
      </c>
      <c r="V71" s="4">
        <v>15.474</v>
      </c>
      <c r="W71" s="4">
        <v>269.24</v>
      </c>
    </row>
    <row r="72" spans="1:23" ht="15" customHeight="1" x14ac:dyDescent="0.25">
      <c r="A72">
        <v>748</v>
      </c>
      <c r="B72" s="1">
        <v>45666.833333333343</v>
      </c>
      <c r="C72">
        <v>20</v>
      </c>
      <c r="D72" t="s">
        <v>56</v>
      </c>
      <c r="E72">
        <v>1</v>
      </c>
      <c r="F72" t="s">
        <v>32</v>
      </c>
      <c r="G72" t="s">
        <v>33</v>
      </c>
      <c r="H72" t="s">
        <v>50</v>
      </c>
      <c r="I72" t="s">
        <v>22</v>
      </c>
      <c r="J72" t="s">
        <v>12</v>
      </c>
      <c r="K72" s="2">
        <v>21000</v>
      </c>
      <c r="L72" s="3">
        <v>10.8</v>
      </c>
      <c r="M72" s="3">
        <v>71.599999999999994</v>
      </c>
      <c r="N72" s="3">
        <v>0</v>
      </c>
      <c r="O72" s="2">
        <v>382</v>
      </c>
      <c r="P72">
        <v>1</v>
      </c>
      <c r="Q72" t="s">
        <v>17</v>
      </c>
      <c r="R72" s="4">
        <v>272.86</v>
      </c>
      <c r="S72" s="4">
        <v>0</v>
      </c>
      <c r="T72" t="s">
        <v>37</v>
      </c>
      <c r="U72" s="4">
        <v>67.510000000000005</v>
      </c>
      <c r="V72" s="4">
        <v>12.993</v>
      </c>
      <c r="W72" s="4">
        <v>272.86</v>
      </c>
    </row>
    <row r="73" spans="1:23" ht="15" customHeight="1" x14ac:dyDescent="0.25">
      <c r="A73">
        <v>1852</v>
      </c>
      <c r="B73" s="1">
        <v>45666.833333333343</v>
      </c>
      <c r="C73">
        <v>20</v>
      </c>
      <c r="D73" t="s">
        <v>56</v>
      </c>
      <c r="E73">
        <v>1</v>
      </c>
      <c r="F73" t="s">
        <v>32</v>
      </c>
      <c r="G73" t="s">
        <v>33</v>
      </c>
      <c r="H73" t="s">
        <v>52</v>
      </c>
      <c r="I73" t="s">
        <v>13</v>
      </c>
      <c r="J73" t="s">
        <v>21</v>
      </c>
      <c r="K73" s="2">
        <v>9800</v>
      </c>
      <c r="L73" s="3">
        <v>8.9</v>
      </c>
      <c r="M73" s="3">
        <v>90.2</v>
      </c>
      <c r="N73" s="3">
        <v>0</v>
      </c>
      <c r="O73" s="2">
        <v>312</v>
      </c>
      <c r="P73">
        <v>1</v>
      </c>
      <c r="Q73" t="s">
        <v>17</v>
      </c>
      <c r="R73" s="4">
        <v>96.76</v>
      </c>
      <c r="S73" s="4">
        <v>0</v>
      </c>
      <c r="T73" t="s">
        <v>37</v>
      </c>
      <c r="U73" s="4">
        <v>23.53</v>
      </c>
      <c r="V73" s="4">
        <v>9.8729999999999993</v>
      </c>
      <c r="W73" s="4">
        <v>96.76</v>
      </c>
    </row>
    <row r="74" spans="1:23" ht="15" customHeight="1" x14ac:dyDescent="0.25">
      <c r="A74">
        <v>1853</v>
      </c>
      <c r="B74" s="1">
        <v>45670</v>
      </c>
      <c r="C74">
        <v>0</v>
      </c>
      <c r="D74" t="s">
        <v>57</v>
      </c>
      <c r="E74">
        <v>1</v>
      </c>
      <c r="F74" t="s">
        <v>32</v>
      </c>
      <c r="G74" t="s">
        <v>33</v>
      </c>
      <c r="H74" t="s">
        <v>52</v>
      </c>
      <c r="I74" t="s">
        <v>13</v>
      </c>
      <c r="J74" t="s">
        <v>21</v>
      </c>
      <c r="K74" s="2">
        <v>9800</v>
      </c>
      <c r="L74" s="3">
        <v>6.8</v>
      </c>
      <c r="M74" s="3">
        <v>98.3</v>
      </c>
      <c r="N74" s="3"/>
      <c r="O74" s="2">
        <v>330</v>
      </c>
      <c r="P74">
        <v>1</v>
      </c>
      <c r="Q74" t="s">
        <v>17</v>
      </c>
      <c r="R74" s="4">
        <v>100.33</v>
      </c>
      <c r="S74" s="4">
        <v>0</v>
      </c>
      <c r="T74" t="s">
        <v>31</v>
      </c>
      <c r="U74" s="4">
        <v>9.98</v>
      </c>
      <c r="V74" s="4">
        <v>10.238</v>
      </c>
      <c r="W74" s="4">
        <v>100.33</v>
      </c>
    </row>
    <row r="75" spans="1:23" ht="15" customHeight="1" x14ac:dyDescent="0.25">
      <c r="A75">
        <v>13</v>
      </c>
      <c r="B75" s="1">
        <v>45670</v>
      </c>
      <c r="C75">
        <v>0</v>
      </c>
      <c r="D75" t="s">
        <v>57</v>
      </c>
      <c r="E75">
        <v>1</v>
      </c>
      <c r="F75" t="s">
        <v>32</v>
      </c>
      <c r="G75" t="s">
        <v>33</v>
      </c>
      <c r="H75" t="s">
        <v>53</v>
      </c>
      <c r="I75" t="s">
        <v>19</v>
      </c>
      <c r="J75" t="s">
        <v>26</v>
      </c>
      <c r="K75" s="2">
        <v>12500</v>
      </c>
      <c r="L75" s="3">
        <v>0.5</v>
      </c>
      <c r="M75" s="3">
        <v>78.8</v>
      </c>
      <c r="N75" s="3">
        <v>0</v>
      </c>
      <c r="O75" s="2">
        <v>0</v>
      </c>
      <c r="P75">
        <v>0</v>
      </c>
      <c r="Q75" t="s">
        <v>14</v>
      </c>
      <c r="R75" s="4">
        <v>24.54</v>
      </c>
      <c r="S75" s="4">
        <v>0</v>
      </c>
      <c r="T75" t="s">
        <v>31</v>
      </c>
      <c r="U75" s="4">
        <v>2.4300000000000002</v>
      </c>
      <c r="V75" s="4">
        <v>1.9630000000000001</v>
      </c>
      <c r="W75" s="4">
        <v>24.54</v>
      </c>
    </row>
    <row r="76" spans="1:23" ht="15" customHeight="1" x14ac:dyDescent="0.25">
      <c r="A76">
        <v>1117</v>
      </c>
      <c r="B76" s="1">
        <v>45670</v>
      </c>
      <c r="C76">
        <v>0</v>
      </c>
      <c r="D76" t="s">
        <v>57</v>
      </c>
      <c r="E76">
        <v>1</v>
      </c>
      <c r="F76" t="s">
        <v>32</v>
      </c>
      <c r="G76" t="s">
        <v>33</v>
      </c>
      <c r="H76" t="s">
        <v>51</v>
      </c>
      <c r="I76" t="s">
        <v>25</v>
      </c>
      <c r="J76" t="s">
        <v>15</v>
      </c>
      <c r="K76" s="2">
        <v>17400</v>
      </c>
      <c r="L76" s="3">
        <v>8.6</v>
      </c>
      <c r="M76" s="3">
        <v>88.8</v>
      </c>
      <c r="N76" s="3">
        <v>0</v>
      </c>
      <c r="O76" s="2">
        <v>10</v>
      </c>
      <c r="P76">
        <v>0</v>
      </c>
      <c r="Q76" t="s">
        <v>14</v>
      </c>
      <c r="R76" s="4">
        <v>47.39</v>
      </c>
      <c r="S76" s="4">
        <v>0</v>
      </c>
      <c r="T76" t="s">
        <v>31</v>
      </c>
      <c r="U76" s="4">
        <v>4.67</v>
      </c>
      <c r="V76" s="4">
        <v>2.7240000000000002</v>
      </c>
      <c r="W76" s="4">
        <v>47.39</v>
      </c>
    </row>
    <row r="77" spans="1:23" ht="15" customHeight="1" x14ac:dyDescent="0.25">
      <c r="A77">
        <v>749</v>
      </c>
      <c r="B77" s="1">
        <v>45670</v>
      </c>
      <c r="C77">
        <v>0</v>
      </c>
      <c r="D77" t="s">
        <v>57</v>
      </c>
      <c r="E77">
        <v>1</v>
      </c>
      <c r="F77" t="s">
        <v>32</v>
      </c>
      <c r="G77" t="s">
        <v>33</v>
      </c>
      <c r="H77" t="s">
        <v>50</v>
      </c>
      <c r="I77" t="s">
        <v>22</v>
      </c>
      <c r="J77" t="s">
        <v>12</v>
      </c>
      <c r="K77" s="2">
        <v>21000</v>
      </c>
      <c r="L77" s="3">
        <v>3.8</v>
      </c>
      <c r="M77" s="3">
        <v>74.400000000000006</v>
      </c>
      <c r="N77" s="3">
        <v>0</v>
      </c>
      <c r="O77" s="2">
        <v>223</v>
      </c>
      <c r="P77">
        <v>1</v>
      </c>
      <c r="Q77" t="s">
        <v>17</v>
      </c>
      <c r="R77" s="4">
        <v>204.83</v>
      </c>
      <c r="S77" s="4">
        <v>0</v>
      </c>
      <c r="T77" t="s">
        <v>31</v>
      </c>
      <c r="U77" s="4">
        <v>20.09</v>
      </c>
      <c r="V77" s="4">
        <v>9.7539999999999996</v>
      </c>
      <c r="W77" s="4">
        <v>204.83</v>
      </c>
    </row>
    <row r="78" spans="1:23" ht="15" customHeight="1" x14ac:dyDescent="0.25">
      <c r="A78">
        <v>381</v>
      </c>
      <c r="B78" s="1">
        <v>45670</v>
      </c>
      <c r="C78">
        <v>0</v>
      </c>
      <c r="D78" t="s">
        <v>57</v>
      </c>
      <c r="E78">
        <v>1</v>
      </c>
      <c r="F78" t="s">
        <v>32</v>
      </c>
      <c r="G78" t="s">
        <v>33</v>
      </c>
      <c r="H78" t="s">
        <v>54</v>
      </c>
      <c r="I78" t="s">
        <v>16</v>
      </c>
      <c r="J78" t="s">
        <v>24</v>
      </c>
      <c r="K78" s="2">
        <v>8600</v>
      </c>
      <c r="L78" s="3">
        <v>3.5</v>
      </c>
      <c r="M78" s="3">
        <v>95.8</v>
      </c>
      <c r="N78" s="3">
        <v>0</v>
      </c>
      <c r="O78" s="2">
        <v>8</v>
      </c>
      <c r="P78">
        <v>1</v>
      </c>
      <c r="Q78" t="s">
        <v>17</v>
      </c>
      <c r="R78" s="4">
        <v>25.58</v>
      </c>
      <c r="S78" s="4">
        <v>0</v>
      </c>
      <c r="T78" t="s">
        <v>31</v>
      </c>
      <c r="U78" s="4">
        <v>2.57</v>
      </c>
      <c r="V78" s="4">
        <v>2.9740000000000002</v>
      </c>
      <c r="W78" s="4">
        <v>25.58</v>
      </c>
    </row>
    <row r="79" spans="1:23" ht="15" customHeight="1" x14ac:dyDescent="0.25">
      <c r="A79">
        <v>1485</v>
      </c>
      <c r="B79" s="1">
        <v>45670</v>
      </c>
      <c r="C79">
        <v>0</v>
      </c>
      <c r="D79" t="s">
        <v>57</v>
      </c>
      <c r="E79">
        <v>1</v>
      </c>
      <c r="F79" t="s">
        <v>32</v>
      </c>
      <c r="G79" t="s">
        <v>33</v>
      </c>
      <c r="H79" t="s">
        <v>49</v>
      </c>
      <c r="I79" t="s">
        <v>27</v>
      </c>
      <c r="J79" t="s">
        <v>18</v>
      </c>
      <c r="K79" s="2">
        <v>26000</v>
      </c>
      <c r="L79" s="3">
        <v>2.8</v>
      </c>
      <c r="M79" s="3">
        <v>85.4</v>
      </c>
      <c r="N79" s="3">
        <v>0</v>
      </c>
      <c r="O79" s="2">
        <v>69</v>
      </c>
      <c r="P79">
        <v>1</v>
      </c>
      <c r="Q79" t="s">
        <v>17</v>
      </c>
      <c r="R79" s="4">
        <v>135.59</v>
      </c>
      <c r="S79" s="4">
        <v>0</v>
      </c>
      <c r="T79" t="s">
        <v>31</v>
      </c>
      <c r="U79" s="4">
        <v>12.88</v>
      </c>
      <c r="V79" s="4">
        <v>5.2149999999999999</v>
      </c>
      <c r="W79" s="4">
        <v>135.59</v>
      </c>
    </row>
    <row r="80" spans="1:23" ht="15" customHeight="1" x14ac:dyDescent="0.25">
      <c r="A80">
        <v>1118</v>
      </c>
      <c r="B80" s="1">
        <v>45670.333333333343</v>
      </c>
      <c r="C80">
        <v>8</v>
      </c>
      <c r="D80" t="s">
        <v>57</v>
      </c>
      <c r="E80">
        <v>1</v>
      </c>
      <c r="F80" t="s">
        <v>32</v>
      </c>
      <c r="G80" t="s">
        <v>33</v>
      </c>
      <c r="H80" t="s">
        <v>51</v>
      </c>
      <c r="I80" t="s">
        <v>25</v>
      </c>
      <c r="J80" t="s">
        <v>15</v>
      </c>
      <c r="K80" s="2">
        <v>17400</v>
      </c>
      <c r="L80" s="3">
        <v>10.4</v>
      </c>
      <c r="M80" s="3">
        <v>89.9</v>
      </c>
      <c r="N80" s="3">
        <v>0</v>
      </c>
      <c r="O80" s="2">
        <v>93</v>
      </c>
      <c r="P80">
        <v>0</v>
      </c>
      <c r="Q80" t="s">
        <v>14</v>
      </c>
      <c r="R80" s="4">
        <v>54.08</v>
      </c>
      <c r="S80" s="4">
        <v>0</v>
      </c>
      <c r="T80" t="s">
        <v>34</v>
      </c>
      <c r="U80" s="4">
        <v>8.34</v>
      </c>
      <c r="V80" s="4">
        <v>3.1080000000000001</v>
      </c>
      <c r="W80" s="4">
        <v>54.08</v>
      </c>
    </row>
    <row r="81" spans="1:23" ht="15" customHeight="1" x14ac:dyDescent="0.25">
      <c r="A81">
        <v>1486</v>
      </c>
      <c r="B81" s="1">
        <v>45670.333333333343</v>
      </c>
      <c r="C81">
        <v>8</v>
      </c>
      <c r="D81" t="s">
        <v>57</v>
      </c>
      <c r="E81">
        <v>1</v>
      </c>
      <c r="F81" t="s">
        <v>32</v>
      </c>
      <c r="G81" t="s">
        <v>33</v>
      </c>
      <c r="H81" t="s">
        <v>49</v>
      </c>
      <c r="I81" t="s">
        <v>27</v>
      </c>
      <c r="J81" t="s">
        <v>18</v>
      </c>
      <c r="K81" s="2">
        <v>26000</v>
      </c>
      <c r="L81" s="3">
        <v>2.2000000000000002</v>
      </c>
      <c r="M81" s="3">
        <v>88</v>
      </c>
      <c r="N81" s="3">
        <v>0</v>
      </c>
      <c r="O81" s="2">
        <v>155</v>
      </c>
      <c r="P81">
        <v>1</v>
      </c>
      <c r="Q81" t="s">
        <v>17</v>
      </c>
      <c r="R81" s="4">
        <v>259.14</v>
      </c>
      <c r="S81" s="4">
        <v>0</v>
      </c>
      <c r="T81" t="s">
        <v>34</v>
      </c>
      <c r="U81" s="4">
        <v>42.42</v>
      </c>
      <c r="V81" s="4">
        <v>9.9670000000000005</v>
      </c>
      <c r="W81" s="4">
        <v>259.14</v>
      </c>
    </row>
    <row r="82" spans="1:23" ht="15" customHeight="1" x14ac:dyDescent="0.25">
      <c r="A82">
        <v>382</v>
      </c>
      <c r="B82" s="1">
        <v>45670.333333333343</v>
      </c>
      <c r="C82">
        <v>8</v>
      </c>
      <c r="D82" t="s">
        <v>57</v>
      </c>
      <c r="E82">
        <v>1</v>
      </c>
      <c r="F82" t="s">
        <v>32</v>
      </c>
      <c r="G82" t="s">
        <v>33</v>
      </c>
      <c r="H82" t="s">
        <v>54</v>
      </c>
      <c r="I82" t="s">
        <v>16</v>
      </c>
      <c r="J82" t="s">
        <v>24</v>
      </c>
      <c r="K82" s="2">
        <v>8600</v>
      </c>
      <c r="L82" s="3">
        <v>6.7</v>
      </c>
      <c r="M82" s="3"/>
      <c r="N82" s="3">
        <v>0</v>
      </c>
      <c r="O82" s="2">
        <v>913</v>
      </c>
      <c r="P82">
        <v>1</v>
      </c>
      <c r="Q82" t="s">
        <v>17</v>
      </c>
      <c r="R82" s="4">
        <v>123.48</v>
      </c>
      <c r="S82" s="4">
        <v>0</v>
      </c>
      <c r="T82" t="s">
        <v>34</v>
      </c>
      <c r="U82" s="4">
        <v>19.25</v>
      </c>
      <c r="V82" s="4">
        <v>14.358000000000001</v>
      </c>
      <c r="W82" s="4">
        <v>123.48</v>
      </c>
    </row>
    <row r="83" spans="1:23" ht="15" customHeight="1" x14ac:dyDescent="0.25">
      <c r="A83">
        <v>14</v>
      </c>
      <c r="B83" s="1">
        <v>45670.333333333343</v>
      </c>
      <c r="C83">
        <v>8</v>
      </c>
      <c r="D83" t="s">
        <v>57</v>
      </c>
      <c r="E83">
        <v>1</v>
      </c>
      <c r="F83" t="s">
        <v>32</v>
      </c>
      <c r="G83" t="s">
        <v>33</v>
      </c>
      <c r="H83" t="s">
        <v>53</v>
      </c>
      <c r="I83" t="s">
        <v>19</v>
      </c>
      <c r="J83" t="s">
        <v>26</v>
      </c>
      <c r="K83" s="2">
        <v>12500</v>
      </c>
      <c r="L83" s="3">
        <v>4.4000000000000004</v>
      </c>
      <c r="M83" s="3">
        <v>79.099999999999994</v>
      </c>
      <c r="N83" s="3">
        <v>0</v>
      </c>
      <c r="O83" s="2">
        <v>308</v>
      </c>
      <c r="P83">
        <v>1</v>
      </c>
      <c r="Q83" t="s">
        <v>17</v>
      </c>
      <c r="R83" s="4">
        <v>111.57</v>
      </c>
      <c r="S83" s="4">
        <v>0</v>
      </c>
      <c r="T83" t="s">
        <v>34</v>
      </c>
      <c r="U83" s="4">
        <v>17.93</v>
      </c>
      <c r="V83" s="4">
        <v>8.9260000000000002</v>
      </c>
      <c r="W83" s="4">
        <v>111.57</v>
      </c>
    </row>
    <row r="84" spans="1:23" ht="15" customHeight="1" x14ac:dyDescent="0.25">
      <c r="A84">
        <v>750</v>
      </c>
      <c r="B84" s="1">
        <v>45670.333333333343</v>
      </c>
      <c r="C84">
        <v>8</v>
      </c>
      <c r="D84" t="s">
        <v>57</v>
      </c>
      <c r="E84">
        <v>1</v>
      </c>
      <c r="F84" t="s">
        <v>32</v>
      </c>
      <c r="G84" t="s">
        <v>33</v>
      </c>
      <c r="H84" t="s">
        <v>50</v>
      </c>
      <c r="I84" t="s">
        <v>22</v>
      </c>
      <c r="J84" t="s">
        <v>12</v>
      </c>
      <c r="K84" s="2">
        <v>21000</v>
      </c>
      <c r="L84" s="3">
        <v>7.6</v>
      </c>
      <c r="M84" s="3">
        <v>71.599999999999994</v>
      </c>
      <c r="N84" s="3">
        <v>0</v>
      </c>
      <c r="O84" s="2">
        <v>385</v>
      </c>
      <c r="P84">
        <v>1</v>
      </c>
      <c r="Q84" t="s">
        <v>17</v>
      </c>
      <c r="R84" s="4">
        <v>289.06</v>
      </c>
      <c r="S84" s="4">
        <v>0</v>
      </c>
      <c r="T84" t="s">
        <v>34</v>
      </c>
      <c r="U84" s="4">
        <v>46.02</v>
      </c>
      <c r="V84" s="4">
        <v>13.765000000000001</v>
      </c>
      <c r="W84" s="4">
        <v>289.06</v>
      </c>
    </row>
    <row r="85" spans="1:23" ht="15" customHeight="1" x14ac:dyDescent="0.25">
      <c r="A85">
        <v>1854</v>
      </c>
      <c r="B85" s="1">
        <v>45670.333333333343</v>
      </c>
      <c r="C85">
        <v>8</v>
      </c>
      <c r="D85" t="s">
        <v>57</v>
      </c>
      <c r="E85">
        <v>1</v>
      </c>
      <c r="F85" t="s">
        <v>32</v>
      </c>
      <c r="G85" t="s">
        <v>33</v>
      </c>
      <c r="H85" t="s">
        <v>52</v>
      </c>
      <c r="I85" t="s">
        <v>13</v>
      </c>
      <c r="J85" t="s">
        <v>21</v>
      </c>
      <c r="K85" s="2">
        <v>9800</v>
      </c>
      <c r="L85" s="3">
        <v>9.6</v>
      </c>
      <c r="M85" s="3">
        <v>93.9</v>
      </c>
      <c r="N85" s="3">
        <v>0</v>
      </c>
      <c r="O85" s="2">
        <v>100</v>
      </c>
      <c r="P85">
        <v>1</v>
      </c>
      <c r="Q85" t="s">
        <v>17</v>
      </c>
      <c r="R85" s="4">
        <v>36.979999999999997</v>
      </c>
      <c r="S85" s="4">
        <v>0</v>
      </c>
      <c r="T85" t="s">
        <v>34</v>
      </c>
      <c r="U85" s="4">
        <v>5.69</v>
      </c>
      <c r="V85" s="4">
        <v>3.7730000000000001</v>
      </c>
      <c r="W85" s="4">
        <v>36.979999999999997</v>
      </c>
    </row>
    <row r="86" spans="1:23" ht="15" customHeight="1" x14ac:dyDescent="0.25">
      <c r="A86">
        <v>383</v>
      </c>
      <c r="B86" s="1">
        <v>45670.583333333343</v>
      </c>
      <c r="C86">
        <v>14</v>
      </c>
      <c r="D86" t="s">
        <v>57</v>
      </c>
      <c r="E86">
        <v>1</v>
      </c>
      <c r="F86" t="s">
        <v>32</v>
      </c>
      <c r="G86" t="s">
        <v>33</v>
      </c>
      <c r="H86" t="s">
        <v>54</v>
      </c>
      <c r="I86" t="s">
        <v>16</v>
      </c>
      <c r="J86" t="s">
        <v>24</v>
      </c>
      <c r="K86" s="2">
        <v>8600</v>
      </c>
      <c r="L86" s="3">
        <v>11.4</v>
      </c>
      <c r="M86" s="3">
        <v>93</v>
      </c>
      <c r="N86" s="3">
        <v>306.89999999999998</v>
      </c>
      <c r="O86" s="2">
        <v>801</v>
      </c>
      <c r="P86">
        <v>1</v>
      </c>
      <c r="Q86" t="s">
        <v>17</v>
      </c>
      <c r="R86" s="4">
        <v>87.36</v>
      </c>
      <c r="S86" s="4">
        <v>23.69</v>
      </c>
      <c r="T86" t="s">
        <v>34</v>
      </c>
      <c r="U86" s="4">
        <v>10.01</v>
      </c>
      <c r="V86" s="4">
        <v>10.157999999999999</v>
      </c>
      <c r="W86" s="4">
        <v>63.67</v>
      </c>
    </row>
    <row r="87" spans="1:23" ht="15" customHeight="1" x14ac:dyDescent="0.25">
      <c r="A87">
        <v>751</v>
      </c>
      <c r="B87" s="1">
        <v>45670.583333333343</v>
      </c>
      <c r="C87">
        <v>14</v>
      </c>
      <c r="D87" t="s">
        <v>57</v>
      </c>
      <c r="E87">
        <v>1</v>
      </c>
      <c r="F87" t="s">
        <v>32</v>
      </c>
      <c r="G87" t="s">
        <v>33</v>
      </c>
      <c r="H87" t="s">
        <v>50</v>
      </c>
      <c r="I87" t="s">
        <v>22</v>
      </c>
      <c r="J87" t="s">
        <v>12</v>
      </c>
      <c r="K87" s="2">
        <v>21000</v>
      </c>
      <c r="L87" s="3">
        <v>18.5</v>
      </c>
      <c r="M87" s="3">
        <v>51.4</v>
      </c>
      <c r="N87" s="3"/>
      <c r="O87" s="2">
        <v>393</v>
      </c>
      <c r="P87">
        <v>0</v>
      </c>
      <c r="Q87" t="s">
        <v>14</v>
      </c>
      <c r="R87" s="4">
        <v>179.65</v>
      </c>
      <c r="S87" s="4">
        <v>82.08</v>
      </c>
      <c r="T87" t="s">
        <v>34</v>
      </c>
      <c r="U87" s="4">
        <v>15.45</v>
      </c>
      <c r="V87" s="4">
        <v>8.5549999999999997</v>
      </c>
      <c r="W87" s="4">
        <v>97.57</v>
      </c>
    </row>
    <row r="88" spans="1:23" ht="15" customHeight="1" x14ac:dyDescent="0.25">
      <c r="A88">
        <v>1855</v>
      </c>
      <c r="B88" s="1">
        <v>45670.583333333343</v>
      </c>
      <c r="C88">
        <v>14</v>
      </c>
      <c r="D88" t="s">
        <v>57</v>
      </c>
      <c r="E88">
        <v>1</v>
      </c>
      <c r="F88" t="s">
        <v>32</v>
      </c>
      <c r="G88" t="s">
        <v>33</v>
      </c>
      <c r="H88" t="s">
        <v>52</v>
      </c>
      <c r="I88" t="s">
        <v>13</v>
      </c>
      <c r="J88" t="s">
        <v>21</v>
      </c>
      <c r="K88" s="2">
        <v>9800</v>
      </c>
      <c r="L88" s="3">
        <v>17.3</v>
      </c>
      <c r="M88" s="3">
        <v>85</v>
      </c>
      <c r="N88" s="3">
        <v>263.3</v>
      </c>
      <c r="O88" s="2">
        <v>59</v>
      </c>
      <c r="P88">
        <v>0</v>
      </c>
      <c r="Q88" t="s">
        <v>14</v>
      </c>
      <c r="R88" s="4">
        <v>17.68</v>
      </c>
      <c r="S88" s="4">
        <v>0</v>
      </c>
      <c r="T88" t="s">
        <v>34</v>
      </c>
      <c r="U88" s="4">
        <v>2.75</v>
      </c>
      <c r="V88" s="4">
        <v>1.804</v>
      </c>
      <c r="W88" s="4">
        <v>17.68</v>
      </c>
    </row>
    <row r="89" spans="1:23" ht="15" customHeight="1" x14ac:dyDescent="0.25">
      <c r="A89">
        <v>1119</v>
      </c>
      <c r="B89" s="1">
        <v>45670.583333333343</v>
      </c>
      <c r="C89">
        <v>14</v>
      </c>
      <c r="D89" t="s">
        <v>57</v>
      </c>
      <c r="E89">
        <v>1</v>
      </c>
      <c r="F89" t="s">
        <v>32</v>
      </c>
      <c r="G89" t="s">
        <v>33</v>
      </c>
      <c r="H89" t="s">
        <v>51</v>
      </c>
      <c r="I89" t="s">
        <v>25</v>
      </c>
      <c r="J89" t="s">
        <v>15</v>
      </c>
      <c r="K89" s="2">
        <v>17400</v>
      </c>
      <c r="L89" s="3">
        <v>15.5</v>
      </c>
      <c r="M89" s="3">
        <v>77.099999999999994</v>
      </c>
      <c r="N89" s="3">
        <v>315.10000000000002</v>
      </c>
      <c r="O89" s="2">
        <v>1429</v>
      </c>
      <c r="P89">
        <v>1</v>
      </c>
      <c r="Q89" t="s">
        <v>23</v>
      </c>
      <c r="R89" s="4">
        <v>221.62</v>
      </c>
      <c r="S89" s="4">
        <v>43.34</v>
      </c>
      <c r="T89" t="s">
        <v>34</v>
      </c>
      <c r="U89" s="4">
        <v>28.56</v>
      </c>
      <c r="V89" s="4">
        <v>12.737</v>
      </c>
      <c r="W89" s="4">
        <v>178.28</v>
      </c>
    </row>
    <row r="90" spans="1:23" ht="15" customHeight="1" x14ac:dyDescent="0.25">
      <c r="A90">
        <v>1487</v>
      </c>
      <c r="B90" s="1">
        <v>45670.583333333343</v>
      </c>
      <c r="C90">
        <v>14</v>
      </c>
      <c r="D90" t="s">
        <v>57</v>
      </c>
      <c r="E90">
        <v>1</v>
      </c>
      <c r="F90" t="s">
        <v>32</v>
      </c>
      <c r="G90" t="s">
        <v>33</v>
      </c>
      <c r="H90" t="s">
        <v>49</v>
      </c>
      <c r="I90" t="s">
        <v>27</v>
      </c>
      <c r="J90" t="s">
        <v>18</v>
      </c>
      <c r="K90" s="2">
        <v>26000</v>
      </c>
      <c r="L90" s="3">
        <v>11.3</v>
      </c>
      <c r="M90" s="3">
        <v>91.8</v>
      </c>
      <c r="N90" s="3">
        <v>219</v>
      </c>
      <c r="O90" s="2">
        <v>175</v>
      </c>
      <c r="P90">
        <v>1</v>
      </c>
      <c r="Q90" t="s">
        <v>17</v>
      </c>
      <c r="R90" s="4">
        <v>154.80000000000001</v>
      </c>
      <c r="S90" s="4">
        <v>61.83</v>
      </c>
      <c r="T90" t="s">
        <v>34</v>
      </c>
      <c r="U90" s="4">
        <v>15.2</v>
      </c>
      <c r="V90" s="4">
        <v>5.9539999999999997</v>
      </c>
      <c r="W90" s="4">
        <v>92.97</v>
      </c>
    </row>
    <row r="91" spans="1:23" ht="15" customHeight="1" x14ac:dyDescent="0.25">
      <c r="A91">
        <v>15</v>
      </c>
      <c r="B91" s="1">
        <v>45670.583333333343</v>
      </c>
      <c r="C91">
        <v>14</v>
      </c>
      <c r="D91" t="s">
        <v>57</v>
      </c>
      <c r="E91">
        <v>1</v>
      </c>
      <c r="F91" t="s">
        <v>32</v>
      </c>
      <c r="G91" t="s">
        <v>33</v>
      </c>
      <c r="H91" t="s">
        <v>53</v>
      </c>
      <c r="I91" t="s">
        <v>19</v>
      </c>
      <c r="J91" t="s">
        <v>26</v>
      </c>
      <c r="K91" s="2">
        <v>12500</v>
      </c>
      <c r="L91" s="3">
        <v>9.1999999999999993</v>
      </c>
      <c r="M91" s="3">
        <v>83.1</v>
      </c>
      <c r="N91" s="3">
        <v>334.8</v>
      </c>
      <c r="O91" s="2">
        <v>628</v>
      </c>
      <c r="P91">
        <v>1</v>
      </c>
      <c r="Q91" t="s">
        <v>17</v>
      </c>
      <c r="R91" s="4">
        <v>102.58</v>
      </c>
      <c r="S91" s="4">
        <v>50.2</v>
      </c>
      <c r="T91" t="s">
        <v>34</v>
      </c>
      <c r="U91" s="4">
        <v>8.0399999999999991</v>
      </c>
      <c r="V91" s="4">
        <v>8.2059999999999995</v>
      </c>
      <c r="W91" s="4">
        <v>52.38</v>
      </c>
    </row>
    <row r="92" spans="1:23" ht="15" customHeight="1" x14ac:dyDescent="0.25">
      <c r="A92">
        <v>16</v>
      </c>
      <c r="B92" s="1">
        <v>45670.833333333343</v>
      </c>
      <c r="C92">
        <v>20</v>
      </c>
      <c r="D92" t="s">
        <v>57</v>
      </c>
      <c r="E92">
        <v>1</v>
      </c>
      <c r="F92" t="s">
        <v>32</v>
      </c>
      <c r="G92" t="s">
        <v>33</v>
      </c>
      <c r="H92" t="s">
        <v>53</v>
      </c>
      <c r="I92" t="s">
        <v>19</v>
      </c>
      <c r="J92" t="s">
        <v>26</v>
      </c>
      <c r="K92" s="2">
        <v>12500</v>
      </c>
      <c r="L92" s="3">
        <v>5.4</v>
      </c>
      <c r="M92" s="3">
        <v>73.2</v>
      </c>
      <c r="N92" s="3">
        <v>0</v>
      </c>
      <c r="O92" s="2">
        <v>75</v>
      </c>
      <c r="P92">
        <v>1</v>
      </c>
      <c r="Q92" t="s">
        <v>17</v>
      </c>
      <c r="R92" s="4">
        <v>46.4</v>
      </c>
      <c r="S92" s="4">
        <v>0</v>
      </c>
      <c r="T92" t="s">
        <v>37</v>
      </c>
      <c r="U92" s="4">
        <v>11.51</v>
      </c>
      <c r="V92" s="4">
        <v>3.7120000000000002</v>
      </c>
      <c r="W92" s="4">
        <v>46.4</v>
      </c>
    </row>
    <row r="93" spans="1:23" ht="15" customHeight="1" x14ac:dyDescent="0.25">
      <c r="A93">
        <v>384</v>
      </c>
      <c r="B93" s="1">
        <v>45670.833333333343</v>
      </c>
      <c r="C93">
        <v>20</v>
      </c>
      <c r="D93" t="s">
        <v>57</v>
      </c>
      <c r="E93">
        <v>1</v>
      </c>
      <c r="F93" t="s">
        <v>32</v>
      </c>
      <c r="G93" t="s">
        <v>33</v>
      </c>
      <c r="H93" t="s">
        <v>54</v>
      </c>
      <c r="I93" t="s">
        <v>16</v>
      </c>
      <c r="J93" t="s">
        <v>24</v>
      </c>
      <c r="K93" s="2">
        <v>8600</v>
      </c>
      <c r="L93" s="3">
        <v>8.8000000000000007</v>
      </c>
      <c r="M93" s="3">
        <v>99</v>
      </c>
      <c r="N93" s="3">
        <v>0</v>
      </c>
      <c r="O93" s="2">
        <v>62</v>
      </c>
      <c r="P93">
        <v>1</v>
      </c>
      <c r="Q93" t="s">
        <v>17</v>
      </c>
      <c r="R93" s="4">
        <v>25.07</v>
      </c>
      <c r="S93" s="4">
        <v>0</v>
      </c>
      <c r="T93" t="s">
        <v>37</v>
      </c>
      <c r="U93" s="4">
        <v>6.01</v>
      </c>
      <c r="V93" s="4">
        <v>2.915</v>
      </c>
      <c r="W93" s="4">
        <v>25.07</v>
      </c>
    </row>
    <row r="94" spans="1:23" ht="15" customHeight="1" x14ac:dyDescent="0.25">
      <c r="A94">
        <v>1488</v>
      </c>
      <c r="B94" s="1">
        <v>45670.833333333343</v>
      </c>
      <c r="C94">
        <v>20</v>
      </c>
      <c r="D94" t="s">
        <v>57</v>
      </c>
      <c r="E94">
        <v>1</v>
      </c>
      <c r="F94" t="s">
        <v>32</v>
      </c>
      <c r="G94" t="s">
        <v>33</v>
      </c>
      <c r="H94" t="s">
        <v>49</v>
      </c>
      <c r="I94" t="s">
        <v>27</v>
      </c>
      <c r="J94" t="s">
        <v>18</v>
      </c>
      <c r="K94" s="2">
        <v>26000</v>
      </c>
      <c r="L94" s="3">
        <v>9</v>
      </c>
      <c r="M94" s="3">
        <v>75.5</v>
      </c>
      <c r="N94" s="3">
        <v>0</v>
      </c>
      <c r="O94" s="2">
        <v>170</v>
      </c>
      <c r="P94">
        <v>1</v>
      </c>
      <c r="Q94" t="s">
        <v>17</v>
      </c>
      <c r="R94" s="4">
        <v>266.68</v>
      </c>
      <c r="S94" s="4">
        <v>0</v>
      </c>
      <c r="T94" t="s">
        <v>37</v>
      </c>
      <c r="U94" s="4">
        <v>63.95</v>
      </c>
      <c r="V94" s="4">
        <v>10.257</v>
      </c>
      <c r="W94" s="4">
        <v>266.68</v>
      </c>
    </row>
    <row r="95" spans="1:23" ht="15" customHeight="1" x14ac:dyDescent="0.25">
      <c r="A95">
        <v>752</v>
      </c>
      <c r="B95" s="1">
        <v>45670.833333333343</v>
      </c>
      <c r="C95">
        <v>20</v>
      </c>
      <c r="D95" t="s">
        <v>57</v>
      </c>
      <c r="E95">
        <v>1</v>
      </c>
      <c r="F95" t="s">
        <v>32</v>
      </c>
      <c r="G95" t="s">
        <v>33</v>
      </c>
      <c r="H95" t="s">
        <v>50</v>
      </c>
      <c r="I95" t="s">
        <v>22</v>
      </c>
      <c r="J95" t="s">
        <v>12</v>
      </c>
      <c r="K95" s="2">
        <v>21000</v>
      </c>
      <c r="L95" s="3">
        <v>11.8</v>
      </c>
      <c r="M95" s="3">
        <v>78.400000000000006</v>
      </c>
      <c r="N95" s="3">
        <v>0</v>
      </c>
      <c r="O95" s="2">
        <v>420</v>
      </c>
      <c r="P95">
        <v>1</v>
      </c>
      <c r="Q95" t="s">
        <v>17</v>
      </c>
      <c r="R95" s="4">
        <v>261.08999999999997</v>
      </c>
      <c r="S95" s="4">
        <v>0</v>
      </c>
      <c r="T95" t="s">
        <v>37</v>
      </c>
      <c r="U95" s="4">
        <v>63.03</v>
      </c>
      <c r="V95" s="4">
        <v>12.433</v>
      </c>
      <c r="W95" s="4">
        <v>261.08999999999997</v>
      </c>
    </row>
    <row r="96" spans="1:23" ht="15" customHeight="1" x14ac:dyDescent="0.25">
      <c r="A96">
        <v>1120</v>
      </c>
      <c r="B96" s="1">
        <v>45670.833333333343</v>
      </c>
      <c r="C96">
        <v>20</v>
      </c>
      <c r="D96" t="s">
        <v>57</v>
      </c>
      <c r="E96">
        <v>1</v>
      </c>
      <c r="F96" t="s">
        <v>32</v>
      </c>
      <c r="G96" t="s">
        <v>33</v>
      </c>
      <c r="H96" t="s">
        <v>51</v>
      </c>
      <c r="I96" t="s">
        <v>25</v>
      </c>
      <c r="J96" t="s">
        <v>15</v>
      </c>
      <c r="K96" s="2">
        <v>17400</v>
      </c>
      <c r="L96" s="3">
        <v>9.3000000000000007</v>
      </c>
      <c r="M96" s="3">
        <v>71.5</v>
      </c>
      <c r="N96" s="3">
        <v>0</v>
      </c>
      <c r="O96" s="2">
        <v>1390</v>
      </c>
      <c r="P96">
        <v>1</v>
      </c>
      <c r="Q96" t="s">
        <v>17</v>
      </c>
      <c r="R96" s="4">
        <v>285.04000000000002</v>
      </c>
      <c r="S96" s="4">
        <v>0</v>
      </c>
      <c r="T96" t="s">
        <v>37</v>
      </c>
      <c r="U96" s="4">
        <v>67.900000000000006</v>
      </c>
      <c r="V96" s="4">
        <v>16.382000000000001</v>
      </c>
      <c r="W96" s="4">
        <v>285.04000000000002</v>
      </c>
    </row>
    <row r="97" spans="1:23" ht="15" customHeight="1" x14ac:dyDescent="0.25">
      <c r="A97">
        <v>1856</v>
      </c>
      <c r="B97" s="1">
        <v>45670.833333333343</v>
      </c>
      <c r="C97">
        <v>20</v>
      </c>
      <c r="D97" t="s">
        <v>57</v>
      </c>
      <c r="E97">
        <v>1</v>
      </c>
      <c r="F97" t="s">
        <v>32</v>
      </c>
      <c r="G97" t="s">
        <v>33</v>
      </c>
      <c r="H97" t="s">
        <v>52</v>
      </c>
      <c r="I97" t="s">
        <v>13</v>
      </c>
      <c r="J97" t="s">
        <v>21</v>
      </c>
      <c r="K97" s="2">
        <v>9800</v>
      </c>
      <c r="L97" s="3">
        <v>8.6999999999999993</v>
      </c>
      <c r="M97" s="3">
        <v>85.8</v>
      </c>
      <c r="N97" s="3">
        <v>0</v>
      </c>
      <c r="O97" s="2">
        <v>290</v>
      </c>
      <c r="P97">
        <v>1</v>
      </c>
      <c r="Q97" t="s">
        <v>17</v>
      </c>
      <c r="R97" s="4">
        <v>98.24</v>
      </c>
      <c r="S97" s="4">
        <v>0</v>
      </c>
      <c r="T97" t="s">
        <v>37</v>
      </c>
      <c r="U97" s="4">
        <v>23.85</v>
      </c>
      <c r="V97" s="4">
        <v>10.023999999999999</v>
      </c>
      <c r="W97" s="4">
        <v>98.24</v>
      </c>
    </row>
    <row r="98" spans="1:23" ht="15" customHeight="1" x14ac:dyDescent="0.25">
      <c r="A98">
        <v>1857</v>
      </c>
      <c r="B98" s="1">
        <v>45674</v>
      </c>
      <c r="C98">
        <v>0</v>
      </c>
      <c r="D98" t="s">
        <v>58</v>
      </c>
      <c r="E98">
        <v>1</v>
      </c>
      <c r="F98" t="s">
        <v>32</v>
      </c>
      <c r="G98" t="s">
        <v>33</v>
      </c>
      <c r="H98" t="s">
        <v>52</v>
      </c>
      <c r="I98" t="s">
        <v>13</v>
      </c>
      <c r="J98" t="s">
        <v>21</v>
      </c>
      <c r="K98" s="2">
        <v>9800</v>
      </c>
      <c r="L98" s="3">
        <v>5.7</v>
      </c>
      <c r="M98" s="3">
        <v>87.4</v>
      </c>
      <c r="N98" s="3"/>
      <c r="O98" s="2">
        <v>304</v>
      </c>
      <c r="P98">
        <v>1</v>
      </c>
      <c r="Q98" t="s">
        <v>17</v>
      </c>
      <c r="R98" s="4">
        <v>102.46</v>
      </c>
      <c r="S98" s="4">
        <v>0</v>
      </c>
      <c r="T98" t="s">
        <v>31</v>
      </c>
      <c r="U98" s="4">
        <v>10.29</v>
      </c>
      <c r="V98" s="4">
        <v>10.455</v>
      </c>
      <c r="W98" s="4">
        <v>102.46</v>
      </c>
    </row>
    <row r="99" spans="1:23" ht="15" customHeight="1" x14ac:dyDescent="0.25">
      <c r="A99">
        <v>17</v>
      </c>
      <c r="B99" s="1">
        <v>45674</v>
      </c>
      <c r="C99">
        <v>0</v>
      </c>
      <c r="D99" t="s">
        <v>58</v>
      </c>
      <c r="E99">
        <v>1</v>
      </c>
      <c r="F99" t="s">
        <v>32</v>
      </c>
      <c r="G99" t="s">
        <v>33</v>
      </c>
      <c r="H99" t="s">
        <v>53</v>
      </c>
      <c r="I99" t="s">
        <v>19</v>
      </c>
      <c r="J99" t="s">
        <v>26</v>
      </c>
      <c r="K99" s="2">
        <v>12500</v>
      </c>
      <c r="L99" s="3">
        <v>-5.5</v>
      </c>
      <c r="M99" s="3">
        <v>88.3</v>
      </c>
      <c r="N99" s="3">
        <v>0</v>
      </c>
      <c r="O99" s="2">
        <v>35</v>
      </c>
      <c r="P99">
        <v>0</v>
      </c>
      <c r="Q99" t="s">
        <v>14</v>
      </c>
      <c r="R99" s="4">
        <v>26.91</v>
      </c>
      <c r="S99" s="4">
        <v>0</v>
      </c>
      <c r="T99" t="s">
        <v>31</v>
      </c>
      <c r="U99" s="4">
        <v>2.66</v>
      </c>
      <c r="V99" s="4">
        <v>2.153</v>
      </c>
      <c r="W99" s="4">
        <v>26.91</v>
      </c>
    </row>
    <row r="100" spans="1:23" ht="15" customHeight="1" x14ac:dyDescent="0.25">
      <c r="A100">
        <v>1489</v>
      </c>
      <c r="B100" s="1">
        <v>45674</v>
      </c>
      <c r="C100">
        <v>0</v>
      </c>
      <c r="D100" t="s">
        <v>58</v>
      </c>
      <c r="E100">
        <v>1</v>
      </c>
      <c r="F100" t="s">
        <v>32</v>
      </c>
      <c r="G100" t="s">
        <v>33</v>
      </c>
      <c r="H100" t="s">
        <v>49</v>
      </c>
      <c r="I100" t="s">
        <v>27</v>
      </c>
      <c r="J100" t="s">
        <v>18</v>
      </c>
      <c r="K100" s="2">
        <v>26000</v>
      </c>
      <c r="L100" s="3">
        <v>0.7</v>
      </c>
      <c r="M100" s="3">
        <v>84.1</v>
      </c>
      <c r="N100" s="3">
        <v>0</v>
      </c>
      <c r="O100" s="2">
        <v>64</v>
      </c>
      <c r="P100">
        <v>1</v>
      </c>
      <c r="Q100" t="s">
        <v>17</v>
      </c>
      <c r="R100" s="4">
        <v>127.53</v>
      </c>
      <c r="S100" s="4">
        <v>0</v>
      </c>
      <c r="T100" t="s">
        <v>31</v>
      </c>
      <c r="U100" s="4">
        <v>12.4</v>
      </c>
      <c r="V100" s="4">
        <v>4.9050000000000002</v>
      </c>
      <c r="W100" s="4">
        <v>127.53</v>
      </c>
    </row>
    <row r="101" spans="1:23" ht="15" customHeight="1" x14ac:dyDescent="0.25">
      <c r="A101">
        <v>1121</v>
      </c>
      <c r="B101" s="1">
        <v>45674</v>
      </c>
      <c r="C101">
        <v>0</v>
      </c>
      <c r="D101" t="s">
        <v>58</v>
      </c>
      <c r="E101">
        <v>1</v>
      </c>
      <c r="F101" t="s">
        <v>32</v>
      </c>
      <c r="G101" t="s">
        <v>33</v>
      </c>
      <c r="H101" t="s">
        <v>51</v>
      </c>
      <c r="I101" t="s">
        <v>25</v>
      </c>
      <c r="J101" t="s">
        <v>15</v>
      </c>
      <c r="K101" s="2">
        <v>17400</v>
      </c>
      <c r="L101" s="3">
        <v>8.3000000000000007</v>
      </c>
      <c r="M101" s="3"/>
      <c r="N101" s="3">
        <v>0</v>
      </c>
      <c r="O101" s="2">
        <v>86</v>
      </c>
      <c r="P101">
        <v>0</v>
      </c>
      <c r="Q101" t="s">
        <v>14</v>
      </c>
      <c r="R101" s="4">
        <v>51.96</v>
      </c>
      <c r="S101" s="4">
        <v>0</v>
      </c>
      <c r="T101" t="s">
        <v>31</v>
      </c>
      <c r="U101" s="4">
        <v>5.14</v>
      </c>
      <c r="V101" s="4">
        <v>2.9860000000000002</v>
      </c>
      <c r="W101" s="4">
        <v>51.96</v>
      </c>
    </row>
    <row r="102" spans="1:23" ht="15" customHeight="1" x14ac:dyDescent="0.25">
      <c r="A102">
        <v>753</v>
      </c>
      <c r="B102" s="1">
        <v>45674</v>
      </c>
      <c r="C102">
        <v>0</v>
      </c>
      <c r="D102" t="s">
        <v>58</v>
      </c>
      <c r="E102">
        <v>1</v>
      </c>
      <c r="F102" t="s">
        <v>32</v>
      </c>
      <c r="G102" t="s">
        <v>33</v>
      </c>
      <c r="H102" t="s">
        <v>50</v>
      </c>
      <c r="I102" t="s">
        <v>22</v>
      </c>
      <c r="J102" t="s">
        <v>12</v>
      </c>
      <c r="K102" s="2">
        <v>21000</v>
      </c>
      <c r="L102" s="3">
        <v>6.7</v>
      </c>
      <c r="M102" s="3">
        <v>79</v>
      </c>
      <c r="N102" s="3">
        <v>0</v>
      </c>
      <c r="O102" s="2">
        <v>173</v>
      </c>
      <c r="P102">
        <v>1</v>
      </c>
      <c r="Q102" t="s">
        <v>17</v>
      </c>
      <c r="R102" s="4">
        <v>186.3</v>
      </c>
      <c r="S102" s="4">
        <v>0</v>
      </c>
      <c r="T102" t="s">
        <v>31</v>
      </c>
      <c r="U102" s="4">
        <v>19.100000000000001</v>
      </c>
      <c r="V102" s="4">
        <v>8.8710000000000004</v>
      </c>
      <c r="W102" s="4">
        <v>186.3</v>
      </c>
    </row>
    <row r="103" spans="1:23" ht="15" customHeight="1" x14ac:dyDescent="0.25">
      <c r="A103">
        <v>385</v>
      </c>
      <c r="B103" s="1">
        <v>45674</v>
      </c>
      <c r="C103">
        <v>0</v>
      </c>
      <c r="D103" t="s">
        <v>58</v>
      </c>
      <c r="E103">
        <v>1</v>
      </c>
      <c r="F103" t="s">
        <v>32</v>
      </c>
      <c r="G103" t="s">
        <v>33</v>
      </c>
      <c r="H103" t="s">
        <v>54</v>
      </c>
      <c r="I103" t="s">
        <v>16</v>
      </c>
      <c r="J103" t="s">
        <v>24</v>
      </c>
      <c r="K103" s="2">
        <v>8600</v>
      </c>
      <c r="L103" s="3">
        <v>5.4</v>
      </c>
      <c r="M103" s="3">
        <v>99</v>
      </c>
      <c r="N103" s="3">
        <v>0</v>
      </c>
      <c r="O103" s="2">
        <v>5</v>
      </c>
      <c r="P103">
        <v>1</v>
      </c>
      <c r="Q103" t="s">
        <v>17</v>
      </c>
      <c r="R103" s="4">
        <v>23.64</v>
      </c>
      <c r="S103" s="4">
        <v>0</v>
      </c>
      <c r="T103" t="s">
        <v>31</v>
      </c>
      <c r="U103" s="4">
        <v>2.27</v>
      </c>
      <c r="V103" s="4">
        <v>2.7490000000000001</v>
      </c>
      <c r="W103" s="4">
        <v>23.64</v>
      </c>
    </row>
    <row r="104" spans="1:23" ht="15" customHeight="1" x14ac:dyDescent="0.25">
      <c r="A104">
        <v>18</v>
      </c>
      <c r="B104" s="1">
        <v>45674.333333333343</v>
      </c>
      <c r="C104">
        <v>8</v>
      </c>
      <c r="D104" t="s">
        <v>58</v>
      </c>
      <c r="E104">
        <v>1</v>
      </c>
      <c r="F104" t="s">
        <v>32</v>
      </c>
      <c r="G104" t="s">
        <v>33</v>
      </c>
      <c r="H104" t="s">
        <v>53</v>
      </c>
      <c r="I104" t="s">
        <v>19</v>
      </c>
      <c r="J104" t="s">
        <v>26</v>
      </c>
      <c r="K104" s="2">
        <v>12500</v>
      </c>
      <c r="L104" s="3">
        <v>0.6</v>
      </c>
      <c r="M104" s="3">
        <v>67.5</v>
      </c>
      <c r="N104" s="3">
        <v>0</v>
      </c>
      <c r="O104" s="2">
        <v>272</v>
      </c>
      <c r="P104">
        <v>1</v>
      </c>
      <c r="Q104" t="s">
        <v>17</v>
      </c>
      <c r="R104" s="4">
        <v>117.44</v>
      </c>
      <c r="S104" s="4">
        <v>0</v>
      </c>
      <c r="T104" t="s">
        <v>34</v>
      </c>
      <c r="U104" s="4">
        <v>18.489999999999998</v>
      </c>
      <c r="V104" s="4">
        <v>9.3949999999999996</v>
      </c>
      <c r="W104" s="4">
        <v>117.44</v>
      </c>
    </row>
    <row r="105" spans="1:23" ht="15" customHeight="1" x14ac:dyDescent="0.25">
      <c r="A105">
        <v>1122</v>
      </c>
      <c r="B105" s="1">
        <v>45674.333333333343</v>
      </c>
      <c r="C105">
        <v>8</v>
      </c>
      <c r="D105" t="s">
        <v>58</v>
      </c>
      <c r="E105">
        <v>1</v>
      </c>
      <c r="F105" t="s">
        <v>32</v>
      </c>
      <c r="G105" t="s">
        <v>33</v>
      </c>
      <c r="H105" t="s">
        <v>51</v>
      </c>
      <c r="I105" t="s">
        <v>25</v>
      </c>
      <c r="J105" t="s">
        <v>15</v>
      </c>
      <c r="K105" s="2">
        <v>17400</v>
      </c>
      <c r="L105" s="3">
        <v>8.9</v>
      </c>
      <c r="M105" s="3">
        <v>89.5</v>
      </c>
      <c r="N105" s="3">
        <v>0</v>
      </c>
      <c r="O105" s="2">
        <v>0</v>
      </c>
      <c r="P105">
        <v>0</v>
      </c>
      <c r="Q105" t="s">
        <v>14</v>
      </c>
      <c r="R105" s="4">
        <v>45.03</v>
      </c>
      <c r="S105" s="4">
        <v>0</v>
      </c>
      <c r="T105" t="s">
        <v>34</v>
      </c>
      <c r="U105" s="4">
        <v>7.07</v>
      </c>
      <c r="V105" s="4">
        <v>2.5880000000000001</v>
      </c>
      <c r="W105" s="4">
        <v>45.03</v>
      </c>
    </row>
    <row r="106" spans="1:23" ht="15" customHeight="1" x14ac:dyDescent="0.25">
      <c r="A106">
        <v>1490</v>
      </c>
      <c r="B106" s="1">
        <v>45674.333333333343</v>
      </c>
      <c r="C106">
        <v>8</v>
      </c>
      <c r="D106" t="s">
        <v>58</v>
      </c>
      <c r="E106">
        <v>1</v>
      </c>
      <c r="F106" t="s">
        <v>32</v>
      </c>
      <c r="G106" t="s">
        <v>33</v>
      </c>
      <c r="H106" t="s">
        <v>49</v>
      </c>
      <c r="I106" t="s">
        <v>27</v>
      </c>
      <c r="J106" t="s">
        <v>18</v>
      </c>
      <c r="K106" s="2">
        <v>26000</v>
      </c>
      <c r="L106" s="3">
        <v>2.2999999999999998</v>
      </c>
      <c r="M106" s="3">
        <v>72</v>
      </c>
      <c r="N106" s="3">
        <v>0</v>
      </c>
      <c r="O106" s="2">
        <v>164</v>
      </c>
      <c r="P106">
        <v>1</v>
      </c>
      <c r="Q106" t="s">
        <v>17</v>
      </c>
      <c r="R106" s="4">
        <v>283.93</v>
      </c>
      <c r="S106" s="4">
        <v>0</v>
      </c>
      <c r="T106" t="s">
        <v>34</v>
      </c>
      <c r="U106" s="4">
        <v>44.61</v>
      </c>
      <c r="V106" s="4">
        <v>10.92</v>
      </c>
      <c r="W106" s="4">
        <v>283.93</v>
      </c>
    </row>
    <row r="107" spans="1:23" ht="15" customHeight="1" x14ac:dyDescent="0.25">
      <c r="A107">
        <v>1858</v>
      </c>
      <c r="B107" s="1">
        <v>45674.333333333343</v>
      </c>
      <c r="C107">
        <v>8</v>
      </c>
      <c r="D107" t="s">
        <v>58</v>
      </c>
      <c r="E107">
        <v>1</v>
      </c>
      <c r="F107" t="s">
        <v>32</v>
      </c>
      <c r="G107" t="s">
        <v>33</v>
      </c>
      <c r="H107" t="s">
        <v>52</v>
      </c>
      <c r="I107" t="s">
        <v>13</v>
      </c>
      <c r="J107" t="s">
        <v>21</v>
      </c>
      <c r="K107" s="2">
        <v>9800</v>
      </c>
      <c r="L107" s="3">
        <v>6.1</v>
      </c>
      <c r="M107" s="3">
        <v>96.5</v>
      </c>
      <c r="N107" s="3">
        <v>0</v>
      </c>
      <c r="O107" s="2">
        <v>72</v>
      </c>
      <c r="P107">
        <v>1</v>
      </c>
      <c r="Q107" t="s">
        <v>17</v>
      </c>
      <c r="R107" s="4">
        <v>35.880000000000003</v>
      </c>
      <c r="S107" s="4">
        <v>0</v>
      </c>
      <c r="T107" t="s">
        <v>34</v>
      </c>
      <c r="U107" s="4">
        <v>5.52</v>
      </c>
      <c r="V107" s="4">
        <v>3.661</v>
      </c>
      <c r="W107" s="4">
        <v>35.880000000000003</v>
      </c>
    </row>
    <row r="108" spans="1:23" ht="15" customHeight="1" x14ac:dyDescent="0.25">
      <c r="A108">
        <v>754</v>
      </c>
      <c r="B108" s="1">
        <v>45674.333333333343</v>
      </c>
      <c r="C108">
        <v>8</v>
      </c>
      <c r="D108" t="s">
        <v>58</v>
      </c>
      <c r="E108">
        <v>1</v>
      </c>
      <c r="F108" t="s">
        <v>32</v>
      </c>
      <c r="G108" t="s">
        <v>33</v>
      </c>
      <c r="H108" t="s">
        <v>50</v>
      </c>
      <c r="I108" t="s">
        <v>22</v>
      </c>
      <c r="J108" t="s">
        <v>12</v>
      </c>
      <c r="K108" s="2">
        <v>21000</v>
      </c>
      <c r="L108" s="3"/>
      <c r="M108" s="3">
        <v>71.400000000000006</v>
      </c>
      <c r="N108" s="3">
        <v>0</v>
      </c>
      <c r="O108" s="2">
        <v>414</v>
      </c>
      <c r="P108">
        <v>1</v>
      </c>
      <c r="Q108" t="s">
        <v>17</v>
      </c>
      <c r="R108" s="4">
        <v>301.89999999999998</v>
      </c>
      <c r="S108" s="4">
        <v>0</v>
      </c>
      <c r="T108" t="s">
        <v>34</v>
      </c>
      <c r="U108" s="4">
        <v>46.25</v>
      </c>
      <c r="V108" s="4">
        <v>14.375999999999999</v>
      </c>
      <c r="W108" s="4">
        <v>301.89999999999998</v>
      </c>
    </row>
    <row r="109" spans="1:23" ht="15" customHeight="1" x14ac:dyDescent="0.25">
      <c r="A109">
        <v>386</v>
      </c>
      <c r="B109" s="1">
        <v>45674.333333333343</v>
      </c>
      <c r="C109">
        <v>8</v>
      </c>
      <c r="D109" t="s">
        <v>58</v>
      </c>
      <c r="E109">
        <v>1</v>
      </c>
      <c r="F109" t="s">
        <v>32</v>
      </c>
      <c r="G109" t="s">
        <v>33</v>
      </c>
      <c r="H109" t="s">
        <v>54</v>
      </c>
      <c r="I109" t="s">
        <v>16</v>
      </c>
      <c r="J109" t="s">
        <v>24</v>
      </c>
      <c r="K109" s="2">
        <v>8600</v>
      </c>
      <c r="L109" s="3">
        <v>5.8</v>
      </c>
      <c r="M109" s="3">
        <v>97</v>
      </c>
      <c r="N109" s="3">
        <v>0</v>
      </c>
      <c r="O109" s="2">
        <v>771</v>
      </c>
      <c r="P109">
        <v>1</v>
      </c>
      <c r="Q109" t="s">
        <v>17</v>
      </c>
      <c r="R109" s="4">
        <v>113.82</v>
      </c>
      <c r="S109" s="4">
        <v>0</v>
      </c>
      <c r="T109" t="s">
        <v>34</v>
      </c>
      <c r="U109" s="4">
        <v>17.72</v>
      </c>
      <c r="V109" s="4">
        <v>13.234999999999999</v>
      </c>
      <c r="W109" s="4">
        <v>113.82</v>
      </c>
    </row>
    <row r="110" spans="1:23" ht="15" customHeight="1" x14ac:dyDescent="0.25">
      <c r="A110">
        <v>19</v>
      </c>
      <c r="B110" s="1">
        <v>45674.583333333343</v>
      </c>
      <c r="C110">
        <v>14</v>
      </c>
      <c r="D110" t="s">
        <v>58</v>
      </c>
      <c r="E110">
        <v>1</v>
      </c>
      <c r="F110" t="s">
        <v>32</v>
      </c>
      <c r="G110" t="s">
        <v>33</v>
      </c>
      <c r="H110" t="s">
        <v>53</v>
      </c>
      <c r="I110" t="s">
        <v>19</v>
      </c>
      <c r="J110" t="s">
        <v>26</v>
      </c>
      <c r="K110" s="2">
        <v>12500</v>
      </c>
      <c r="L110" s="3">
        <v>11</v>
      </c>
      <c r="M110" s="3">
        <v>68.7</v>
      </c>
      <c r="N110" s="3">
        <v>340.3</v>
      </c>
      <c r="O110" s="2">
        <v>614</v>
      </c>
      <c r="P110">
        <v>1</v>
      </c>
      <c r="Q110" t="s">
        <v>17</v>
      </c>
      <c r="R110" s="4">
        <v>102.85</v>
      </c>
      <c r="S110" s="4">
        <v>51.82</v>
      </c>
      <c r="T110" t="s">
        <v>34</v>
      </c>
      <c r="U110" s="4">
        <v>8.27</v>
      </c>
      <c r="V110" s="4">
        <v>8.2279999999999998</v>
      </c>
      <c r="W110" s="4">
        <v>51.03</v>
      </c>
    </row>
    <row r="111" spans="1:23" ht="15" customHeight="1" x14ac:dyDescent="0.25">
      <c r="A111">
        <v>1491</v>
      </c>
      <c r="B111" s="1">
        <v>45674.583333333343</v>
      </c>
      <c r="C111">
        <v>14</v>
      </c>
      <c r="D111" t="s">
        <v>58</v>
      </c>
      <c r="E111">
        <v>1</v>
      </c>
      <c r="F111" t="s">
        <v>32</v>
      </c>
      <c r="G111" t="s">
        <v>33</v>
      </c>
      <c r="H111" t="s">
        <v>49</v>
      </c>
      <c r="I111" t="s">
        <v>27</v>
      </c>
      <c r="J111" t="s">
        <v>18</v>
      </c>
      <c r="K111" s="2">
        <v>26000</v>
      </c>
      <c r="L111" s="3">
        <v>12</v>
      </c>
      <c r="M111" s="3">
        <v>65.900000000000006</v>
      </c>
      <c r="N111" s="3">
        <v>416.8</v>
      </c>
      <c r="O111" s="2">
        <v>154</v>
      </c>
      <c r="P111">
        <v>1</v>
      </c>
      <c r="Q111" t="s">
        <v>17</v>
      </c>
      <c r="R111" s="4">
        <v>160.75</v>
      </c>
      <c r="S111" s="4">
        <v>116.15</v>
      </c>
      <c r="T111" t="s">
        <v>34</v>
      </c>
      <c r="U111" s="4">
        <v>7.26</v>
      </c>
      <c r="V111" s="4">
        <v>6.1829999999999998</v>
      </c>
      <c r="W111" s="4">
        <v>44.6</v>
      </c>
    </row>
    <row r="112" spans="1:23" ht="15" customHeight="1" x14ac:dyDescent="0.25">
      <c r="A112">
        <v>1859</v>
      </c>
      <c r="B112" s="1">
        <v>45674.583333333343</v>
      </c>
      <c r="C112">
        <v>14</v>
      </c>
      <c r="D112" t="s">
        <v>58</v>
      </c>
      <c r="E112">
        <v>1</v>
      </c>
      <c r="F112" t="s">
        <v>32</v>
      </c>
      <c r="G112" t="s">
        <v>33</v>
      </c>
      <c r="H112" t="s">
        <v>52</v>
      </c>
      <c r="I112" t="s">
        <v>13</v>
      </c>
      <c r="J112" t="s">
        <v>21</v>
      </c>
      <c r="K112" s="2">
        <v>9800</v>
      </c>
      <c r="L112" s="3">
        <v>12.4</v>
      </c>
      <c r="M112" s="3">
        <v>97.4</v>
      </c>
      <c r="N112" s="3">
        <v>269.89999999999998</v>
      </c>
      <c r="O112" s="2"/>
      <c r="P112">
        <v>1</v>
      </c>
      <c r="Q112" t="s">
        <v>17</v>
      </c>
      <c r="R112" s="4">
        <v>21.19</v>
      </c>
      <c r="S112" s="4">
        <v>0</v>
      </c>
      <c r="T112" t="s">
        <v>34</v>
      </c>
      <c r="U112" s="4">
        <v>3.32</v>
      </c>
      <c r="V112" s="4">
        <v>2.1619999999999999</v>
      </c>
      <c r="W112" s="4">
        <v>21.19</v>
      </c>
    </row>
    <row r="113" spans="1:23" ht="15" customHeight="1" x14ac:dyDescent="0.25">
      <c r="A113">
        <v>387</v>
      </c>
      <c r="B113" s="1">
        <v>45674.583333333343</v>
      </c>
      <c r="C113">
        <v>14</v>
      </c>
      <c r="D113" t="s">
        <v>58</v>
      </c>
      <c r="E113">
        <v>1</v>
      </c>
      <c r="F113" t="s">
        <v>32</v>
      </c>
      <c r="G113" t="s">
        <v>33</v>
      </c>
      <c r="H113" t="s">
        <v>54</v>
      </c>
      <c r="I113" t="s">
        <v>16</v>
      </c>
      <c r="J113" t="s">
        <v>24</v>
      </c>
      <c r="K113" s="2">
        <v>8600</v>
      </c>
      <c r="L113" s="3">
        <v>11.7</v>
      </c>
      <c r="M113" s="3">
        <v>92.9</v>
      </c>
      <c r="N113" s="3">
        <v>314.39999999999998</v>
      </c>
      <c r="O113" s="2">
        <v>749</v>
      </c>
      <c r="P113">
        <v>1</v>
      </c>
      <c r="Q113" t="s">
        <v>17</v>
      </c>
      <c r="R113" s="4">
        <v>74.930000000000007</v>
      </c>
      <c r="S113" s="4">
        <v>24.27</v>
      </c>
      <c r="T113" t="s">
        <v>34</v>
      </c>
      <c r="U113" s="4">
        <v>8.01</v>
      </c>
      <c r="V113" s="4">
        <v>8.7129999999999992</v>
      </c>
      <c r="W113" s="4">
        <v>50.66</v>
      </c>
    </row>
    <row r="114" spans="1:23" ht="15" customHeight="1" x14ac:dyDescent="0.25">
      <c r="A114">
        <v>1123</v>
      </c>
      <c r="B114" s="1">
        <v>45674.583333333343</v>
      </c>
      <c r="C114">
        <v>14</v>
      </c>
      <c r="D114" t="s">
        <v>58</v>
      </c>
      <c r="E114">
        <v>1</v>
      </c>
      <c r="F114" t="s">
        <v>32</v>
      </c>
      <c r="G114" t="s">
        <v>33</v>
      </c>
      <c r="H114" t="s">
        <v>51</v>
      </c>
      <c r="I114" t="s">
        <v>25</v>
      </c>
      <c r="J114" t="s">
        <v>15</v>
      </c>
      <c r="K114" s="2">
        <v>17400</v>
      </c>
      <c r="L114" s="3"/>
      <c r="M114" s="3">
        <v>82</v>
      </c>
      <c r="N114" s="3">
        <v>414.4</v>
      </c>
      <c r="O114" s="2">
        <v>1265</v>
      </c>
      <c r="P114">
        <v>1</v>
      </c>
      <c r="Q114" t="s">
        <v>23</v>
      </c>
      <c r="R114" s="4">
        <v>192.9</v>
      </c>
      <c r="S114" s="4">
        <v>51.74</v>
      </c>
      <c r="T114" t="s">
        <v>34</v>
      </c>
      <c r="U114" s="4">
        <v>21.64</v>
      </c>
      <c r="V114" s="4">
        <v>11.086</v>
      </c>
      <c r="W114" s="4">
        <v>141.16</v>
      </c>
    </row>
    <row r="115" spans="1:23" ht="15" customHeight="1" x14ac:dyDescent="0.25">
      <c r="A115">
        <v>755</v>
      </c>
      <c r="B115" s="1">
        <v>45674.583333333343</v>
      </c>
      <c r="C115">
        <v>14</v>
      </c>
      <c r="D115" t="s">
        <v>58</v>
      </c>
      <c r="E115">
        <v>1</v>
      </c>
      <c r="F115" t="s">
        <v>32</v>
      </c>
      <c r="G115" t="s">
        <v>33</v>
      </c>
      <c r="H115" t="s">
        <v>50</v>
      </c>
      <c r="I115" t="s">
        <v>22</v>
      </c>
      <c r="J115" t="s">
        <v>12</v>
      </c>
      <c r="K115" s="2">
        <v>21000</v>
      </c>
      <c r="L115" s="3">
        <v>14.2</v>
      </c>
      <c r="M115" s="3">
        <v>83.3</v>
      </c>
      <c r="N115" s="3">
        <v>351.4</v>
      </c>
      <c r="O115" s="2">
        <v>419</v>
      </c>
      <c r="P115">
        <v>1</v>
      </c>
      <c r="Q115" t="s">
        <v>17</v>
      </c>
      <c r="R115" s="4">
        <v>196.78</v>
      </c>
      <c r="S115" s="4">
        <v>69.77</v>
      </c>
      <c r="T115" t="s">
        <v>34</v>
      </c>
      <c r="U115" s="4">
        <v>20.260000000000002</v>
      </c>
      <c r="V115" s="4">
        <v>9.3699999999999992</v>
      </c>
      <c r="W115" s="4">
        <v>127.01</v>
      </c>
    </row>
    <row r="116" spans="1:23" ht="15" customHeight="1" x14ac:dyDescent="0.25">
      <c r="A116">
        <v>1492</v>
      </c>
      <c r="B116" s="1">
        <v>45674.833333333343</v>
      </c>
      <c r="C116">
        <v>20</v>
      </c>
      <c r="D116" t="s">
        <v>58</v>
      </c>
      <c r="E116">
        <v>1</v>
      </c>
      <c r="F116" t="s">
        <v>32</v>
      </c>
      <c r="G116" t="s">
        <v>33</v>
      </c>
      <c r="H116" t="s">
        <v>49</v>
      </c>
      <c r="I116" t="s">
        <v>27</v>
      </c>
      <c r="J116" t="s">
        <v>18</v>
      </c>
      <c r="K116" s="2">
        <v>26000</v>
      </c>
      <c r="L116" s="3">
        <v>6.7</v>
      </c>
      <c r="M116" s="3">
        <v>68.599999999999994</v>
      </c>
      <c r="N116" s="3">
        <v>0</v>
      </c>
      <c r="O116" s="2">
        <v>166</v>
      </c>
      <c r="P116">
        <v>1</v>
      </c>
      <c r="Q116" t="s">
        <v>17</v>
      </c>
      <c r="R116" s="4">
        <v>264.93</v>
      </c>
      <c r="S116" s="4">
        <v>0</v>
      </c>
      <c r="T116" t="s">
        <v>37</v>
      </c>
      <c r="U116" s="4">
        <v>64.48</v>
      </c>
      <c r="V116" s="4">
        <v>10.19</v>
      </c>
      <c r="W116" s="4">
        <v>264.93</v>
      </c>
    </row>
    <row r="117" spans="1:23" ht="15" customHeight="1" x14ac:dyDescent="0.25">
      <c r="A117">
        <v>1124</v>
      </c>
      <c r="B117" s="1">
        <v>45674.833333333343</v>
      </c>
      <c r="C117">
        <v>20</v>
      </c>
      <c r="D117" t="s">
        <v>58</v>
      </c>
      <c r="E117">
        <v>1</v>
      </c>
      <c r="F117" t="s">
        <v>32</v>
      </c>
      <c r="G117" t="s">
        <v>33</v>
      </c>
      <c r="H117" t="s">
        <v>51</v>
      </c>
      <c r="I117" t="s">
        <v>25</v>
      </c>
      <c r="J117" t="s">
        <v>15</v>
      </c>
      <c r="K117" s="2">
        <v>17400</v>
      </c>
      <c r="L117" s="3">
        <v>13.3</v>
      </c>
      <c r="M117" s="3">
        <v>81.5</v>
      </c>
      <c r="N117" s="3">
        <v>0</v>
      </c>
      <c r="O117" s="2">
        <v>1363</v>
      </c>
      <c r="P117">
        <v>1</v>
      </c>
      <c r="Q117" t="s">
        <v>17</v>
      </c>
      <c r="R117" s="4">
        <v>268.51</v>
      </c>
      <c r="S117" s="4">
        <v>0</v>
      </c>
      <c r="T117" t="s">
        <v>37</v>
      </c>
      <c r="U117" s="4">
        <v>63.88</v>
      </c>
      <c r="V117" s="4">
        <v>15.432</v>
      </c>
      <c r="W117" s="4">
        <v>268.51</v>
      </c>
    </row>
    <row r="118" spans="1:23" ht="15" customHeight="1" x14ac:dyDescent="0.25">
      <c r="A118">
        <v>1860</v>
      </c>
      <c r="B118" s="1">
        <v>45674.833333333343</v>
      </c>
      <c r="C118">
        <v>20</v>
      </c>
      <c r="D118" t="s">
        <v>58</v>
      </c>
      <c r="E118">
        <v>1</v>
      </c>
      <c r="F118" t="s">
        <v>32</v>
      </c>
      <c r="G118" t="s">
        <v>33</v>
      </c>
      <c r="H118" t="s">
        <v>52</v>
      </c>
      <c r="I118" t="s">
        <v>13</v>
      </c>
      <c r="J118" t="s">
        <v>21</v>
      </c>
      <c r="K118" s="2">
        <v>9800</v>
      </c>
      <c r="L118" s="3">
        <v>8.6999999999999993</v>
      </c>
      <c r="M118" s="3">
        <v>81.599999999999994</v>
      </c>
      <c r="N118" s="3">
        <v>0</v>
      </c>
      <c r="O118" s="2">
        <v>284</v>
      </c>
      <c r="P118">
        <v>1</v>
      </c>
      <c r="Q118" t="s">
        <v>17</v>
      </c>
      <c r="R118" s="4">
        <v>97.93</v>
      </c>
      <c r="S118" s="4">
        <v>0</v>
      </c>
      <c r="T118" t="s">
        <v>37</v>
      </c>
      <c r="U118" s="4">
        <v>24.03</v>
      </c>
      <c r="V118" s="4">
        <v>9.9930000000000003</v>
      </c>
      <c r="W118" s="4">
        <v>97.93</v>
      </c>
    </row>
    <row r="119" spans="1:23" ht="15" customHeight="1" x14ac:dyDescent="0.25">
      <c r="A119">
        <v>20</v>
      </c>
      <c r="B119" s="1">
        <v>45674.833333333343</v>
      </c>
      <c r="C119">
        <v>20</v>
      </c>
      <c r="D119" t="s">
        <v>58</v>
      </c>
      <c r="E119">
        <v>1</v>
      </c>
      <c r="F119" t="s">
        <v>32</v>
      </c>
      <c r="G119" t="s">
        <v>33</v>
      </c>
      <c r="H119" t="s">
        <v>53</v>
      </c>
      <c r="I119" t="s">
        <v>19</v>
      </c>
      <c r="J119" t="s">
        <v>26</v>
      </c>
      <c r="K119" s="2">
        <v>12500</v>
      </c>
      <c r="L119" s="3">
        <v>7</v>
      </c>
      <c r="M119" s="3">
        <v>74.400000000000006</v>
      </c>
      <c r="N119" s="3">
        <v>0</v>
      </c>
      <c r="O119" s="2">
        <v>106</v>
      </c>
      <c r="P119">
        <v>1</v>
      </c>
      <c r="Q119" t="s">
        <v>17</v>
      </c>
      <c r="R119" s="4">
        <v>43.19</v>
      </c>
      <c r="S119" s="4">
        <v>0</v>
      </c>
      <c r="T119" t="s">
        <v>37</v>
      </c>
      <c r="U119" s="4">
        <v>10.78</v>
      </c>
      <c r="V119" s="4">
        <v>3.4550000000000001</v>
      </c>
      <c r="W119" s="4">
        <v>43.19</v>
      </c>
    </row>
    <row r="120" spans="1:23" ht="15" customHeight="1" x14ac:dyDescent="0.25">
      <c r="A120">
        <v>756</v>
      </c>
      <c r="B120" s="1">
        <v>45674.833333333343</v>
      </c>
      <c r="C120">
        <v>20</v>
      </c>
      <c r="D120" t="s">
        <v>58</v>
      </c>
      <c r="E120">
        <v>1</v>
      </c>
      <c r="F120" t="s">
        <v>32</v>
      </c>
      <c r="G120" t="s">
        <v>33</v>
      </c>
      <c r="H120" t="s">
        <v>50</v>
      </c>
      <c r="I120" t="s">
        <v>22</v>
      </c>
      <c r="J120" t="s">
        <v>12</v>
      </c>
      <c r="K120" s="2">
        <v>21000</v>
      </c>
      <c r="L120" s="3">
        <v>11.6</v>
      </c>
      <c r="M120" s="3">
        <v>65.400000000000006</v>
      </c>
      <c r="N120" s="3">
        <v>0</v>
      </c>
      <c r="O120" s="2">
        <v>371</v>
      </c>
      <c r="P120">
        <v>1</v>
      </c>
      <c r="Q120" t="s">
        <v>17</v>
      </c>
      <c r="R120" s="4">
        <v>297.66000000000003</v>
      </c>
      <c r="S120" s="4">
        <v>0</v>
      </c>
      <c r="T120" t="s">
        <v>37</v>
      </c>
      <c r="U120" s="4">
        <v>72.989999999999995</v>
      </c>
      <c r="V120" s="4">
        <v>14.173999999999999</v>
      </c>
      <c r="W120" s="4">
        <v>297.66000000000003</v>
      </c>
    </row>
    <row r="121" spans="1:23" ht="15" customHeight="1" x14ac:dyDescent="0.25">
      <c r="A121">
        <v>388</v>
      </c>
      <c r="B121" s="1">
        <v>45674.833333333343</v>
      </c>
      <c r="C121">
        <v>20</v>
      </c>
      <c r="D121" t="s">
        <v>58</v>
      </c>
      <c r="E121">
        <v>1</v>
      </c>
      <c r="F121" t="s">
        <v>32</v>
      </c>
      <c r="G121" t="s">
        <v>33</v>
      </c>
      <c r="H121" t="s">
        <v>54</v>
      </c>
      <c r="I121" t="s">
        <v>16</v>
      </c>
      <c r="J121" t="s">
        <v>24</v>
      </c>
      <c r="K121" s="2">
        <v>8600</v>
      </c>
      <c r="L121" s="3">
        <v>8.1</v>
      </c>
      <c r="M121" s="3">
        <v>88.6</v>
      </c>
      <c r="N121" s="3">
        <v>0</v>
      </c>
      <c r="O121" s="2">
        <v>116</v>
      </c>
      <c r="P121">
        <v>1</v>
      </c>
      <c r="Q121" t="s">
        <v>17</v>
      </c>
      <c r="R121" s="4">
        <v>29.83</v>
      </c>
      <c r="S121" s="4">
        <v>0</v>
      </c>
      <c r="T121" t="s">
        <v>37</v>
      </c>
      <c r="U121" s="4">
        <v>7.28</v>
      </c>
      <c r="V121" s="4">
        <v>3.4689999999999999</v>
      </c>
      <c r="W121" s="4">
        <v>29.83</v>
      </c>
    </row>
    <row r="122" spans="1:23" ht="15" customHeight="1" x14ac:dyDescent="0.25">
      <c r="A122">
        <v>1493</v>
      </c>
      <c r="B122" s="1">
        <v>45678</v>
      </c>
      <c r="C122">
        <v>0</v>
      </c>
      <c r="D122" t="s">
        <v>59</v>
      </c>
      <c r="E122">
        <v>1</v>
      </c>
      <c r="F122" t="s">
        <v>32</v>
      </c>
      <c r="G122" t="s">
        <v>33</v>
      </c>
      <c r="H122" t="s">
        <v>49</v>
      </c>
      <c r="I122" t="s">
        <v>27</v>
      </c>
      <c r="J122" t="s">
        <v>18</v>
      </c>
      <c r="K122" s="2">
        <v>26000</v>
      </c>
      <c r="L122" s="3"/>
      <c r="M122" s="3">
        <v>88</v>
      </c>
      <c r="N122" s="3">
        <v>0</v>
      </c>
      <c r="O122" s="2">
        <v>56</v>
      </c>
      <c r="P122">
        <v>1</v>
      </c>
      <c r="Q122" t="s">
        <v>17</v>
      </c>
      <c r="R122" s="4">
        <v>131.11000000000001</v>
      </c>
      <c r="S122" s="4">
        <v>0</v>
      </c>
      <c r="T122" t="s">
        <v>31</v>
      </c>
      <c r="U122" s="4">
        <v>12.95</v>
      </c>
      <c r="V122" s="4">
        <v>5.0430000000000001</v>
      </c>
      <c r="W122" s="4">
        <v>131.11000000000001</v>
      </c>
    </row>
    <row r="123" spans="1:23" ht="15" customHeight="1" x14ac:dyDescent="0.25">
      <c r="A123">
        <v>1125</v>
      </c>
      <c r="B123" s="1">
        <v>45678</v>
      </c>
      <c r="C123">
        <v>0</v>
      </c>
      <c r="D123" t="s">
        <v>59</v>
      </c>
      <c r="E123">
        <v>1</v>
      </c>
      <c r="F123" t="s">
        <v>32</v>
      </c>
      <c r="G123" t="s">
        <v>33</v>
      </c>
      <c r="H123" t="s">
        <v>51</v>
      </c>
      <c r="I123" t="s">
        <v>25</v>
      </c>
      <c r="J123" t="s">
        <v>15</v>
      </c>
      <c r="K123" s="2">
        <v>17400</v>
      </c>
      <c r="L123" s="3">
        <v>7.9</v>
      </c>
      <c r="M123" s="3">
        <v>87.6</v>
      </c>
      <c r="N123" s="3">
        <v>0</v>
      </c>
      <c r="O123" s="2">
        <v>19</v>
      </c>
      <c r="P123">
        <v>0</v>
      </c>
      <c r="Q123" t="s">
        <v>14</v>
      </c>
      <c r="R123" s="4">
        <v>50.1</v>
      </c>
      <c r="S123" s="4">
        <v>0</v>
      </c>
      <c r="T123" t="s">
        <v>31</v>
      </c>
      <c r="U123" s="4">
        <v>4.9400000000000004</v>
      </c>
      <c r="V123" s="4">
        <v>2.879</v>
      </c>
      <c r="W123" s="4">
        <v>50.1</v>
      </c>
    </row>
    <row r="124" spans="1:23" ht="15" customHeight="1" x14ac:dyDescent="0.25">
      <c r="A124">
        <v>21</v>
      </c>
      <c r="B124" s="1">
        <v>45678</v>
      </c>
      <c r="C124">
        <v>0</v>
      </c>
      <c r="D124" t="s">
        <v>59</v>
      </c>
      <c r="E124">
        <v>1</v>
      </c>
      <c r="F124" t="s">
        <v>32</v>
      </c>
      <c r="G124" t="s">
        <v>33</v>
      </c>
      <c r="H124" t="s">
        <v>53</v>
      </c>
      <c r="I124" t="s">
        <v>19</v>
      </c>
      <c r="J124" t="s">
        <v>26</v>
      </c>
      <c r="K124" s="2">
        <v>12500</v>
      </c>
      <c r="L124" s="3">
        <v>1.5</v>
      </c>
      <c r="M124" s="3">
        <v>73</v>
      </c>
      <c r="N124" s="3">
        <v>0</v>
      </c>
      <c r="O124" s="2">
        <v>23</v>
      </c>
      <c r="P124">
        <v>0</v>
      </c>
      <c r="Q124" t="s">
        <v>14</v>
      </c>
      <c r="R124" s="4">
        <v>24.83</v>
      </c>
      <c r="S124" s="4">
        <v>0</v>
      </c>
      <c r="T124" t="s">
        <v>31</v>
      </c>
      <c r="U124" s="4">
        <v>2.42</v>
      </c>
      <c r="V124" s="4">
        <v>1.986</v>
      </c>
      <c r="W124" s="4">
        <v>24.83</v>
      </c>
    </row>
    <row r="125" spans="1:23" ht="15" customHeight="1" x14ac:dyDescent="0.25">
      <c r="A125">
        <v>1861</v>
      </c>
      <c r="B125" s="1">
        <v>45678</v>
      </c>
      <c r="C125">
        <v>0</v>
      </c>
      <c r="D125" t="s">
        <v>59</v>
      </c>
      <c r="E125">
        <v>1</v>
      </c>
      <c r="F125" t="s">
        <v>32</v>
      </c>
      <c r="G125" t="s">
        <v>33</v>
      </c>
      <c r="H125" t="s">
        <v>52</v>
      </c>
      <c r="I125" t="s">
        <v>13</v>
      </c>
      <c r="J125" t="s">
        <v>21</v>
      </c>
      <c r="K125" s="2">
        <v>9800</v>
      </c>
      <c r="L125" s="3">
        <v>8.8000000000000007</v>
      </c>
      <c r="M125" s="3">
        <v>92.9</v>
      </c>
      <c r="N125" s="3">
        <v>0</v>
      </c>
      <c r="O125" s="2">
        <v>309</v>
      </c>
      <c r="P125">
        <v>1</v>
      </c>
      <c r="Q125" t="s">
        <v>17</v>
      </c>
      <c r="R125" s="4">
        <v>96.11</v>
      </c>
      <c r="S125" s="4">
        <v>0</v>
      </c>
      <c r="T125" t="s">
        <v>31</v>
      </c>
      <c r="U125" s="4">
        <v>9.59</v>
      </c>
      <c r="V125" s="4">
        <v>9.8070000000000004</v>
      </c>
      <c r="W125" s="4">
        <v>96.11</v>
      </c>
    </row>
    <row r="126" spans="1:23" ht="15" customHeight="1" x14ac:dyDescent="0.25">
      <c r="A126">
        <v>757</v>
      </c>
      <c r="B126" s="1">
        <v>45678</v>
      </c>
      <c r="C126">
        <v>0</v>
      </c>
      <c r="D126" t="s">
        <v>59</v>
      </c>
      <c r="E126">
        <v>1</v>
      </c>
      <c r="F126" t="s">
        <v>32</v>
      </c>
      <c r="G126" t="s">
        <v>33</v>
      </c>
      <c r="H126" t="s">
        <v>50</v>
      </c>
      <c r="I126" t="s">
        <v>22</v>
      </c>
      <c r="J126" t="s">
        <v>12</v>
      </c>
      <c r="K126" s="2">
        <v>21000</v>
      </c>
      <c r="L126" s="3">
        <v>4.5999999999999996</v>
      </c>
      <c r="M126" s="3">
        <v>76.400000000000006</v>
      </c>
      <c r="N126" s="3">
        <v>0</v>
      </c>
      <c r="O126" s="2">
        <v>212</v>
      </c>
      <c r="P126">
        <v>1</v>
      </c>
      <c r="Q126" t="s">
        <v>17</v>
      </c>
      <c r="R126" s="4">
        <v>180.25</v>
      </c>
      <c r="S126" s="4">
        <v>0</v>
      </c>
      <c r="T126" t="s">
        <v>31</v>
      </c>
      <c r="U126" s="4">
        <v>17</v>
      </c>
      <c r="V126" s="4">
        <v>8.5830000000000002</v>
      </c>
      <c r="W126" s="4">
        <v>180.25</v>
      </c>
    </row>
    <row r="127" spans="1:23" ht="15" customHeight="1" x14ac:dyDescent="0.25">
      <c r="A127">
        <v>389</v>
      </c>
      <c r="B127" s="1">
        <v>45678</v>
      </c>
      <c r="C127">
        <v>0</v>
      </c>
      <c r="D127" t="s">
        <v>59</v>
      </c>
      <c r="E127">
        <v>1</v>
      </c>
      <c r="F127" t="s">
        <v>32</v>
      </c>
      <c r="G127" t="s">
        <v>33</v>
      </c>
      <c r="H127" t="s">
        <v>54</v>
      </c>
      <c r="I127" t="s">
        <v>16</v>
      </c>
      <c r="J127" t="s">
        <v>24</v>
      </c>
      <c r="K127" s="2">
        <v>8600</v>
      </c>
      <c r="L127" s="3">
        <v>1.7</v>
      </c>
      <c r="M127" s="3">
        <v>97.3</v>
      </c>
      <c r="N127" s="3">
        <v>0</v>
      </c>
      <c r="O127" s="2">
        <v>95</v>
      </c>
      <c r="P127">
        <v>1</v>
      </c>
      <c r="Q127" t="s">
        <v>17</v>
      </c>
      <c r="R127" s="4">
        <v>30.03</v>
      </c>
      <c r="S127" s="4">
        <v>0</v>
      </c>
      <c r="T127" t="s">
        <v>31</v>
      </c>
      <c r="U127" s="4">
        <v>2.91</v>
      </c>
      <c r="V127" s="4">
        <v>3.492</v>
      </c>
      <c r="W127" s="4">
        <v>30.03</v>
      </c>
    </row>
    <row r="128" spans="1:23" ht="15" customHeight="1" x14ac:dyDescent="0.25">
      <c r="A128">
        <v>22</v>
      </c>
      <c r="B128" s="1">
        <v>45678.333333333343</v>
      </c>
      <c r="C128">
        <v>8</v>
      </c>
      <c r="D128" t="s">
        <v>59</v>
      </c>
      <c r="E128">
        <v>1</v>
      </c>
      <c r="F128" t="s">
        <v>32</v>
      </c>
      <c r="G128" t="s">
        <v>33</v>
      </c>
      <c r="H128" t="s">
        <v>53</v>
      </c>
      <c r="I128" t="s">
        <v>19</v>
      </c>
      <c r="J128" t="s">
        <v>26</v>
      </c>
      <c r="K128" s="2">
        <v>12500</v>
      </c>
      <c r="L128" s="3">
        <v>1</v>
      </c>
      <c r="M128" s="3">
        <v>90.8</v>
      </c>
      <c r="N128" s="3">
        <v>0</v>
      </c>
      <c r="O128" s="2">
        <v>339</v>
      </c>
      <c r="P128">
        <v>1</v>
      </c>
      <c r="Q128" t="s">
        <v>17</v>
      </c>
      <c r="R128" s="4">
        <v>113.23</v>
      </c>
      <c r="S128" s="4">
        <v>0</v>
      </c>
      <c r="T128" t="s">
        <v>34</v>
      </c>
      <c r="U128" s="4">
        <v>17.260000000000002</v>
      </c>
      <c r="V128" s="4">
        <v>9.0579999999999998</v>
      </c>
      <c r="W128" s="4">
        <v>113.23</v>
      </c>
    </row>
    <row r="129" spans="1:23" ht="15" customHeight="1" x14ac:dyDescent="0.25">
      <c r="A129">
        <v>758</v>
      </c>
      <c r="B129" s="1">
        <v>45678.333333333343</v>
      </c>
      <c r="C129">
        <v>8</v>
      </c>
      <c r="D129" t="s">
        <v>59</v>
      </c>
      <c r="E129">
        <v>1</v>
      </c>
      <c r="F129" t="s">
        <v>32</v>
      </c>
      <c r="G129" t="s">
        <v>33</v>
      </c>
      <c r="H129" t="s">
        <v>50</v>
      </c>
      <c r="I129" t="s">
        <v>22</v>
      </c>
      <c r="J129" t="s">
        <v>12</v>
      </c>
      <c r="K129" s="2">
        <v>21000</v>
      </c>
      <c r="L129" s="3">
        <v>6.5</v>
      </c>
      <c r="M129" s="3">
        <v>78.8</v>
      </c>
      <c r="N129" s="3">
        <v>0</v>
      </c>
      <c r="O129" s="2">
        <v>419</v>
      </c>
      <c r="P129">
        <v>1</v>
      </c>
      <c r="Q129" t="s">
        <v>17</v>
      </c>
      <c r="R129" s="4">
        <v>317.2</v>
      </c>
      <c r="S129" s="4">
        <v>0</v>
      </c>
      <c r="T129" t="s">
        <v>34</v>
      </c>
      <c r="U129" s="4">
        <v>48.79</v>
      </c>
      <c r="V129" s="4">
        <v>15.105</v>
      </c>
      <c r="W129" s="4">
        <v>317.2</v>
      </c>
    </row>
    <row r="130" spans="1:23" ht="15" customHeight="1" x14ac:dyDescent="0.25">
      <c r="A130">
        <v>1862</v>
      </c>
      <c r="B130" s="1">
        <v>45678.333333333343</v>
      </c>
      <c r="C130">
        <v>8</v>
      </c>
      <c r="D130" t="s">
        <v>59</v>
      </c>
      <c r="E130">
        <v>1</v>
      </c>
      <c r="F130" t="s">
        <v>32</v>
      </c>
      <c r="G130" t="s">
        <v>33</v>
      </c>
      <c r="H130" t="s">
        <v>52</v>
      </c>
      <c r="I130" t="s">
        <v>13</v>
      </c>
      <c r="J130" t="s">
        <v>21</v>
      </c>
      <c r="K130" s="2">
        <v>9800</v>
      </c>
      <c r="L130" s="3">
        <v>8.4</v>
      </c>
      <c r="M130" s="3">
        <v>81</v>
      </c>
      <c r="N130" s="3">
        <v>0</v>
      </c>
      <c r="O130" s="2">
        <v>97</v>
      </c>
      <c r="P130">
        <v>1</v>
      </c>
      <c r="Q130" t="s">
        <v>17</v>
      </c>
      <c r="R130" s="4">
        <v>39.270000000000003</v>
      </c>
      <c r="S130" s="4">
        <v>0</v>
      </c>
      <c r="T130" t="s">
        <v>34</v>
      </c>
      <c r="U130" s="4">
        <v>5.99</v>
      </c>
      <c r="V130" s="4">
        <v>4.0069999999999997</v>
      </c>
      <c r="W130" s="4">
        <v>39.270000000000003</v>
      </c>
    </row>
    <row r="131" spans="1:23" ht="15" customHeight="1" x14ac:dyDescent="0.25">
      <c r="A131">
        <v>390</v>
      </c>
      <c r="B131" s="1">
        <v>45678.333333333343</v>
      </c>
      <c r="C131">
        <v>8</v>
      </c>
      <c r="D131" t="s">
        <v>59</v>
      </c>
      <c r="E131">
        <v>1</v>
      </c>
      <c r="F131" t="s">
        <v>32</v>
      </c>
      <c r="G131" t="s">
        <v>33</v>
      </c>
      <c r="H131" t="s">
        <v>54</v>
      </c>
      <c r="I131" t="s">
        <v>16</v>
      </c>
      <c r="J131" t="s">
        <v>24</v>
      </c>
      <c r="K131" s="2">
        <v>8600</v>
      </c>
      <c r="L131" s="3">
        <v>6.5</v>
      </c>
      <c r="M131" s="3">
        <v>89</v>
      </c>
      <c r="N131" s="3">
        <v>0</v>
      </c>
      <c r="O131" s="2">
        <v>813</v>
      </c>
      <c r="P131">
        <v>1</v>
      </c>
      <c r="Q131" t="s">
        <v>17</v>
      </c>
      <c r="R131" s="4">
        <v>119.3</v>
      </c>
      <c r="S131" s="4">
        <v>0</v>
      </c>
      <c r="T131" t="s">
        <v>34</v>
      </c>
      <c r="U131" s="4">
        <v>19.12</v>
      </c>
      <c r="V131" s="4">
        <v>13.872</v>
      </c>
      <c r="W131" s="4">
        <v>119.3</v>
      </c>
    </row>
    <row r="132" spans="1:23" ht="15" customHeight="1" x14ac:dyDescent="0.25">
      <c r="A132">
        <v>1494</v>
      </c>
      <c r="B132" s="1">
        <v>45678.333333333343</v>
      </c>
      <c r="C132">
        <v>8</v>
      </c>
      <c r="D132" t="s">
        <v>59</v>
      </c>
      <c r="E132">
        <v>1</v>
      </c>
      <c r="F132" t="s">
        <v>32</v>
      </c>
      <c r="G132" t="s">
        <v>33</v>
      </c>
      <c r="H132" t="s">
        <v>49</v>
      </c>
      <c r="I132" t="s">
        <v>27</v>
      </c>
      <c r="J132" t="s">
        <v>18</v>
      </c>
      <c r="K132" s="2">
        <v>26000</v>
      </c>
      <c r="L132" s="3">
        <v>5.5</v>
      </c>
      <c r="M132" s="3"/>
      <c r="N132" s="3">
        <v>0</v>
      </c>
      <c r="O132" s="2">
        <v>175</v>
      </c>
      <c r="P132">
        <v>1</v>
      </c>
      <c r="Q132" t="s">
        <v>17</v>
      </c>
      <c r="R132" s="4">
        <v>262.61</v>
      </c>
      <c r="S132" s="4">
        <v>0</v>
      </c>
      <c r="T132" t="s">
        <v>34</v>
      </c>
      <c r="U132" s="4">
        <v>41.52</v>
      </c>
      <c r="V132" s="4">
        <v>10.1</v>
      </c>
      <c r="W132" s="4">
        <v>262.61</v>
      </c>
    </row>
    <row r="133" spans="1:23" ht="15" customHeight="1" x14ac:dyDescent="0.25">
      <c r="A133">
        <v>1126</v>
      </c>
      <c r="B133" s="1">
        <v>45678.333333333343</v>
      </c>
      <c r="C133">
        <v>8</v>
      </c>
      <c r="D133" t="s">
        <v>59</v>
      </c>
      <c r="E133">
        <v>1</v>
      </c>
      <c r="F133" t="s">
        <v>32</v>
      </c>
      <c r="G133" t="s">
        <v>33</v>
      </c>
      <c r="H133" t="s">
        <v>51</v>
      </c>
      <c r="I133" t="s">
        <v>25</v>
      </c>
      <c r="J133" t="s">
        <v>15</v>
      </c>
      <c r="K133" s="2">
        <v>17400</v>
      </c>
      <c r="L133" s="3">
        <v>9.6999999999999993</v>
      </c>
      <c r="M133" s="3">
        <v>83.8</v>
      </c>
      <c r="N133" s="3">
        <v>0</v>
      </c>
      <c r="O133" s="2">
        <v>64</v>
      </c>
      <c r="P133">
        <v>0</v>
      </c>
      <c r="Q133" t="s">
        <v>14</v>
      </c>
      <c r="R133" s="4">
        <v>49.8</v>
      </c>
      <c r="S133" s="4">
        <v>0</v>
      </c>
      <c r="T133" t="s">
        <v>34</v>
      </c>
      <c r="U133" s="4">
        <v>7.84</v>
      </c>
      <c r="V133" s="4">
        <v>2.8620000000000001</v>
      </c>
      <c r="W133" s="4">
        <v>49.8</v>
      </c>
    </row>
    <row r="134" spans="1:23" ht="15" customHeight="1" x14ac:dyDescent="0.25">
      <c r="A134">
        <v>1863</v>
      </c>
      <c r="B134" s="1">
        <v>45678.583333333343</v>
      </c>
      <c r="C134">
        <v>14</v>
      </c>
      <c r="D134" t="s">
        <v>59</v>
      </c>
      <c r="E134">
        <v>1</v>
      </c>
      <c r="F134" t="s">
        <v>32</v>
      </c>
      <c r="G134" t="s">
        <v>33</v>
      </c>
      <c r="H134" t="s">
        <v>52</v>
      </c>
      <c r="I134" t="s">
        <v>13</v>
      </c>
      <c r="J134" t="s">
        <v>21</v>
      </c>
      <c r="K134" s="2">
        <v>9800</v>
      </c>
      <c r="L134" s="3">
        <v>11.9</v>
      </c>
      <c r="M134" s="3">
        <v>93.1</v>
      </c>
      <c r="N134" s="3">
        <v>390.9</v>
      </c>
      <c r="O134" s="2">
        <v>96</v>
      </c>
      <c r="P134">
        <v>1</v>
      </c>
      <c r="Q134" t="s">
        <v>17</v>
      </c>
      <c r="R134" s="4">
        <v>22.87</v>
      </c>
      <c r="S134" s="4">
        <v>0</v>
      </c>
      <c r="T134" t="s">
        <v>34</v>
      </c>
      <c r="U134" s="4">
        <v>3.63</v>
      </c>
      <c r="V134" s="4">
        <v>2.3340000000000001</v>
      </c>
      <c r="W134" s="4">
        <v>22.87</v>
      </c>
    </row>
    <row r="135" spans="1:23" ht="15" customHeight="1" x14ac:dyDescent="0.25">
      <c r="A135">
        <v>759</v>
      </c>
      <c r="B135" s="1">
        <v>45678.583333333343</v>
      </c>
      <c r="C135">
        <v>14</v>
      </c>
      <c r="D135" t="s">
        <v>59</v>
      </c>
      <c r="E135">
        <v>1</v>
      </c>
      <c r="F135" t="s">
        <v>32</v>
      </c>
      <c r="G135" t="s">
        <v>33</v>
      </c>
      <c r="H135" t="s">
        <v>50</v>
      </c>
      <c r="I135" t="s">
        <v>22</v>
      </c>
      <c r="J135" t="s">
        <v>12</v>
      </c>
      <c r="K135" s="2">
        <v>21000</v>
      </c>
      <c r="L135" s="3">
        <v>16.2</v>
      </c>
      <c r="M135" s="3">
        <v>80</v>
      </c>
      <c r="N135" s="3">
        <v>330.2</v>
      </c>
      <c r="O135" s="2">
        <v>382</v>
      </c>
      <c r="P135">
        <v>0</v>
      </c>
      <c r="Q135" t="s">
        <v>14</v>
      </c>
      <c r="R135" s="4">
        <v>208.85</v>
      </c>
      <c r="S135" s="4">
        <v>64.900000000000006</v>
      </c>
      <c r="T135" t="s">
        <v>34</v>
      </c>
      <c r="U135" s="4">
        <v>23.03</v>
      </c>
      <c r="V135" s="4">
        <v>9.9450000000000003</v>
      </c>
      <c r="W135" s="4">
        <v>143.94999999999999</v>
      </c>
    </row>
    <row r="136" spans="1:23" ht="15" customHeight="1" x14ac:dyDescent="0.25">
      <c r="A136">
        <v>391</v>
      </c>
      <c r="B136" s="1">
        <v>45678.583333333343</v>
      </c>
      <c r="C136">
        <v>14</v>
      </c>
      <c r="D136" t="s">
        <v>59</v>
      </c>
      <c r="E136">
        <v>1</v>
      </c>
      <c r="F136" t="s">
        <v>32</v>
      </c>
      <c r="G136" t="s">
        <v>33</v>
      </c>
      <c r="H136" t="s">
        <v>54</v>
      </c>
      <c r="I136" t="s">
        <v>16</v>
      </c>
      <c r="J136" t="s">
        <v>24</v>
      </c>
      <c r="K136" s="2">
        <v>8600</v>
      </c>
      <c r="L136" s="3">
        <v>10.4</v>
      </c>
      <c r="M136" s="3">
        <v>99</v>
      </c>
      <c r="N136" s="3">
        <v>255</v>
      </c>
      <c r="O136" s="2">
        <v>779</v>
      </c>
      <c r="P136">
        <v>1</v>
      </c>
      <c r="Q136" t="s">
        <v>17</v>
      </c>
      <c r="R136" s="4">
        <v>83.25</v>
      </c>
      <c r="S136" s="4">
        <v>19.2</v>
      </c>
      <c r="T136" t="s">
        <v>34</v>
      </c>
      <c r="U136" s="4">
        <v>9.6999999999999993</v>
      </c>
      <c r="V136" s="4">
        <v>9.68</v>
      </c>
      <c r="W136" s="4">
        <v>64.05</v>
      </c>
    </row>
    <row r="137" spans="1:23" ht="15" customHeight="1" x14ac:dyDescent="0.25">
      <c r="A137">
        <v>1495</v>
      </c>
      <c r="B137" s="1">
        <v>45678.583333333343</v>
      </c>
      <c r="C137">
        <v>14</v>
      </c>
      <c r="D137" t="s">
        <v>59</v>
      </c>
      <c r="E137">
        <v>1</v>
      </c>
      <c r="F137" t="s">
        <v>32</v>
      </c>
      <c r="G137" t="s">
        <v>33</v>
      </c>
      <c r="H137" t="s">
        <v>49</v>
      </c>
      <c r="I137" t="s">
        <v>27</v>
      </c>
      <c r="J137" t="s">
        <v>18</v>
      </c>
      <c r="K137" s="2">
        <v>26000</v>
      </c>
      <c r="L137" s="3">
        <v>11.2</v>
      </c>
      <c r="M137" s="3">
        <v>76.5</v>
      </c>
      <c r="N137" s="3">
        <v>364.4</v>
      </c>
      <c r="O137" s="2">
        <v>153</v>
      </c>
      <c r="P137">
        <v>1</v>
      </c>
      <c r="Q137" t="s">
        <v>17</v>
      </c>
      <c r="R137" s="4">
        <v>164.61</v>
      </c>
      <c r="S137" s="4">
        <v>104.59</v>
      </c>
      <c r="T137" t="s">
        <v>34</v>
      </c>
      <c r="U137" s="4">
        <v>9.44</v>
      </c>
      <c r="V137" s="4">
        <v>6.3310000000000004</v>
      </c>
      <c r="W137" s="4">
        <v>60.02</v>
      </c>
    </row>
    <row r="138" spans="1:23" ht="15" customHeight="1" x14ac:dyDescent="0.25">
      <c r="A138">
        <v>1127</v>
      </c>
      <c r="B138" s="1">
        <v>45678.583333333343</v>
      </c>
      <c r="C138">
        <v>14</v>
      </c>
      <c r="D138" t="s">
        <v>59</v>
      </c>
      <c r="E138">
        <v>1</v>
      </c>
      <c r="F138" t="s">
        <v>32</v>
      </c>
      <c r="G138" t="s">
        <v>33</v>
      </c>
      <c r="H138" t="s">
        <v>51</v>
      </c>
      <c r="I138" t="s">
        <v>25</v>
      </c>
      <c r="J138" t="s">
        <v>15</v>
      </c>
      <c r="K138" s="2">
        <v>17400</v>
      </c>
      <c r="L138" s="3">
        <v>15.3</v>
      </c>
      <c r="M138" s="3">
        <v>83.4</v>
      </c>
      <c r="N138" s="3">
        <v>318.3</v>
      </c>
      <c r="O138" s="2">
        <v>1222</v>
      </c>
      <c r="P138">
        <v>1</v>
      </c>
      <c r="Q138" t="s">
        <v>23</v>
      </c>
      <c r="R138" s="4">
        <v>201.21</v>
      </c>
      <c r="S138" s="4">
        <v>41.78</v>
      </c>
      <c r="T138" t="s">
        <v>34</v>
      </c>
      <c r="U138" s="4">
        <v>25</v>
      </c>
      <c r="V138" s="4">
        <v>11.564</v>
      </c>
      <c r="W138" s="4">
        <v>159.43</v>
      </c>
    </row>
    <row r="139" spans="1:23" ht="15" customHeight="1" x14ac:dyDescent="0.25">
      <c r="A139">
        <v>23</v>
      </c>
      <c r="B139" s="1">
        <v>45678.583333333343</v>
      </c>
      <c r="C139">
        <v>14</v>
      </c>
      <c r="D139" t="s">
        <v>59</v>
      </c>
      <c r="E139">
        <v>1</v>
      </c>
      <c r="F139" t="s">
        <v>32</v>
      </c>
      <c r="G139" t="s">
        <v>33</v>
      </c>
      <c r="H139" t="s">
        <v>53</v>
      </c>
      <c r="I139" t="s">
        <v>19</v>
      </c>
      <c r="J139" t="s">
        <v>26</v>
      </c>
      <c r="K139" s="2">
        <v>12500</v>
      </c>
      <c r="L139" s="3">
        <v>8.1</v>
      </c>
      <c r="M139" s="3">
        <v>67.099999999999994</v>
      </c>
      <c r="N139" s="3">
        <v>476.3</v>
      </c>
      <c r="O139" s="2">
        <v>623</v>
      </c>
      <c r="P139">
        <v>1</v>
      </c>
      <c r="Q139" t="s">
        <v>17</v>
      </c>
      <c r="R139" s="4">
        <v>109.12</v>
      </c>
      <c r="S139" s="4">
        <v>71.400000000000006</v>
      </c>
      <c r="T139" t="s">
        <v>34</v>
      </c>
      <c r="U139" s="4">
        <v>5.91</v>
      </c>
      <c r="V139" s="4">
        <v>8.73</v>
      </c>
      <c r="W139" s="4">
        <v>37.72</v>
      </c>
    </row>
    <row r="140" spans="1:23" ht="15" customHeight="1" x14ac:dyDescent="0.25">
      <c r="A140">
        <v>24</v>
      </c>
      <c r="B140" s="1">
        <v>45678.833333333343</v>
      </c>
      <c r="C140">
        <v>20</v>
      </c>
      <c r="D140" t="s">
        <v>59</v>
      </c>
      <c r="E140">
        <v>1</v>
      </c>
      <c r="F140" t="s">
        <v>32</v>
      </c>
      <c r="G140" t="s">
        <v>33</v>
      </c>
      <c r="H140" t="s">
        <v>53</v>
      </c>
      <c r="I140" t="s">
        <v>19</v>
      </c>
      <c r="J140" t="s">
        <v>26</v>
      </c>
      <c r="K140" s="2">
        <v>12500</v>
      </c>
      <c r="L140" s="3">
        <v>3.8</v>
      </c>
      <c r="M140" s="3">
        <v>77.8</v>
      </c>
      <c r="N140" s="3">
        <v>0</v>
      </c>
      <c r="O140" s="2">
        <v>37</v>
      </c>
      <c r="P140">
        <v>1</v>
      </c>
      <c r="Q140" t="s">
        <v>17</v>
      </c>
      <c r="R140" s="4">
        <v>44.05</v>
      </c>
      <c r="S140" s="4">
        <v>0</v>
      </c>
      <c r="T140" t="s">
        <v>37</v>
      </c>
      <c r="U140" s="4">
        <v>10.59</v>
      </c>
      <c r="V140" s="4">
        <v>3.524</v>
      </c>
      <c r="W140" s="4">
        <v>44.05</v>
      </c>
    </row>
    <row r="141" spans="1:23" ht="15" customHeight="1" x14ac:dyDescent="0.25">
      <c r="A141">
        <v>1864</v>
      </c>
      <c r="B141" s="1">
        <v>45678.833333333343</v>
      </c>
      <c r="C141">
        <v>20</v>
      </c>
      <c r="D141" t="s">
        <v>59</v>
      </c>
      <c r="E141">
        <v>1</v>
      </c>
      <c r="F141" t="s">
        <v>32</v>
      </c>
      <c r="G141" t="s">
        <v>33</v>
      </c>
      <c r="H141" t="s">
        <v>52</v>
      </c>
      <c r="I141" t="s">
        <v>13</v>
      </c>
      <c r="J141" t="s">
        <v>21</v>
      </c>
      <c r="K141" s="2">
        <v>9800</v>
      </c>
      <c r="L141" s="3">
        <v>10.1</v>
      </c>
      <c r="M141" s="3">
        <v>86.8</v>
      </c>
      <c r="N141" s="3">
        <v>0</v>
      </c>
      <c r="O141" s="2">
        <v>334</v>
      </c>
      <c r="P141">
        <v>1</v>
      </c>
      <c r="Q141" t="s">
        <v>17</v>
      </c>
      <c r="R141" s="4">
        <v>104.2</v>
      </c>
      <c r="S141" s="4">
        <v>0</v>
      </c>
      <c r="T141" t="s">
        <v>37</v>
      </c>
      <c r="U141" s="4">
        <v>24.85</v>
      </c>
      <c r="V141" s="4">
        <v>10.632999999999999</v>
      </c>
      <c r="W141" s="4">
        <v>104.2</v>
      </c>
    </row>
    <row r="142" spans="1:23" ht="15" customHeight="1" x14ac:dyDescent="0.25">
      <c r="A142">
        <v>1496</v>
      </c>
      <c r="B142" s="1">
        <v>45678.833333333343</v>
      </c>
      <c r="C142">
        <v>20</v>
      </c>
      <c r="D142" t="s">
        <v>59</v>
      </c>
      <c r="E142">
        <v>1</v>
      </c>
      <c r="F142" t="s">
        <v>32</v>
      </c>
      <c r="G142" t="s">
        <v>33</v>
      </c>
      <c r="H142" t="s">
        <v>49</v>
      </c>
      <c r="I142" t="s">
        <v>27</v>
      </c>
      <c r="J142" t="s">
        <v>18</v>
      </c>
      <c r="K142" s="2">
        <v>26000</v>
      </c>
      <c r="L142" s="3">
        <v>6.8</v>
      </c>
      <c r="M142" s="3">
        <v>84.6</v>
      </c>
      <c r="N142" s="3">
        <v>0</v>
      </c>
      <c r="O142" s="2">
        <v>170</v>
      </c>
      <c r="P142">
        <v>1</v>
      </c>
      <c r="Q142" t="s">
        <v>17</v>
      </c>
      <c r="R142" s="4">
        <v>265.99</v>
      </c>
      <c r="S142" s="4">
        <v>0</v>
      </c>
      <c r="T142" t="s">
        <v>37</v>
      </c>
      <c r="U142" s="4">
        <v>64.290000000000006</v>
      </c>
      <c r="V142" s="4">
        <v>10.23</v>
      </c>
      <c r="W142" s="4">
        <v>265.99</v>
      </c>
    </row>
    <row r="143" spans="1:23" ht="15" customHeight="1" x14ac:dyDescent="0.25">
      <c r="A143">
        <v>760</v>
      </c>
      <c r="B143" s="1">
        <v>45678.833333333343</v>
      </c>
      <c r="C143">
        <v>20</v>
      </c>
      <c r="D143" t="s">
        <v>59</v>
      </c>
      <c r="E143">
        <v>1</v>
      </c>
      <c r="F143" t="s">
        <v>32</v>
      </c>
      <c r="G143" t="s">
        <v>33</v>
      </c>
      <c r="H143" t="s">
        <v>50</v>
      </c>
      <c r="I143" t="s">
        <v>22</v>
      </c>
      <c r="J143" t="s">
        <v>12</v>
      </c>
      <c r="K143" s="2">
        <v>21000</v>
      </c>
      <c r="L143" s="3">
        <v>10.8</v>
      </c>
      <c r="M143" s="3">
        <v>82.3</v>
      </c>
      <c r="N143" s="3">
        <v>0</v>
      </c>
      <c r="O143" s="2">
        <v>413</v>
      </c>
      <c r="P143">
        <v>1</v>
      </c>
      <c r="Q143" t="s">
        <v>17</v>
      </c>
      <c r="R143" s="4">
        <v>274.5</v>
      </c>
      <c r="S143" s="4">
        <v>0</v>
      </c>
      <c r="T143" t="s">
        <v>37</v>
      </c>
      <c r="U143" s="4">
        <v>64.400000000000006</v>
      </c>
      <c r="V143" s="4">
        <v>13.071</v>
      </c>
      <c r="W143" s="4">
        <v>274.5</v>
      </c>
    </row>
    <row r="144" spans="1:23" ht="15" customHeight="1" x14ac:dyDescent="0.25">
      <c r="A144">
        <v>1128</v>
      </c>
      <c r="B144" s="1">
        <v>45678.833333333343</v>
      </c>
      <c r="C144">
        <v>20</v>
      </c>
      <c r="D144" t="s">
        <v>59</v>
      </c>
      <c r="E144">
        <v>1</v>
      </c>
      <c r="F144" t="s">
        <v>32</v>
      </c>
      <c r="G144" t="s">
        <v>33</v>
      </c>
      <c r="H144" t="s">
        <v>51</v>
      </c>
      <c r="I144" t="s">
        <v>25</v>
      </c>
      <c r="J144" t="s">
        <v>15</v>
      </c>
      <c r="K144" s="2">
        <v>17400</v>
      </c>
      <c r="L144" s="3">
        <v>14.5</v>
      </c>
      <c r="M144" s="3"/>
      <c r="N144" s="3">
        <v>0</v>
      </c>
      <c r="O144" s="2">
        <v>1374</v>
      </c>
      <c r="P144">
        <v>1</v>
      </c>
      <c r="Q144" t="s">
        <v>23</v>
      </c>
      <c r="R144" s="4">
        <v>265.5</v>
      </c>
      <c r="S144" s="4">
        <v>0</v>
      </c>
      <c r="T144" t="s">
        <v>37</v>
      </c>
      <c r="U144" s="4">
        <v>62.45</v>
      </c>
      <c r="V144" s="4">
        <v>15.259</v>
      </c>
      <c r="W144" s="4">
        <v>265.5</v>
      </c>
    </row>
    <row r="145" spans="1:23" ht="15" customHeight="1" x14ac:dyDescent="0.25">
      <c r="A145">
        <v>392</v>
      </c>
      <c r="B145" s="1">
        <v>45678.833333333343</v>
      </c>
      <c r="C145">
        <v>20</v>
      </c>
      <c r="D145" t="s">
        <v>59</v>
      </c>
      <c r="E145">
        <v>1</v>
      </c>
      <c r="F145" t="s">
        <v>32</v>
      </c>
      <c r="G145" t="s">
        <v>33</v>
      </c>
      <c r="H145" t="s">
        <v>54</v>
      </c>
      <c r="I145" t="s">
        <v>16</v>
      </c>
      <c r="J145" t="s">
        <v>24</v>
      </c>
      <c r="K145" s="2">
        <v>8600</v>
      </c>
      <c r="L145" s="3">
        <v>12.9</v>
      </c>
      <c r="M145" s="3">
        <v>91.7</v>
      </c>
      <c r="N145" s="3">
        <v>0</v>
      </c>
      <c r="O145" s="2">
        <v>11</v>
      </c>
      <c r="P145">
        <v>1</v>
      </c>
      <c r="Q145" t="s">
        <v>17</v>
      </c>
      <c r="R145" s="4">
        <v>21.49</v>
      </c>
      <c r="S145" s="4">
        <v>0</v>
      </c>
      <c r="T145" t="s">
        <v>37</v>
      </c>
      <c r="U145" s="4">
        <v>5.0999999999999996</v>
      </c>
      <c r="V145" s="4">
        <v>2.4990000000000001</v>
      </c>
      <c r="W145" s="4">
        <v>21.49</v>
      </c>
    </row>
    <row r="146" spans="1:23" ht="15" customHeight="1" x14ac:dyDescent="0.25">
      <c r="A146">
        <v>1865</v>
      </c>
      <c r="B146" s="1">
        <v>45682</v>
      </c>
      <c r="C146">
        <v>0</v>
      </c>
      <c r="D146" t="s">
        <v>60</v>
      </c>
      <c r="E146">
        <v>1</v>
      </c>
      <c r="F146" t="s">
        <v>32</v>
      </c>
      <c r="G146" t="s">
        <v>36</v>
      </c>
      <c r="H146" t="s">
        <v>52</v>
      </c>
      <c r="I146" t="s">
        <v>13</v>
      </c>
      <c r="J146" t="s">
        <v>21</v>
      </c>
      <c r="K146" s="2">
        <v>9800</v>
      </c>
      <c r="L146" s="3">
        <v>6.8</v>
      </c>
      <c r="M146" s="3">
        <v>93.2</v>
      </c>
      <c r="N146" s="3">
        <v>0</v>
      </c>
      <c r="O146" s="2">
        <v>324</v>
      </c>
      <c r="P146">
        <v>1</v>
      </c>
      <c r="Q146" t="s">
        <v>17</v>
      </c>
      <c r="R146" s="4">
        <v>103.32</v>
      </c>
      <c r="S146" s="4">
        <v>0</v>
      </c>
      <c r="T146" t="s">
        <v>31</v>
      </c>
      <c r="U146" s="4">
        <v>9.93</v>
      </c>
      <c r="V146" s="4">
        <v>10.542999999999999</v>
      </c>
      <c r="W146" s="4">
        <v>103.32</v>
      </c>
    </row>
    <row r="147" spans="1:23" ht="15" customHeight="1" x14ac:dyDescent="0.25">
      <c r="A147">
        <v>25</v>
      </c>
      <c r="B147" s="1">
        <v>45682</v>
      </c>
      <c r="C147">
        <v>0</v>
      </c>
      <c r="D147" t="s">
        <v>60</v>
      </c>
      <c r="E147">
        <v>1</v>
      </c>
      <c r="F147" t="s">
        <v>32</v>
      </c>
      <c r="G147" t="s">
        <v>36</v>
      </c>
      <c r="H147" t="s">
        <v>53</v>
      </c>
      <c r="I147" t="s">
        <v>19</v>
      </c>
      <c r="J147" t="s">
        <v>26</v>
      </c>
      <c r="K147" s="2">
        <v>12500</v>
      </c>
      <c r="L147" s="3">
        <v>-1.6</v>
      </c>
      <c r="M147" s="3">
        <v>90.9</v>
      </c>
      <c r="N147" s="3">
        <v>0</v>
      </c>
      <c r="O147" s="2">
        <v>13</v>
      </c>
      <c r="P147">
        <v>0</v>
      </c>
      <c r="Q147" t="s">
        <v>14</v>
      </c>
      <c r="R147" s="4">
        <v>24.14</v>
      </c>
      <c r="S147" s="4">
        <v>0</v>
      </c>
      <c r="T147" t="s">
        <v>31</v>
      </c>
      <c r="U147" s="4">
        <v>2.41</v>
      </c>
      <c r="V147" s="4">
        <v>1.931</v>
      </c>
      <c r="W147" s="4">
        <v>24.14</v>
      </c>
    </row>
    <row r="148" spans="1:23" ht="15" customHeight="1" x14ac:dyDescent="0.25">
      <c r="A148">
        <v>1129</v>
      </c>
      <c r="B148" s="1">
        <v>45682</v>
      </c>
      <c r="C148">
        <v>0</v>
      </c>
      <c r="D148" t="s">
        <v>60</v>
      </c>
      <c r="E148">
        <v>1</v>
      </c>
      <c r="F148" t="s">
        <v>32</v>
      </c>
      <c r="G148" t="s">
        <v>36</v>
      </c>
      <c r="H148" t="s">
        <v>51</v>
      </c>
      <c r="I148" t="s">
        <v>25</v>
      </c>
      <c r="J148" t="s">
        <v>15</v>
      </c>
      <c r="K148" s="2">
        <v>17400</v>
      </c>
      <c r="L148" s="3">
        <v>9.1</v>
      </c>
      <c r="M148" s="3">
        <v>99</v>
      </c>
      <c r="N148" s="3">
        <v>0</v>
      </c>
      <c r="O148" s="2">
        <v>87</v>
      </c>
      <c r="P148">
        <v>1</v>
      </c>
      <c r="Q148" t="s">
        <v>17</v>
      </c>
      <c r="R148" s="4">
        <v>54.74</v>
      </c>
      <c r="S148" s="4">
        <v>0</v>
      </c>
      <c r="T148" t="s">
        <v>31</v>
      </c>
      <c r="U148" s="4">
        <v>5.22</v>
      </c>
      <c r="V148" s="4">
        <v>3.1459999999999999</v>
      </c>
      <c r="W148" s="4">
        <v>54.74</v>
      </c>
    </row>
    <row r="149" spans="1:23" ht="15" customHeight="1" x14ac:dyDescent="0.25">
      <c r="A149">
        <v>393</v>
      </c>
      <c r="B149" s="1">
        <v>45682</v>
      </c>
      <c r="C149">
        <v>0</v>
      </c>
      <c r="D149" t="s">
        <v>60</v>
      </c>
      <c r="E149">
        <v>1</v>
      </c>
      <c r="F149" t="s">
        <v>32</v>
      </c>
      <c r="G149" t="s">
        <v>36</v>
      </c>
      <c r="H149" t="s">
        <v>54</v>
      </c>
      <c r="I149" t="s">
        <v>16</v>
      </c>
      <c r="J149" t="s">
        <v>24</v>
      </c>
      <c r="K149" s="2">
        <v>8600</v>
      </c>
      <c r="L149" s="3">
        <v>8.1999999999999993</v>
      </c>
      <c r="M149" s="3">
        <v>92.3</v>
      </c>
      <c r="N149" s="3">
        <v>0</v>
      </c>
      <c r="O149" s="2">
        <v>0</v>
      </c>
      <c r="P149">
        <v>0</v>
      </c>
      <c r="Q149" t="s">
        <v>14</v>
      </c>
      <c r="R149" s="4">
        <v>12.44</v>
      </c>
      <c r="S149" s="4">
        <v>0</v>
      </c>
      <c r="T149" t="s">
        <v>31</v>
      </c>
      <c r="U149" s="4">
        <v>1.2</v>
      </c>
      <c r="V149" s="4">
        <v>1.4470000000000001</v>
      </c>
      <c r="W149" s="4">
        <v>12.44</v>
      </c>
    </row>
    <row r="150" spans="1:23" ht="15" customHeight="1" x14ac:dyDescent="0.25">
      <c r="A150">
        <v>761</v>
      </c>
      <c r="B150" s="1">
        <v>45682</v>
      </c>
      <c r="C150">
        <v>0</v>
      </c>
      <c r="D150" t="s">
        <v>60</v>
      </c>
      <c r="E150">
        <v>1</v>
      </c>
      <c r="F150" t="s">
        <v>32</v>
      </c>
      <c r="G150" t="s">
        <v>36</v>
      </c>
      <c r="H150" t="s">
        <v>50</v>
      </c>
      <c r="I150" t="s">
        <v>22</v>
      </c>
      <c r="J150" t="s">
        <v>12</v>
      </c>
      <c r="K150" s="2">
        <v>21000</v>
      </c>
      <c r="L150" s="3">
        <v>5.5</v>
      </c>
      <c r="M150" s="3">
        <v>81.3</v>
      </c>
      <c r="N150" s="3">
        <v>0</v>
      </c>
      <c r="O150" s="2">
        <v>216</v>
      </c>
      <c r="P150">
        <v>1</v>
      </c>
      <c r="Q150" t="s">
        <v>17</v>
      </c>
      <c r="R150" s="4">
        <v>190.11</v>
      </c>
      <c r="S150" s="4">
        <v>0</v>
      </c>
      <c r="T150" t="s">
        <v>31</v>
      </c>
      <c r="U150" s="4">
        <v>18.21</v>
      </c>
      <c r="V150" s="4">
        <v>9.0530000000000008</v>
      </c>
      <c r="W150" s="4">
        <v>190.11</v>
      </c>
    </row>
    <row r="151" spans="1:23" ht="15" customHeight="1" x14ac:dyDescent="0.25">
      <c r="A151">
        <v>1497</v>
      </c>
      <c r="B151" s="1">
        <v>45682</v>
      </c>
      <c r="C151">
        <v>0</v>
      </c>
      <c r="D151" t="s">
        <v>60</v>
      </c>
      <c r="E151">
        <v>1</v>
      </c>
      <c r="F151" t="s">
        <v>32</v>
      </c>
      <c r="G151" t="s">
        <v>36</v>
      </c>
      <c r="H151" t="s">
        <v>49</v>
      </c>
      <c r="I151" t="s">
        <v>27</v>
      </c>
      <c r="J151" t="s">
        <v>18</v>
      </c>
      <c r="K151" s="2">
        <v>26000</v>
      </c>
      <c r="L151" s="3">
        <v>0.3</v>
      </c>
      <c r="M151" s="3">
        <v>88.1</v>
      </c>
      <c r="N151" s="3">
        <v>0</v>
      </c>
      <c r="O151" s="2">
        <v>33</v>
      </c>
      <c r="P151">
        <v>1</v>
      </c>
      <c r="Q151" t="s">
        <v>17</v>
      </c>
      <c r="R151" s="4">
        <v>94.04</v>
      </c>
      <c r="S151" s="4">
        <v>0</v>
      </c>
      <c r="T151" t="s">
        <v>31</v>
      </c>
      <c r="U151" s="4">
        <v>9.3000000000000007</v>
      </c>
      <c r="V151" s="4">
        <v>3.617</v>
      </c>
      <c r="W151" s="4">
        <v>94.04</v>
      </c>
    </row>
    <row r="152" spans="1:23" ht="15" customHeight="1" x14ac:dyDescent="0.25">
      <c r="A152">
        <v>1866</v>
      </c>
      <c r="B152" s="1">
        <v>45682.333333333343</v>
      </c>
      <c r="C152">
        <v>8</v>
      </c>
      <c r="D152" t="s">
        <v>60</v>
      </c>
      <c r="E152">
        <v>1</v>
      </c>
      <c r="F152" t="s">
        <v>32</v>
      </c>
      <c r="G152" t="s">
        <v>36</v>
      </c>
      <c r="H152" t="s">
        <v>52</v>
      </c>
      <c r="I152" t="s">
        <v>13</v>
      </c>
      <c r="J152" t="s">
        <v>21</v>
      </c>
      <c r="K152" s="2">
        <v>9800</v>
      </c>
      <c r="L152" s="3">
        <v>5.8</v>
      </c>
      <c r="M152" s="3">
        <v>93.9</v>
      </c>
      <c r="N152" s="3">
        <v>0</v>
      </c>
      <c r="O152" s="2">
        <v>115</v>
      </c>
      <c r="P152">
        <v>1</v>
      </c>
      <c r="Q152" t="s">
        <v>17</v>
      </c>
      <c r="R152" s="4">
        <v>50.32</v>
      </c>
      <c r="S152" s="4">
        <v>0</v>
      </c>
      <c r="T152" t="s">
        <v>31</v>
      </c>
      <c r="U152" s="4">
        <v>4.9800000000000004</v>
      </c>
      <c r="V152" s="4">
        <v>5.1349999999999998</v>
      </c>
      <c r="W152" s="4">
        <v>50.32</v>
      </c>
    </row>
    <row r="153" spans="1:23" ht="15" customHeight="1" x14ac:dyDescent="0.25">
      <c r="A153">
        <v>762</v>
      </c>
      <c r="B153" s="1">
        <v>45682.333333333343</v>
      </c>
      <c r="C153">
        <v>8</v>
      </c>
      <c r="D153" t="s">
        <v>60</v>
      </c>
      <c r="E153">
        <v>1</v>
      </c>
      <c r="F153" t="s">
        <v>32</v>
      </c>
      <c r="G153" t="s">
        <v>36</v>
      </c>
      <c r="H153" t="s">
        <v>50</v>
      </c>
      <c r="I153" t="s">
        <v>22</v>
      </c>
      <c r="J153" t="s">
        <v>12</v>
      </c>
      <c r="K153" s="2">
        <v>21000</v>
      </c>
      <c r="L153" s="3">
        <v>5.2</v>
      </c>
      <c r="M153" s="3">
        <v>66.400000000000006</v>
      </c>
      <c r="N153" s="3">
        <v>0</v>
      </c>
      <c r="O153" s="2">
        <v>432</v>
      </c>
      <c r="P153">
        <v>1</v>
      </c>
      <c r="Q153" t="s">
        <v>17</v>
      </c>
      <c r="R153" s="4">
        <v>284.17</v>
      </c>
      <c r="S153" s="4">
        <v>0</v>
      </c>
      <c r="T153" t="s">
        <v>31</v>
      </c>
      <c r="U153" s="4">
        <v>26.66</v>
      </c>
      <c r="V153" s="4">
        <v>13.532</v>
      </c>
      <c r="W153" s="4">
        <v>284.17</v>
      </c>
    </row>
    <row r="154" spans="1:23" ht="15" customHeight="1" x14ac:dyDescent="0.25">
      <c r="A154">
        <v>1498</v>
      </c>
      <c r="B154" s="1">
        <v>45682.333333333343</v>
      </c>
      <c r="C154">
        <v>8</v>
      </c>
      <c r="D154" t="s">
        <v>60</v>
      </c>
      <c r="E154">
        <v>1</v>
      </c>
      <c r="F154" t="s">
        <v>32</v>
      </c>
      <c r="G154" t="s">
        <v>36</v>
      </c>
      <c r="H154" t="s">
        <v>49</v>
      </c>
      <c r="I154" t="s">
        <v>27</v>
      </c>
      <c r="J154" t="s">
        <v>18</v>
      </c>
      <c r="K154" s="2">
        <v>26000</v>
      </c>
      <c r="L154" s="3">
        <v>3.5</v>
      </c>
      <c r="M154" s="3">
        <v>66.2</v>
      </c>
      <c r="N154" s="3">
        <v>0</v>
      </c>
      <c r="O154" s="2">
        <v>49</v>
      </c>
      <c r="P154">
        <v>1</v>
      </c>
      <c r="Q154" t="s">
        <v>17</v>
      </c>
      <c r="R154" s="4">
        <v>141.43</v>
      </c>
      <c r="S154" s="4">
        <v>0</v>
      </c>
      <c r="T154" t="s">
        <v>31</v>
      </c>
      <c r="U154" s="4">
        <v>14.04</v>
      </c>
      <c r="V154" s="4">
        <v>5.44</v>
      </c>
      <c r="W154" s="4">
        <v>141.43</v>
      </c>
    </row>
    <row r="155" spans="1:23" ht="15" customHeight="1" x14ac:dyDescent="0.25">
      <c r="A155">
        <v>394</v>
      </c>
      <c r="B155" s="1">
        <v>45682.333333333343</v>
      </c>
      <c r="C155">
        <v>8</v>
      </c>
      <c r="D155" t="s">
        <v>60</v>
      </c>
      <c r="E155">
        <v>1</v>
      </c>
      <c r="F155" t="s">
        <v>32</v>
      </c>
      <c r="G155" t="s">
        <v>36</v>
      </c>
      <c r="H155" t="s">
        <v>54</v>
      </c>
      <c r="I155" t="s">
        <v>16</v>
      </c>
      <c r="J155" t="s">
        <v>24</v>
      </c>
      <c r="K155" s="2">
        <v>8600</v>
      </c>
      <c r="L155" s="3">
        <v>8.6999999999999993</v>
      </c>
      <c r="M155" s="3">
        <v>94.6</v>
      </c>
      <c r="N155" s="3">
        <v>0</v>
      </c>
      <c r="O155" s="2">
        <v>0</v>
      </c>
      <c r="P155">
        <v>0</v>
      </c>
      <c r="Q155" t="s">
        <v>14</v>
      </c>
      <c r="R155" s="4">
        <v>11.82</v>
      </c>
      <c r="S155" s="4">
        <v>0</v>
      </c>
      <c r="T155" t="s">
        <v>31</v>
      </c>
      <c r="U155" s="4">
        <v>1.1599999999999999</v>
      </c>
      <c r="V155" s="4">
        <v>1.3740000000000001</v>
      </c>
      <c r="W155" s="4">
        <v>11.82</v>
      </c>
    </row>
    <row r="156" spans="1:23" ht="15" customHeight="1" x14ac:dyDescent="0.25">
      <c r="A156">
        <v>26</v>
      </c>
      <c r="B156" s="1">
        <v>45682.333333333343</v>
      </c>
      <c r="C156">
        <v>8</v>
      </c>
      <c r="D156" t="s">
        <v>60</v>
      </c>
      <c r="E156">
        <v>1</v>
      </c>
      <c r="F156" t="s">
        <v>32</v>
      </c>
      <c r="G156" t="s">
        <v>36</v>
      </c>
      <c r="H156" t="s">
        <v>53</v>
      </c>
      <c r="I156" t="s">
        <v>19</v>
      </c>
      <c r="J156" t="s">
        <v>26</v>
      </c>
      <c r="K156" s="2">
        <v>12500</v>
      </c>
      <c r="L156" s="3">
        <v>3.1</v>
      </c>
      <c r="M156" s="3">
        <v>75.099999999999994</v>
      </c>
      <c r="N156" s="3">
        <v>0</v>
      </c>
      <c r="O156" s="2">
        <v>0</v>
      </c>
      <c r="P156">
        <v>0</v>
      </c>
      <c r="Q156" t="s">
        <v>14</v>
      </c>
      <c r="R156" s="4">
        <v>24.44</v>
      </c>
      <c r="S156" s="4">
        <v>0</v>
      </c>
      <c r="T156" t="s">
        <v>31</v>
      </c>
      <c r="U156" s="4">
        <v>2.36</v>
      </c>
      <c r="V156" s="4">
        <v>1.9550000000000001</v>
      </c>
      <c r="W156" s="4">
        <v>24.44</v>
      </c>
    </row>
    <row r="157" spans="1:23" ht="15" customHeight="1" x14ac:dyDescent="0.25">
      <c r="A157">
        <v>1130</v>
      </c>
      <c r="B157" s="1">
        <v>45682.333333333343</v>
      </c>
      <c r="C157">
        <v>8</v>
      </c>
      <c r="D157" t="s">
        <v>60</v>
      </c>
      <c r="E157">
        <v>1</v>
      </c>
      <c r="F157" t="s">
        <v>32</v>
      </c>
      <c r="G157" t="s">
        <v>36</v>
      </c>
      <c r="H157" t="s">
        <v>51</v>
      </c>
      <c r="I157" t="s">
        <v>25</v>
      </c>
      <c r="J157" t="s">
        <v>15</v>
      </c>
      <c r="K157" s="2">
        <v>17400</v>
      </c>
      <c r="L157" s="3">
        <v>8.9</v>
      </c>
      <c r="M157" s="3">
        <v>79.599999999999994</v>
      </c>
      <c r="N157" s="3">
        <v>0</v>
      </c>
      <c r="O157" s="2">
        <v>64</v>
      </c>
      <c r="P157">
        <v>1</v>
      </c>
      <c r="Q157" t="s">
        <v>17</v>
      </c>
      <c r="R157" s="4">
        <v>59.09</v>
      </c>
      <c r="S157" s="4">
        <v>0</v>
      </c>
      <c r="T157" t="s">
        <v>31</v>
      </c>
      <c r="U157" s="4">
        <v>5.74</v>
      </c>
      <c r="V157" s="4">
        <v>3.3959999999999999</v>
      </c>
      <c r="W157" s="4">
        <v>59.09</v>
      </c>
    </row>
    <row r="158" spans="1:23" ht="15" customHeight="1" x14ac:dyDescent="0.25">
      <c r="A158">
        <v>763</v>
      </c>
      <c r="B158" s="1">
        <v>45682.583333333343</v>
      </c>
      <c r="C158">
        <v>14</v>
      </c>
      <c r="D158" t="s">
        <v>60</v>
      </c>
      <c r="E158">
        <v>1</v>
      </c>
      <c r="F158" t="s">
        <v>32</v>
      </c>
      <c r="G158" t="s">
        <v>36</v>
      </c>
      <c r="H158" t="s">
        <v>50</v>
      </c>
      <c r="I158" t="s">
        <v>22</v>
      </c>
      <c r="J158" t="s">
        <v>12</v>
      </c>
      <c r="K158" s="2">
        <v>21000</v>
      </c>
      <c r="L158" s="3">
        <v>16.5</v>
      </c>
      <c r="M158" s="3">
        <v>53.8</v>
      </c>
      <c r="N158" s="3">
        <v>590.9</v>
      </c>
      <c r="O158" s="2">
        <v>444</v>
      </c>
      <c r="P158">
        <v>0</v>
      </c>
      <c r="Q158" t="s">
        <v>14</v>
      </c>
      <c r="R158" s="4">
        <v>198.4</v>
      </c>
      <c r="S158" s="4">
        <v>107.46</v>
      </c>
      <c r="T158" t="s">
        <v>31</v>
      </c>
      <c r="U158" s="4">
        <v>8.5399999999999991</v>
      </c>
      <c r="V158" s="4">
        <v>9.4480000000000004</v>
      </c>
      <c r="W158" s="4">
        <v>90.94</v>
      </c>
    </row>
    <row r="159" spans="1:23" ht="15" customHeight="1" x14ac:dyDescent="0.25">
      <c r="A159">
        <v>1131</v>
      </c>
      <c r="B159" s="1">
        <v>45682.583333333343</v>
      </c>
      <c r="C159">
        <v>14</v>
      </c>
      <c r="D159" t="s">
        <v>60</v>
      </c>
      <c r="E159">
        <v>1</v>
      </c>
      <c r="F159" t="s">
        <v>32</v>
      </c>
      <c r="G159" t="s">
        <v>36</v>
      </c>
      <c r="H159" t="s">
        <v>51</v>
      </c>
      <c r="I159" t="s">
        <v>25</v>
      </c>
      <c r="J159" t="s">
        <v>15</v>
      </c>
      <c r="K159" s="2">
        <v>17400</v>
      </c>
      <c r="L159" s="3">
        <v>18.100000000000001</v>
      </c>
      <c r="M159" s="3">
        <v>78.400000000000006</v>
      </c>
      <c r="N159" s="3">
        <v>486</v>
      </c>
      <c r="O159" s="2">
        <v>1616</v>
      </c>
      <c r="P159">
        <v>0</v>
      </c>
      <c r="Q159" t="s">
        <v>14</v>
      </c>
      <c r="R159" s="4">
        <v>233.56</v>
      </c>
      <c r="S159" s="4">
        <v>61.56</v>
      </c>
      <c r="T159" t="s">
        <v>31</v>
      </c>
      <c r="U159" s="4">
        <v>16.670000000000002</v>
      </c>
      <c r="V159" s="4">
        <v>13.423</v>
      </c>
      <c r="W159" s="4">
        <v>172</v>
      </c>
    </row>
    <row r="160" spans="1:23" ht="15" customHeight="1" x14ac:dyDescent="0.25">
      <c r="A160">
        <v>1499</v>
      </c>
      <c r="B160" s="1">
        <v>45682.583333333343</v>
      </c>
      <c r="C160">
        <v>14</v>
      </c>
      <c r="D160" t="s">
        <v>60</v>
      </c>
      <c r="E160">
        <v>1</v>
      </c>
      <c r="F160" t="s">
        <v>32</v>
      </c>
      <c r="G160" t="s">
        <v>36</v>
      </c>
      <c r="H160" t="s">
        <v>49</v>
      </c>
      <c r="I160" t="s">
        <v>27</v>
      </c>
      <c r="J160" t="s">
        <v>18</v>
      </c>
      <c r="K160" s="2">
        <v>26000</v>
      </c>
      <c r="L160" s="3"/>
      <c r="M160" s="3">
        <v>92.9</v>
      </c>
      <c r="N160" s="3">
        <v>263.39999999999998</v>
      </c>
      <c r="O160" s="2">
        <v>60</v>
      </c>
      <c r="P160">
        <v>1</v>
      </c>
      <c r="Q160" t="s">
        <v>17</v>
      </c>
      <c r="R160" s="4">
        <v>93.82</v>
      </c>
      <c r="S160" s="4">
        <v>70.11</v>
      </c>
      <c r="T160" t="s">
        <v>31</v>
      </c>
      <c r="U160" s="4">
        <v>2.31</v>
      </c>
      <c r="V160" s="4">
        <v>3.6080000000000001</v>
      </c>
      <c r="W160" s="4">
        <v>23.71</v>
      </c>
    </row>
    <row r="161" spans="1:23" ht="15" customHeight="1" x14ac:dyDescent="0.25">
      <c r="A161">
        <v>27</v>
      </c>
      <c r="B161" s="1">
        <v>45682.583333333343</v>
      </c>
      <c r="C161">
        <v>14</v>
      </c>
      <c r="D161" t="s">
        <v>60</v>
      </c>
      <c r="E161">
        <v>1</v>
      </c>
      <c r="F161" t="s">
        <v>32</v>
      </c>
      <c r="G161" t="s">
        <v>36</v>
      </c>
      <c r="H161" t="s">
        <v>53</v>
      </c>
      <c r="I161" t="s">
        <v>19</v>
      </c>
      <c r="J161" t="s">
        <v>26</v>
      </c>
      <c r="K161" s="2">
        <v>12500</v>
      </c>
      <c r="L161" s="3">
        <v>10.1</v>
      </c>
      <c r="M161" s="3">
        <v>73.7</v>
      </c>
      <c r="N161" s="3">
        <v>350.3</v>
      </c>
      <c r="O161" s="2">
        <v>0</v>
      </c>
      <c r="P161">
        <v>0</v>
      </c>
      <c r="Q161" t="s">
        <v>14</v>
      </c>
      <c r="R161" s="4">
        <v>15.8</v>
      </c>
      <c r="S161" s="4">
        <v>53.95</v>
      </c>
      <c r="T161" t="s">
        <v>31</v>
      </c>
      <c r="U161" s="4">
        <v>-1.49</v>
      </c>
      <c r="V161" s="4">
        <v>1.264</v>
      </c>
      <c r="W161" s="4">
        <v>0</v>
      </c>
    </row>
    <row r="162" spans="1:23" ht="15" customHeight="1" x14ac:dyDescent="0.25">
      <c r="A162">
        <v>1867</v>
      </c>
      <c r="B162" s="1">
        <v>45682.583333333343</v>
      </c>
      <c r="C162">
        <v>14</v>
      </c>
      <c r="D162" t="s">
        <v>60</v>
      </c>
      <c r="E162">
        <v>1</v>
      </c>
      <c r="F162" t="s">
        <v>32</v>
      </c>
      <c r="G162" t="s">
        <v>36</v>
      </c>
      <c r="H162" t="s">
        <v>52</v>
      </c>
      <c r="I162" t="s">
        <v>13</v>
      </c>
      <c r="J162" t="s">
        <v>21</v>
      </c>
      <c r="K162" s="2">
        <v>9800</v>
      </c>
      <c r="L162" s="3"/>
      <c r="M162" s="3">
        <v>74.3</v>
      </c>
      <c r="N162" s="3">
        <v>400.9</v>
      </c>
      <c r="O162" s="2">
        <v>133</v>
      </c>
      <c r="P162">
        <v>1</v>
      </c>
      <c r="Q162" t="s">
        <v>17</v>
      </c>
      <c r="R162" s="4">
        <v>29.46</v>
      </c>
      <c r="S162" s="4">
        <v>0</v>
      </c>
      <c r="T162" t="s">
        <v>31</v>
      </c>
      <c r="U162" s="4">
        <v>2.86</v>
      </c>
      <c r="V162" s="4">
        <v>3.0059999999999998</v>
      </c>
      <c r="W162" s="4">
        <v>29.46</v>
      </c>
    </row>
    <row r="163" spans="1:23" ht="15" customHeight="1" x14ac:dyDescent="0.25">
      <c r="A163">
        <v>395</v>
      </c>
      <c r="B163" s="1">
        <v>45682.583333333343</v>
      </c>
      <c r="C163">
        <v>14</v>
      </c>
      <c r="D163" t="s">
        <v>60</v>
      </c>
      <c r="E163">
        <v>1</v>
      </c>
      <c r="F163" t="s">
        <v>32</v>
      </c>
      <c r="G163" t="s">
        <v>36</v>
      </c>
      <c r="H163" t="s">
        <v>54</v>
      </c>
      <c r="I163" t="s">
        <v>16</v>
      </c>
      <c r="J163" t="s">
        <v>24</v>
      </c>
      <c r="K163" s="2">
        <v>8600</v>
      </c>
      <c r="L163" s="3">
        <v>13</v>
      </c>
      <c r="M163" s="3">
        <v>89.7</v>
      </c>
      <c r="N163" s="3">
        <v>277.3</v>
      </c>
      <c r="O163" s="2">
        <v>94</v>
      </c>
      <c r="P163">
        <v>0</v>
      </c>
      <c r="Q163" t="s">
        <v>14</v>
      </c>
      <c r="R163" s="4">
        <v>13.88</v>
      </c>
      <c r="S163" s="4">
        <v>21.32</v>
      </c>
      <c r="T163" t="s">
        <v>31</v>
      </c>
      <c r="U163" s="4">
        <v>-0.28000000000000003</v>
      </c>
      <c r="V163" s="4">
        <v>1.6140000000000001</v>
      </c>
      <c r="W163" s="4">
        <v>0</v>
      </c>
    </row>
    <row r="164" spans="1:23" ht="15" customHeight="1" x14ac:dyDescent="0.25">
      <c r="A164">
        <v>1868</v>
      </c>
      <c r="B164" s="1">
        <v>45682.833333333343</v>
      </c>
      <c r="C164">
        <v>20</v>
      </c>
      <c r="D164" t="s">
        <v>60</v>
      </c>
      <c r="E164">
        <v>1</v>
      </c>
      <c r="F164" t="s">
        <v>32</v>
      </c>
      <c r="G164" t="s">
        <v>36</v>
      </c>
      <c r="H164" t="s">
        <v>52</v>
      </c>
      <c r="I164" t="s">
        <v>13</v>
      </c>
      <c r="J164" t="s">
        <v>21</v>
      </c>
      <c r="K164" s="2">
        <v>9800</v>
      </c>
      <c r="L164" s="3">
        <v>10.1</v>
      </c>
      <c r="M164" s="3">
        <v>86.7</v>
      </c>
      <c r="N164" s="3">
        <v>0</v>
      </c>
      <c r="O164" s="2">
        <v>309</v>
      </c>
      <c r="P164">
        <v>1</v>
      </c>
      <c r="Q164" t="s">
        <v>17</v>
      </c>
      <c r="R164" s="4">
        <v>105.06</v>
      </c>
      <c r="S164" s="4">
        <v>0</v>
      </c>
      <c r="T164" t="s">
        <v>31</v>
      </c>
      <c r="U164" s="4">
        <v>10</v>
      </c>
      <c r="V164" s="4">
        <v>10.72</v>
      </c>
      <c r="W164" s="4">
        <v>105.06</v>
      </c>
    </row>
    <row r="165" spans="1:23" ht="15" customHeight="1" x14ac:dyDescent="0.25">
      <c r="A165">
        <v>1132</v>
      </c>
      <c r="B165" s="1">
        <v>45682.833333333343</v>
      </c>
      <c r="C165">
        <v>20</v>
      </c>
      <c r="D165" t="s">
        <v>60</v>
      </c>
      <c r="E165">
        <v>1</v>
      </c>
      <c r="F165" t="s">
        <v>32</v>
      </c>
      <c r="G165" t="s">
        <v>36</v>
      </c>
      <c r="H165" t="s">
        <v>51</v>
      </c>
      <c r="I165" t="s">
        <v>25</v>
      </c>
      <c r="J165" t="s">
        <v>15</v>
      </c>
      <c r="K165" s="2">
        <v>17400</v>
      </c>
      <c r="L165" s="3">
        <v>10.4</v>
      </c>
      <c r="M165" s="3">
        <v>75</v>
      </c>
      <c r="N165" s="3">
        <v>0</v>
      </c>
      <c r="O165" s="2">
        <v>1604</v>
      </c>
      <c r="P165">
        <v>1</v>
      </c>
      <c r="Q165" t="s">
        <v>17</v>
      </c>
      <c r="R165" s="4">
        <v>343.57</v>
      </c>
      <c r="S165" s="4">
        <v>0</v>
      </c>
      <c r="T165" t="s">
        <v>31</v>
      </c>
      <c r="U165" s="4">
        <v>32.33</v>
      </c>
      <c r="V165" s="4">
        <v>19.745000000000001</v>
      </c>
      <c r="W165" s="4">
        <v>343.57</v>
      </c>
    </row>
    <row r="166" spans="1:23" ht="15" customHeight="1" x14ac:dyDescent="0.25">
      <c r="A166">
        <v>28</v>
      </c>
      <c r="B166" s="1">
        <v>45682.833333333343</v>
      </c>
      <c r="C166">
        <v>20</v>
      </c>
      <c r="D166" t="s">
        <v>60</v>
      </c>
      <c r="E166">
        <v>1</v>
      </c>
      <c r="F166" t="s">
        <v>32</v>
      </c>
      <c r="G166" t="s">
        <v>36</v>
      </c>
      <c r="H166" t="s">
        <v>53</v>
      </c>
      <c r="I166" t="s">
        <v>19</v>
      </c>
      <c r="J166" t="s">
        <v>26</v>
      </c>
      <c r="K166" s="2">
        <v>12500</v>
      </c>
      <c r="L166" s="3">
        <v>4.5</v>
      </c>
      <c r="M166" s="3">
        <v>77.7</v>
      </c>
      <c r="N166" s="3">
        <v>0</v>
      </c>
      <c r="O166" s="2">
        <v>3</v>
      </c>
      <c r="P166">
        <v>0</v>
      </c>
      <c r="Q166" t="s">
        <v>14</v>
      </c>
      <c r="R166" s="4">
        <v>22.17</v>
      </c>
      <c r="S166" s="4">
        <v>0</v>
      </c>
      <c r="T166" t="s">
        <v>31</v>
      </c>
      <c r="U166" s="4">
        <v>2.16</v>
      </c>
      <c r="V166" s="4">
        <v>1.774</v>
      </c>
      <c r="W166" s="4">
        <v>22.17</v>
      </c>
    </row>
    <row r="167" spans="1:23" ht="15" customHeight="1" x14ac:dyDescent="0.25">
      <c r="A167">
        <v>396</v>
      </c>
      <c r="B167" s="1">
        <v>45682.833333333343</v>
      </c>
      <c r="C167">
        <v>20</v>
      </c>
      <c r="D167" t="s">
        <v>60</v>
      </c>
      <c r="E167">
        <v>1</v>
      </c>
      <c r="F167" t="s">
        <v>32</v>
      </c>
      <c r="G167" t="s">
        <v>36</v>
      </c>
      <c r="H167" t="s">
        <v>54</v>
      </c>
      <c r="I167" t="s">
        <v>16</v>
      </c>
      <c r="J167" t="s">
        <v>24</v>
      </c>
      <c r="K167" s="2">
        <v>8600</v>
      </c>
      <c r="L167" s="3">
        <v>8.1999999999999993</v>
      </c>
      <c r="M167" s="3">
        <v>98.7</v>
      </c>
      <c r="N167" s="3">
        <v>0</v>
      </c>
      <c r="O167" s="2">
        <v>46</v>
      </c>
      <c r="P167">
        <v>0</v>
      </c>
      <c r="Q167" t="s">
        <v>14</v>
      </c>
      <c r="R167" s="4">
        <v>13.89</v>
      </c>
      <c r="S167" s="4">
        <v>0</v>
      </c>
      <c r="T167" t="s">
        <v>31</v>
      </c>
      <c r="U167" s="4">
        <v>1.34</v>
      </c>
      <c r="V167" s="4">
        <v>1.615</v>
      </c>
      <c r="W167" s="4">
        <v>13.89</v>
      </c>
    </row>
    <row r="168" spans="1:23" ht="15" customHeight="1" x14ac:dyDescent="0.25">
      <c r="A168">
        <v>764</v>
      </c>
      <c r="B168" s="1">
        <v>45682.833333333343</v>
      </c>
      <c r="C168">
        <v>20</v>
      </c>
      <c r="D168" t="s">
        <v>60</v>
      </c>
      <c r="E168">
        <v>1</v>
      </c>
      <c r="F168" t="s">
        <v>32</v>
      </c>
      <c r="G168" t="s">
        <v>36</v>
      </c>
      <c r="H168" t="s">
        <v>50</v>
      </c>
      <c r="I168" t="s">
        <v>22</v>
      </c>
      <c r="J168" t="s">
        <v>12</v>
      </c>
      <c r="K168" s="2">
        <v>21000</v>
      </c>
      <c r="L168" s="3">
        <v>12.1</v>
      </c>
      <c r="M168" s="3">
        <v>73.599999999999994</v>
      </c>
      <c r="N168" s="3">
        <v>0</v>
      </c>
      <c r="O168" s="2">
        <v>422</v>
      </c>
      <c r="P168">
        <v>1</v>
      </c>
      <c r="Q168" t="s">
        <v>17</v>
      </c>
      <c r="R168" s="4">
        <v>291.60000000000002</v>
      </c>
      <c r="S168" s="4">
        <v>0</v>
      </c>
      <c r="T168" t="s">
        <v>31</v>
      </c>
      <c r="U168" s="4">
        <v>27.73</v>
      </c>
      <c r="V168" s="4">
        <v>13.885999999999999</v>
      </c>
      <c r="W168" s="4">
        <v>291.60000000000002</v>
      </c>
    </row>
    <row r="169" spans="1:23" ht="15" customHeight="1" x14ac:dyDescent="0.25">
      <c r="A169">
        <v>1500</v>
      </c>
      <c r="B169" s="1">
        <v>45682.833333333343</v>
      </c>
      <c r="C169">
        <v>20</v>
      </c>
      <c r="D169" t="s">
        <v>60</v>
      </c>
      <c r="E169">
        <v>1</v>
      </c>
      <c r="F169" t="s">
        <v>32</v>
      </c>
      <c r="G169" t="s">
        <v>36</v>
      </c>
      <c r="H169" t="s">
        <v>49</v>
      </c>
      <c r="I169" t="s">
        <v>27</v>
      </c>
      <c r="J169" t="s">
        <v>18</v>
      </c>
      <c r="K169" s="2">
        <v>26000</v>
      </c>
      <c r="L169" s="3">
        <v>8.6</v>
      </c>
      <c r="M169" s="3">
        <v>73.599999999999994</v>
      </c>
      <c r="N169" s="3">
        <v>0</v>
      </c>
      <c r="O169" s="2">
        <v>47</v>
      </c>
      <c r="P169">
        <v>1</v>
      </c>
      <c r="Q169" t="s">
        <v>17</v>
      </c>
      <c r="R169" s="4">
        <v>154.99</v>
      </c>
      <c r="S169" s="4">
        <v>0</v>
      </c>
      <c r="T169" t="s">
        <v>31</v>
      </c>
      <c r="U169" s="4">
        <v>14.97</v>
      </c>
      <c r="V169" s="4">
        <v>5.9610000000000003</v>
      </c>
      <c r="W169" s="4">
        <v>154.99</v>
      </c>
    </row>
    <row r="170" spans="1:23" ht="15" customHeight="1" x14ac:dyDescent="0.25">
      <c r="A170">
        <v>29</v>
      </c>
      <c r="B170" s="1">
        <v>45686</v>
      </c>
      <c r="C170">
        <v>0</v>
      </c>
      <c r="D170" t="s">
        <v>48</v>
      </c>
      <c r="E170">
        <v>1</v>
      </c>
      <c r="F170" t="s">
        <v>32</v>
      </c>
      <c r="G170" t="s">
        <v>33</v>
      </c>
      <c r="H170" t="s">
        <v>53</v>
      </c>
      <c r="I170" t="s">
        <v>19</v>
      </c>
      <c r="J170" t="s">
        <v>26</v>
      </c>
      <c r="K170" s="2">
        <v>12500</v>
      </c>
      <c r="L170" s="3">
        <v>3</v>
      </c>
      <c r="M170" s="3">
        <v>73.5</v>
      </c>
      <c r="N170" s="3">
        <v>0</v>
      </c>
      <c r="O170" s="2">
        <v>16</v>
      </c>
      <c r="P170">
        <v>0</v>
      </c>
      <c r="Q170" t="s">
        <v>14</v>
      </c>
      <c r="R170" s="4">
        <v>24.55</v>
      </c>
      <c r="S170" s="4">
        <v>0</v>
      </c>
      <c r="T170" t="s">
        <v>31</v>
      </c>
      <c r="U170" s="4">
        <v>2.34</v>
      </c>
      <c r="V170" s="4">
        <v>1.964</v>
      </c>
      <c r="W170" s="4">
        <v>24.55</v>
      </c>
    </row>
    <row r="171" spans="1:23" ht="15" customHeight="1" x14ac:dyDescent="0.25">
      <c r="A171">
        <v>765</v>
      </c>
      <c r="B171" s="1">
        <v>45686</v>
      </c>
      <c r="C171">
        <v>0</v>
      </c>
      <c r="D171" t="s">
        <v>48</v>
      </c>
      <c r="E171">
        <v>1</v>
      </c>
      <c r="F171" t="s">
        <v>32</v>
      </c>
      <c r="G171" t="s">
        <v>33</v>
      </c>
      <c r="H171" t="s">
        <v>50</v>
      </c>
      <c r="I171" t="s">
        <v>22</v>
      </c>
      <c r="J171" t="s">
        <v>12</v>
      </c>
      <c r="K171" s="2">
        <v>21000</v>
      </c>
      <c r="L171" s="3">
        <v>4.9000000000000004</v>
      </c>
      <c r="M171" s="3">
        <v>84.1</v>
      </c>
      <c r="N171" s="3">
        <v>0</v>
      </c>
      <c r="O171" s="2">
        <v>196</v>
      </c>
      <c r="P171">
        <v>1</v>
      </c>
      <c r="Q171" t="s">
        <v>17</v>
      </c>
      <c r="R171" s="4">
        <v>191.07</v>
      </c>
      <c r="S171" s="4">
        <v>0</v>
      </c>
      <c r="T171" t="s">
        <v>31</v>
      </c>
      <c r="U171" s="4">
        <v>17.79</v>
      </c>
      <c r="V171" s="4">
        <v>9.0990000000000002</v>
      </c>
      <c r="W171" s="4">
        <v>191.07</v>
      </c>
    </row>
    <row r="172" spans="1:23" ht="15" customHeight="1" x14ac:dyDescent="0.25">
      <c r="A172">
        <v>1869</v>
      </c>
      <c r="B172" s="1">
        <v>45686</v>
      </c>
      <c r="C172">
        <v>0</v>
      </c>
      <c r="D172" t="s">
        <v>48</v>
      </c>
      <c r="E172">
        <v>1</v>
      </c>
      <c r="F172" t="s">
        <v>32</v>
      </c>
      <c r="G172" t="s">
        <v>33</v>
      </c>
      <c r="H172" t="s">
        <v>52</v>
      </c>
      <c r="I172" t="s">
        <v>13</v>
      </c>
      <c r="J172" t="s">
        <v>21</v>
      </c>
      <c r="K172" s="2">
        <v>9800</v>
      </c>
      <c r="L172" s="3">
        <v>7</v>
      </c>
      <c r="M172" s="3">
        <v>96.8</v>
      </c>
      <c r="N172" s="3">
        <v>0</v>
      </c>
      <c r="O172" s="2">
        <v>300</v>
      </c>
      <c r="P172">
        <v>1</v>
      </c>
      <c r="Q172" t="s">
        <v>17</v>
      </c>
      <c r="R172" s="4">
        <v>99.7</v>
      </c>
      <c r="S172" s="4">
        <v>0</v>
      </c>
      <c r="T172" t="s">
        <v>31</v>
      </c>
      <c r="U172" s="4">
        <v>9.9499999999999993</v>
      </c>
      <c r="V172" s="4">
        <v>10.173</v>
      </c>
      <c r="W172" s="4">
        <v>99.7</v>
      </c>
    </row>
    <row r="173" spans="1:23" ht="15" customHeight="1" x14ac:dyDescent="0.25">
      <c r="A173">
        <v>1133</v>
      </c>
      <c r="B173" s="1">
        <v>45686</v>
      </c>
      <c r="C173">
        <v>0</v>
      </c>
      <c r="D173" t="s">
        <v>48</v>
      </c>
      <c r="E173">
        <v>1</v>
      </c>
      <c r="F173" t="s">
        <v>32</v>
      </c>
      <c r="G173" t="s">
        <v>33</v>
      </c>
      <c r="H173" t="s">
        <v>51</v>
      </c>
      <c r="I173" t="s">
        <v>25</v>
      </c>
      <c r="J173" t="s">
        <v>15</v>
      </c>
      <c r="K173" s="2">
        <v>17400</v>
      </c>
      <c r="L173" s="3">
        <v>6.4</v>
      </c>
      <c r="M173" s="3">
        <v>79.2</v>
      </c>
      <c r="N173" s="3">
        <v>0</v>
      </c>
      <c r="O173" s="2">
        <v>54</v>
      </c>
      <c r="P173">
        <v>0</v>
      </c>
      <c r="Q173" t="s">
        <v>14</v>
      </c>
      <c r="R173" s="4">
        <v>48.87</v>
      </c>
      <c r="S173" s="4">
        <v>0</v>
      </c>
      <c r="T173" t="s">
        <v>31</v>
      </c>
      <c r="U173" s="4">
        <v>4.71</v>
      </c>
      <c r="V173" s="4">
        <v>2.8090000000000002</v>
      </c>
      <c r="W173" s="4">
        <v>48.87</v>
      </c>
    </row>
    <row r="174" spans="1:23" ht="15" customHeight="1" x14ac:dyDescent="0.25">
      <c r="A174">
        <v>397</v>
      </c>
      <c r="B174" s="1">
        <v>45686</v>
      </c>
      <c r="C174">
        <v>0</v>
      </c>
      <c r="D174" t="s">
        <v>48</v>
      </c>
      <c r="E174">
        <v>1</v>
      </c>
      <c r="F174" t="s">
        <v>32</v>
      </c>
      <c r="G174" t="s">
        <v>33</v>
      </c>
      <c r="H174" t="s">
        <v>54</v>
      </c>
      <c r="I174" t="s">
        <v>16</v>
      </c>
      <c r="J174" t="s">
        <v>24</v>
      </c>
      <c r="K174" s="2">
        <v>8600</v>
      </c>
      <c r="L174" s="3">
        <v>5.0999999999999996</v>
      </c>
      <c r="M174" s="3">
        <v>99</v>
      </c>
      <c r="N174" s="3">
        <v>0</v>
      </c>
      <c r="O174" s="2">
        <v>34</v>
      </c>
      <c r="P174">
        <v>1</v>
      </c>
      <c r="Q174" t="s">
        <v>17</v>
      </c>
      <c r="R174" s="4">
        <v>25.67</v>
      </c>
      <c r="S174" s="4">
        <v>0</v>
      </c>
      <c r="T174" t="s">
        <v>31</v>
      </c>
      <c r="U174" s="4">
        <v>2.54</v>
      </c>
      <c r="V174" s="4">
        <v>2.9849999999999999</v>
      </c>
      <c r="W174" s="4">
        <v>25.67</v>
      </c>
    </row>
    <row r="175" spans="1:23" ht="15" customHeight="1" x14ac:dyDescent="0.25">
      <c r="A175">
        <v>1501</v>
      </c>
      <c r="B175" s="1">
        <v>45686</v>
      </c>
      <c r="C175">
        <v>0</v>
      </c>
      <c r="D175" t="s">
        <v>48</v>
      </c>
      <c r="E175">
        <v>1</v>
      </c>
      <c r="F175" t="s">
        <v>32</v>
      </c>
      <c r="G175" t="s">
        <v>33</v>
      </c>
      <c r="H175" t="s">
        <v>49</v>
      </c>
      <c r="I175" t="s">
        <v>27</v>
      </c>
      <c r="J175" t="s">
        <v>18</v>
      </c>
      <c r="K175" s="2">
        <v>26000</v>
      </c>
      <c r="L175" s="3">
        <v>3.4</v>
      </c>
      <c r="M175" s="3">
        <v>79.5</v>
      </c>
      <c r="N175" s="3">
        <v>0</v>
      </c>
      <c r="O175" s="2">
        <v>57</v>
      </c>
      <c r="P175">
        <v>1</v>
      </c>
      <c r="Q175" t="s">
        <v>17</v>
      </c>
      <c r="R175" s="4">
        <v>699.2</v>
      </c>
      <c r="S175" s="4">
        <v>0</v>
      </c>
      <c r="T175" t="s">
        <v>31</v>
      </c>
      <c r="U175" s="4">
        <v>11.67</v>
      </c>
      <c r="V175" s="4">
        <v>26.891999999999999</v>
      </c>
      <c r="W175" s="4">
        <v>699.2</v>
      </c>
    </row>
    <row r="176" spans="1:23" ht="15" customHeight="1" x14ac:dyDescent="0.25">
      <c r="A176">
        <v>766</v>
      </c>
      <c r="B176" s="1">
        <v>45686.333333333343</v>
      </c>
      <c r="C176">
        <v>8</v>
      </c>
      <c r="D176" t="s">
        <v>48</v>
      </c>
      <c r="E176">
        <v>1</v>
      </c>
      <c r="F176" t="s">
        <v>32</v>
      </c>
      <c r="G176" t="s">
        <v>33</v>
      </c>
      <c r="H176" t="s">
        <v>50</v>
      </c>
      <c r="I176" t="s">
        <v>22</v>
      </c>
      <c r="J176" t="s">
        <v>12</v>
      </c>
      <c r="K176" s="2">
        <v>21000</v>
      </c>
      <c r="L176" s="3">
        <v>7.8</v>
      </c>
      <c r="M176" s="3">
        <v>83.5</v>
      </c>
      <c r="N176" s="3">
        <v>0</v>
      </c>
      <c r="O176" s="2">
        <v>470</v>
      </c>
      <c r="P176">
        <v>1</v>
      </c>
      <c r="Q176" t="s">
        <v>17</v>
      </c>
      <c r="R176" s="4">
        <v>310.87</v>
      </c>
      <c r="S176" s="4">
        <v>0</v>
      </c>
      <c r="T176" t="s">
        <v>34</v>
      </c>
      <c r="U176" s="4">
        <v>47.41</v>
      </c>
      <c r="V176" s="4">
        <v>14.803000000000001</v>
      </c>
      <c r="W176" s="4">
        <v>310.87</v>
      </c>
    </row>
    <row r="177" spans="1:23" ht="15" customHeight="1" x14ac:dyDescent="0.25">
      <c r="A177">
        <v>30</v>
      </c>
      <c r="B177" s="1">
        <v>45686.333333333343</v>
      </c>
      <c r="C177">
        <v>8</v>
      </c>
      <c r="D177" t="s">
        <v>48</v>
      </c>
      <c r="E177">
        <v>1</v>
      </c>
      <c r="F177" t="s">
        <v>32</v>
      </c>
      <c r="G177" t="s">
        <v>33</v>
      </c>
      <c r="H177" t="s">
        <v>53</v>
      </c>
      <c r="I177" t="s">
        <v>19</v>
      </c>
      <c r="J177" t="s">
        <v>26</v>
      </c>
      <c r="K177" s="2">
        <v>12500</v>
      </c>
      <c r="L177" s="3">
        <v>2.9</v>
      </c>
      <c r="M177" s="3">
        <v>83.1</v>
      </c>
      <c r="N177" s="3">
        <v>0</v>
      </c>
      <c r="O177" s="2">
        <v>327</v>
      </c>
      <c r="P177">
        <v>1</v>
      </c>
      <c r="Q177" t="s">
        <v>17</v>
      </c>
      <c r="R177" s="4">
        <v>104.28</v>
      </c>
      <c r="S177" s="4">
        <v>0</v>
      </c>
      <c r="T177" t="s">
        <v>34</v>
      </c>
      <c r="U177" s="4">
        <v>16.25</v>
      </c>
      <c r="V177" s="4">
        <v>8.3420000000000005</v>
      </c>
      <c r="W177" s="4">
        <v>104.28</v>
      </c>
    </row>
    <row r="178" spans="1:23" ht="15" customHeight="1" x14ac:dyDescent="0.25">
      <c r="A178">
        <v>1870</v>
      </c>
      <c r="B178" s="1">
        <v>45686.333333333343</v>
      </c>
      <c r="C178">
        <v>8</v>
      </c>
      <c r="D178" t="s">
        <v>48</v>
      </c>
      <c r="E178">
        <v>1</v>
      </c>
      <c r="F178" t="s">
        <v>32</v>
      </c>
      <c r="G178" t="s">
        <v>33</v>
      </c>
      <c r="H178" t="s">
        <v>52</v>
      </c>
      <c r="I178" t="s">
        <v>13</v>
      </c>
      <c r="J178" t="s">
        <v>21</v>
      </c>
      <c r="K178" s="2">
        <v>9800</v>
      </c>
      <c r="L178" s="3">
        <v>7.7</v>
      </c>
      <c r="M178" s="3">
        <v>86</v>
      </c>
      <c r="N178" s="3">
        <v>0</v>
      </c>
      <c r="O178" s="2">
        <v>37</v>
      </c>
      <c r="P178">
        <v>1</v>
      </c>
      <c r="Q178" t="s">
        <v>17</v>
      </c>
      <c r="R178" s="4">
        <v>32.1</v>
      </c>
      <c r="S178" s="4">
        <v>0</v>
      </c>
      <c r="T178" t="s">
        <v>34</v>
      </c>
      <c r="U178" s="4">
        <v>5.04</v>
      </c>
      <c r="V178" s="4">
        <v>3.2759999999999998</v>
      </c>
      <c r="W178" s="4">
        <v>32.1</v>
      </c>
    </row>
    <row r="179" spans="1:23" ht="15" customHeight="1" x14ac:dyDescent="0.25">
      <c r="A179">
        <v>398</v>
      </c>
      <c r="B179" s="1">
        <v>45686.333333333343</v>
      </c>
      <c r="C179">
        <v>8</v>
      </c>
      <c r="D179" t="s">
        <v>48</v>
      </c>
      <c r="E179">
        <v>1</v>
      </c>
      <c r="F179" t="s">
        <v>32</v>
      </c>
      <c r="G179" t="s">
        <v>33</v>
      </c>
      <c r="H179" t="s">
        <v>54</v>
      </c>
      <c r="I179" t="s">
        <v>16</v>
      </c>
      <c r="J179" t="s">
        <v>24</v>
      </c>
      <c r="K179" s="2">
        <v>8600</v>
      </c>
      <c r="L179" s="3">
        <v>9.6999999999999993</v>
      </c>
      <c r="M179" s="3">
        <v>92.5</v>
      </c>
      <c r="N179" s="3">
        <v>0</v>
      </c>
      <c r="O179" s="2">
        <v>753</v>
      </c>
      <c r="P179">
        <v>1</v>
      </c>
      <c r="Q179" t="s">
        <v>17</v>
      </c>
      <c r="R179" s="4">
        <v>116.54</v>
      </c>
      <c r="S179" s="4">
        <v>0</v>
      </c>
      <c r="T179" t="s">
        <v>34</v>
      </c>
      <c r="U179" s="4">
        <v>18.16</v>
      </c>
      <c r="V179" s="4">
        <v>13.551</v>
      </c>
      <c r="W179" s="4">
        <v>116.54</v>
      </c>
    </row>
    <row r="180" spans="1:23" ht="15" customHeight="1" x14ac:dyDescent="0.25">
      <c r="A180">
        <v>1134</v>
      </c>
      <c r="B180" s="1">
        <v>45686.333333333343</v>
      </c>
      <c r="C180">
        <v>8</v>
      </c>
      <c r="D180" t="s">
        <v>48</v>
      </c>
      <c r="E180">
        <v>1</v>
      </c>
      <c r="F180" t="s">
        <v>32</v>
      </c>
      <c r="G180" t="s">
        <v>33</v>
      </c>
      <c r="H180" t="s">
        <v>51</v>
      </c>
      <c r="I180" t="s">
        <v>25</v>
      </c>
      <c r="J180" t="s">
        <v>15</v>
      </c>
      <c r="K180" s="2">
        <v>17400</v>
      </c>
      <c r="L180" s="3">
        <v>11.4</v>
      </c>
      <c r="M180" s="3">
        <v>85.9</v>
      </c>
      <c r="N180" s="3">
        <v>0</v>
      </c>
      <c r="O180" s="2">
        <v>155</v>
      </c>
      <c r="P180">
        <v>0</v>
      </c>
      <c r="Q180" t="s">
        <v>14</v>
      </c>
      <c r="R180" s="4">
        <v>54.19</v>
      </c>
      <c r="S180" s="4">
        <v>0</v>
      </c>
      <c r="T180" t="s">
        <v>34</v>
      </c>
      <c r="U180" s="4">
        <v>8.5500000000000007</v>
      </c>
      <c r="V180" s="4">
        <v>3.1139999999999999</v>
      </c>
      <c r="W180" s="4">
        <v>54.19</v>
      </c>
    </row>
    <row r="181" spans="1:23" ht="15" customHeight="1" x14ac:dyDescent="0.25">
      <c r="A181">
        <v>1502</v>
      </c>
      <c r="B181" s="1">
        <v>45686.333333333343</v>
      </c>
      <c r="C181">
        <v>8</v>
      </c>
      <c r="D181" t="s">
        <v>48</v>
      </c>
      <c r="E181">
        <v>1</v>
      </c>
      <c r="F181" t="s">
        <v>32</v>
      </c>
      <c r="G181" t="s">
        <v>33</v>
      </c>
      <c r="H181" t="s">
        <v>49</v>
      </c>
      <c r="I181" t="s">
        <v>27</v>
      </c>
      <c r="J181" t="s">
        <v>18</v>
      </c>
      <c r="K181" s="2">
        <v>26000</v>
      </c>
      <c r="L181" s="3">
        <v>6</v>
      </c>
      <c r="M181" s="3">
        <v>83.8</v>
      </c>
      <c r="N181" s="3">
        <v>0</v>
      </c>
      <c r="O181" s="2">
        <v>164</v>
      </c>
      <c r="P181">
        <v>1</v>
      </c>
      <c r="Q181" t="s">
        <v>17</v>
      </c>
      <c r="R181" s="4">
        <v>262.76</v>
      </c>
      <c r="S181" s="4">
        <v>0</v>
      </c>
      <c r="T181" t="s">
        <v>34</v>
      </c>
      <c r="U181" s="4">
        <v>40.94</v>
      </c>
      <c r="V181" s="4">
        <v>10.106</v>
      </c>
      <c r="W181" s="4">
        <v>262.76</v>
      </c>
    </row>
    <row r="182" spans="1:23" ht="15" customHeight="1" x14ac:dyDescent="0.25">
      <c r="A182">
        <v>767</v>
      </c>
      <c r="B182" s="1">
        <v>45686.583333333343</v>
      </c>
      <c r="C182">
        <v>14</v>
      </c>
      <c r="D182" t="s">
        <v>48</v>
      </c>
      <c r="E182">
        <v>1</v>
      </c>
      <c r="F182" t="s">
        <v>32</v>
      </c>
      <c r="G182" t="s">
        <v>33</v>
      </c>
      <c r="H182" t="s">
        <v>50</v>
      </c>
      <c r="I182" t="s">
        <v>22</v>
      </c>
      <c r="J182" t="s">
        <v>12</v>
      </c>
      <c r="K182" s="2">
        <v>21000</v>
      </c>
      <c r="L182" s="3">
        <v>17.399999999999999</v>
      </c>
      <c r="M182" s="3">
        <v>72.2</v>
      </c>
      <c r="N182" s="3">
        <v>295.60000000000002</v>
      </c>
      <c r="O182" s="2">
        <v>400</v>
      </c>
      <c r="P182">
        <v>0</v>
      </c>
      <c r="Q182" t="s">
        <v>14</v>
      </c>
      <c r="R182" s="4">
        <v>205.71</v>
      </c>
      <c r="S182" s="4">
        <v>64.400000000000006</v>
      </c>
      <c r="T182" t="s">
        <v>34</v>
      </c>
      <c r="U182" s="4">
        <v>22.34</v>
      </c>
      <c r="V182" s="4">
        <v>9.7959999999999994</v>
      </c>
      <c r="W182" s="4">
        <v>141.31</v>
      </c>
    </row>
    <row r="183" spans="1:23" ht="15" customHeight="1" x14ac:dyDescent="0.25">
      <c r="A183">
        <v>1503</v>
      </c>
      <c r="B183" s="1">
        <v>45686.583333333343</v>
      </c>
      <c r="C183">
        <v>14</v>
      </c>
      <c r="D183" t="s">
        <v>48</v>
      </c>
      <c r="E183">
        <v>1</v>
      </c>
      <c r="F183" t="s">
        <v>32</v>
      </c>
      <c r="G183" t="s">
        <v>33</v>
      </c>
      <c r="H183" t="s">
        <v>49</v>
      </c>
      <c r="I183" t="s">
        <v>27</v>
      </c>
      <c r="J183" t="s">
        <v>18</v>
      </c>
      <c r="K183" s="2">
        <v>26000</v>
      </c>
      <c r="L183" s="3">
        <v>16.399999999999999</v>
      </c>
      <c r="M183" s="3">
        <v>69.900000000000006</v>
      </c>
      <c r="N183" s="3">
        <v>418.5</v>
      </c>
      <c r="O183" s="2">
        <v>169</v>
      </c>
      <c r="P183">
        <v>0</v>
      </c>
      <c r="Q183" t="s">
        <v>14</v>
      </c>
      <c r="R183" s="4">
        <v>153.62</v>
      </c>
      <c r="S183" s="4">
        <v>114.63</v>
      </c>
      <c r="T183" t="s">
        <v>34</v>
      </c>
      <c r="U183" s="4">
        <v>5.74</v>
      </c>
      <c r="V183" s="4">
        <v>5.9080000000000004</v>
      </c>
      <c r="W183" s="4">
        <v>38.99</v>
      </c>
    </row>
    <row r="184" spans="1:23" ht="15" customHeight="1" x14ac:dyDescent="0.25">
      <c r="A184">
        <v>31</v>
      </c>
      <c r="B184" s="1">
        <v>45686.583333333343</v>
      </c>
      <c r="C184">
        <v>14</v>
      </c>
      <c r="D184" t="s">
        <v>48</v>
      </c>
      <c r="E184">
        <v>1</v>
      </c>
      <c r="F184" t="s">
        <v>32</v>
      </c>
      <c r="G184" t="s">
        <v>33</v>
      </c>
      <c r="H184" t="s">
        <v>53</v>
      </c>
      <c r="I184" t="s">
        <v>19</v>
      </c>
      <c r="J184" t="s">
        <v>26</v>
      </c>
      <c r="K184" s="2">
        <v>12500</v>
      </c>
      <c r="L184" s="3">
        <v>10.7</v>
      </c>
      <c r="M184" s="3">
        <v>76.599999999999994</v>
      </c>
      <c r="N184" s="3">
        <v>456</v>
      </c>
      <c r="O184" s="2">
        <v>580</v>
      </c>
      <c r="P184">
        <v>1</v>
      </c>
      <c r="Q184" t="s">
        <v>17</v>
      </c>
      <c r="R184" s="4">
        <v>105.8</v>
      </c>
      <c r="S184" s="4">
        <v>69.05</v>
      </c>
      <c r="T184" t="s">
        <v>34</v>
      </c>
      <c r="U184" s="4">
        <v>5.63</v>
      </c>
      <c r="V184" s="4">
        <v>8.4640000000000004</v>
      </c>
      <c r="W184" s="4">
        <v>36.75</v>
      </c>
    </row>
    <row r="185" spans="1:23" ht="15" customHeight="1" x14ac:dyDescent="0.25">
      <c r="A185">
        <v>1871</v>
      </c>
      <c r="B185" s="1">
        <v>45686.583333333343</v>
      </c>
      <c r="C185">
        <v>14</v>
      </c>
      <c r="D185" t="s">
        <v>48</v>
      </c>
      <c r="E185">
        <v>1</v>
      </c>
      <c r="F185" t="s">
        <v>32</v>
      </c>
      <c r="G185" t="s">
        <v>33</v>
      </c>
      <c r="H185" t="s">
        <v>52</v>
      </c>
      <c r="I185" t="s">
        <v>13</v>
      </c>
      <c r="J185" t="s">
        <v>21</v>
      </c>
      <c r="K185" s="2">
        <v>9800</v>
      </c>
      <c r="L185" s="3">
        <v>14.5</v>
      </c>
      <c r="M185" s="3">
        <v>85.9</v>
      </c>
      <c r="N185" s="3">
        <v>331.4</v>
      </c>
      <c r="O185" s="2">
        <v>74</v>
      </c>
      <c r="P185">
        <v>1</v>
      </c>
      <c r="Q185" t="s">
        <v>23</v>
      </c>
      <c r="R185" s="4">
        <v>19.489999999999998</v>
      </c>
      <c r="S185" s="4">
        <v>0</v>
      </c>
      <c r="T185" t="s">
        <v>34</v>
      </c>
      <c r="U185" s="4">
        <v>2.99</v>
      </c>
      <c r="V185" s="4">
        <v>1.9890000000000001</v>
      </c>
      <c r="W185" s="4">
        <v>19.489999999999998</v>
      </c>
    </row>
    <row r="186" spans="1:23" ht="15" customHeight="1" x14ac:dyDescent="0.25">
      <c r="A186">
        <v>399</v>
      </c>
      <c r="B186" s="1">
        <v>45686.583333333343</v>
      </c>
      <c r="C186">
        <v>14</v>
      </c>
      <c r="D186" t="s">
        <v>48</v>
      </c>
      <c r="E186">
        <v>1</v>
      </c>
      <c r="F186" t="s">
        <v>32</v>
      </c>
      <c r="G186" t="s">
        <v>33</v>
      </c>
      <c r="H186" t="s">
        <v>54</v>
      </c>
      <c r="I186" t="s">
        <v>16</v>
      </c>
      <c r="J186" t="s">
        <v>24</v>
      </c>
      <c r="K186" s="2">
        <v>8600</v>
      </c>
      <c r="L186" s="3">
        <v>11.9</v>
      </c>
      <c r="M186" s="3">
        <v>90.1</v>
      </c>
      <c r="N186" s="3">
        <v>365.4</v>
      </c>
      <c r="O186" s="2"/>
      <c r="P186">
        <v>1</v>
      </c>
      <c r="Q186" t="s">
        <v>17</v>
      </c>
      <c r="R186" s="4">
        <v>88.27</v>
      </c>
      <c r="S186" s="4">
        <v>28.48</v>
      </c>
      <c r="T186" t="s">
        <v>34</v>
      </c>
      <c r="U186" s="4">
        <v>8.93</v>
      </c>
      <c r="V186" s="4">
        <v>10.263999999999999</v>
      </c>
      <c r="W186" s="4">
        <v>59.79</v>
      </c>
    </row>
    <row r="187" spans="1:23" ht="15" customHeight="1" x14ac:dyDescent="0.25">
      <c r="A187">
        <v>1135</v>
      </c>
      <c r="B187" s="1">
        <v>45686.583333333343</v>
      </c>
      <c r="C187">
        <v>14</v>
      </c>
      <c r="D187" t="s">
        <v>48</v>
      </c>
      <c r="E187">
        <v>1</v>
      </c>
      <c r="F187" t="s">
        <v>32</v>
      </c>
      <c r="G187" t="s">
        <v>33</v>
      </c>
      <c r="H187" t="s">
        <v>51</v>
      </c>
      <c r="I187" t="s">
        <v>25</v>
      </c>
      <c r="J187" t="s">
        <v>15</v>
      </c>
      <c r="K187" s="2">
        <v>17400</v>
      </c>
      <c r="L187" s="3">
        <v>13.6</v>
      </c>
      <c r="M187" s="3">
        <v>77</v>
      </c>
      <c r="N187" s="3">
        <v>458.6</v>
      </c>
      <c r="O187" s="2">
        <v>1320</v>
      </c>
      <c r="P187">
        <v>1</v>
      </c>
      <c r="Q187" t="s">
        <v>17</v>
      </c>
      <c r="R187" s="4">
        <v>189.24</v>
      </c>
      <c r="S187" s="4">
        <v>63.51</v>
      </c>
      <c r="T187" t="s">
        <v>34</v>
      </c>
      <c r="U187" s="4">
        <v>19.440000000000001</v>
      </c>
      <c r="V187" s="4">
        <v>10.875999999999999</v>
      </c>
      <c r="W187" s="4">
        <v>125.73</v>
      </c>
    </row>
    <row r="188" spans="1:23" ht="15" customHeight="1" x14ac:dyDescent="0.25">
      <c r="A188">
        <v>1872</v>
      </c>
      <c r="B188" s="1">
        <v>45686.833333333343</v>
      </c>
      <c r="C188">
        <v>20</v>
      </c>
      <c r="D188" t="s">
        <v>48</v>
      </c>
      <c r="E188">
        <v>1</v>
      </c>
      <c r="F188" t="s">
        <v>32</v>
      </c>
      <c r="G188" t="s">
        <v>33</v>
      </c>
      <c r="H188" t="s">
        <v>52</v>
      </c>
      <c r="I188" t="s">
        <v>13</v>
      </c>
      <c r="J188" t="s">
        <v>21</v>
      </c>
      <c r="K188" s="2">
        <v>9800</v>
      </c>
      <c r="L188" s="3">
        <v>16.7</v>
      </c>
      <c r="M188" s="3">
        <v>87.4</v>
      </c>
      <c r="N188" s="3">
        <v>0</v>
      </c>
      <c r="O188" s="2">
        <v>291</v>
      </c>
      <c r="P188">
        <v>0</v>
      </c>
      <c r="Q188" t="s">
        <v>14</v>
      </c>
      <c r="R188" s="4">
        <v>93.94</v>
      </c>
      <c r="S188" s="4">
        <v>0</v>
      </c>
      <c r="T188" t="s">
        <v>37</v>
      </c>
      <c r="U188" s="4">
        <v>22.51</v>
      </c>
      <c r="V188" s="4">
        <v>9.5860000000000003</v>
      </c>
      <c r="W188" s="4">
        <v>93.94</v>
      </c>
    </row>
    <row r="189" spans="1:23" ht="15" customHeight="1" x14ac:dyDescent="0.25">
      <c r="A189">
        <v>1136</v>
      </c>
      <c r="B189" s="1">
        <v>45686.833333333343</v>
      </c>
      <c r="C189">
        <v>20</v>
      </c>
      <c r="D189" t="s">
        <v>48</v>
      </c>
      <c r="E189">
        <v>1</v>
      </c>
      <c r="F189" t="s">
        <v>32</v>
      </c>
      <c r="G189" t="s">
        <v>33</v>
      </c>
      <c r="H189" t="s">
        <v>51</v>
      </c>
      <c r="I189" t="s">
        <v>25</v>
      </c>
      <c r="J189" t="s">
        <v>15</v>
      </c>
      <c r="K189" s="2">
        <v>17400</v>
      </c>
      <c r="L189" s="3">
        <v>11.6</v>
      </c>
      <c r="M189" s="3">
        <v>82.3</v>
      </c>
      <c r="N189" s="3">
        <v>0</v>
      </c>
      <c r="O189" s="2">
        <v>1304</v>
      </c>
      <c r="P189">
        <v>1</v>
      </c>
      <c r="Q189" t="s">
        <v>17</v>
      </c>
      <c r="R189" s="4">
        <v>269.06</v>
      </c>
      <c r="S189" s="4">
        <v>0</v>
      </c>
      <c r="T189" t="s">
        <v>37</v>
      </c>
      <c r="U189" s="4">
        <v>63.69</v>
      </c>
      <c r="V189" s="4">
        <v>15.462999999999999</v>
      </c>
      <c r="W189" s="4">
        <v>269.06</v>
      </c>
    </row>
    <row r="190" spans="1:23" ht="15" customHeight="1" x14ac:dyDescent="0.25">
      <c r="A190">
        <v>1504</v>
      </c>
      <c r="B190" s="1">
        <v>45686.833333333343</v>
      </c>
      <c r="C190">
        <v>20</v>
      </c>
      <c r="D190" t="s">
        <v>48</v>
      </c>
      <c r="E190">
        <v>1</v>
      </c>
      <c r="F190" t="s">
        <v>32</v>
      </c>
      <c r="G190" t="s">
        <v>33</v>
      </c>
      <c r="H190" t="s">
        <v>49</v>
      </c>
      <c r="I190" t="s">
        <v>27</v>
      </c>
      <c r="J190" t="s">
        <v>18</v>
      </c>
      <c r="K190" s="2">
        <v>26000</v>
      </c>
      <c r="L190" s="3">
        <v>6.5</v>
      </c>
      <c r="M190" s="3">
        <v>82.4</v>
      </c>
      <c r="N190" s="3">
        <v>0</v>
      </c>
      <c r="O190" s="2">
        <v>162</v>
      </c>
      <c r="P190">
        <v>1</v>
      </c>
      <c r="Q190" t="s">
        <v>17</v>
      </c>
      <c r="R190" s="4">
        <v>273.99</v>
      </c>
      <c r="S190" s="4">
        <v>0</v>
      </c>
      <c r="T190" t="s">
        <v>37</v>
      </c>
      <c r="U190" s="4">
        <v>63.57</v>
      </c>
      <c r="V190" s="4">
        <v>10.538</v>
      </c>
      <c r="W190" s="4">
        <v>273.99</v>
      </c>
    </row>
    <row r="191" spans="1:23" ht="15" customHeight="1" x14ac:dyDescent="0.25">
      <c r="A191">
        <v>32</v>
      </c>
      <c r="B191" s="1">
        <v>45686.833333333343</v>
      </c>
      <c r="C191">
        <v>20</v>
      </c>
      <c r="D191" t="s">
        <v>48</v>
      </c>
      <c r="E191">
        <v>1</v>
      </c>
      <c r="F191" t="s">
        <v>32</v>
      </c>
      <c r="G191" t="s">
        <v>33</v>
      </c>
      <c r="H191" t="s">
        <v>53</v>
      </c>
      <c r="I191" t="s">
        <v>19</v>
      </c>
      <c r="J191" t="s">
        <v>26</v>
      </c>
      <c r="K191" s="2">
        <v>12500</v>
      </c>
      <c r="L191" s="3">
        <v>8.1999999999999993</v>
      </c>
      <c r="M191" s="3">
        <v>70.2</v>
      </c>
      <c r="N191" s="3">
        <v>0</v>
      </c>
      <c r="O191" s="2">
        <v>49</v>
      </c>
      <c r="P191">
        <v>1</v>
      </c>
      <c r="Q191" t="s">
        <v>17</v>
      </c>
      <c r="R191" s="4">
        <v>43.41</v>
      </c>
      <c r="S191" s="4">
        <v>0</v>
      </c>
      <c r="T191" t="s">
        <v>37</v>
      </c>
      <c r="U191" s="4">
        <v>10.24</v>
      </c>
      <c r="V191" s="4">
        <v>3.4729999999999999</v>
      </c>
      <c r="W191" s="4">
        <v>43.41</v>
      </c>
    </row>
    <row r="192" spans="1:23" ht="15" customHeight="1" x14ac:dyDescent="0.25">
      <c r="A192">
        <v>768</v>
      </c>
      <c r="B192" s="1">
        <v>45686.833333333343</v>
      </c>
      <c r="C192">
        <v>20</v>
      </c>
      <c r="D192" t="s">
        <v>48</v>
      </c>
      <c r="E192">
        <v>1</v>
      </c>
      <c r="F192" t="s">
        <v>32</v>
      </c>
      <c r="G192" t="s">
        <v>33</v>
      </c>
      <c r="H192" t="s">
        <v>50</v>
      </c>
      <c r="I192" t="s">
        <v>22</v>
      </c>
      <c r="J192" t="s">
        <v>12</v>
      </c>
      <c r="K192" s="2">
        <v>21000</v>
      </c>
      <c r="L192" s="3">
        <v>13.3</v>
      </c>
      <c r="M192" s="3">
        <v>65.8</v>
      </c>
      <c r="N192" s="3">
        <v>0</v>
      </c>
      <c r="O192" s="2">
        <v>397</v>
      </c>
      <c r="P192">
        <v>1</v>
      </c>
      <c r="Q192" t="s">
        <v>17</v>
      </c>
      <c r="R192" s="4">
        <v>270.02999999999997</v>
      </c>
      <c r="S192" s="4">
        <v>0</v>
      </c>
      <c r="T192" t="s">
        <v>37</v>
      </c>
      <c r="U192" s="4">
        <v>63.46</v>
      </c>
      <c r="V192" s="4">
        <v>12.859</v>
      </c>
      <c r="W192" s="4">
        <v>270.02999999999997</v>
      </c>
    </row>
    <row r="193" spans="1:23" ht="15" customHeight="1" x14ac:dyDescent="0.25">
      <c r="A193">
        <v>400</v>
      </c>
      <c r="B193" s="1">
        <v>45686.833333333343</v>
      </c>
      <c r="C193">
        <v>20</v>
      </c>
      <c r="D193" t="s">
        <v>48</v>
      </c>
      <c r="E193">
        <v>1</v>
      </c>
      <c r="F193" t="s">
        <v>32</v>
      </c>
      <c r="G193" t="s">
        <v>33</v>
      </c>
      <c r="H193" t="s">
        <v>54</v>
      </c>
      <c r="I193" t="s">
        <v>16</v>
      </c>
      <c r="J193" t="s">
        <v>24</v>
      </c>
      <c r="K193" s="2">
        <v>8600</v>
      </c>
      <c r="L193" s="3">
        <v>10.9</v>
      </c>
      <c r="M193" s="3">
        <v>89.4</v>
      </c>
      <c r="N193" s="3">
        <v>0</v>
      </c>
      <c r="O193" s="2">
        <v>78</v>
      </c>
      <c r="P193">
        <v>1</v>
      </c>
      <c r="Q193" t="s">
        <v>17</v>
      </c>
      <c r="R193" s="4">
        <v>25.3</v>
      </c>
      <c r="S193" s="4">
        <v>0</v>
      </c>
      <c r="T193" t="s">
        <v>37</v>
      </c>
      <c r="U193" s="4">
        <v>5.92</v>
      </c>
      <c r="V193" s="4">
        <v>2.9420000000000002</v>
      </c>
      <c r="W193" s="4">
        <v>25.3</v>
      </c>
    </row>
    <row r="194" spans="1:23" ht="15" customHeight="1" x14ac:dyDescent="0.25">
      <c r="A194">
        <v>401</v>
      </c>
      <c r="B194" s="1">
        <v>45690</v>
      </c>
      <c r="C194">
        <v>0</v>
      </c>
      <c r="D194" t="s">
        <v>55</v>
      </c>
      <c r="E194">
        <v>2</v>
      </c>
      <c r="F194" t="s">
        <v>32</v>
      </c>
      <c r="G194" t="s">
        <v>36</v>
      </c>
      <c r="H194" t="s">
        <v>54</v>
      </c>
      <c r="I194" t="s">
        <v>16</v>
      </c>
      <c r="J194" t="s">
        <v>24</v>
      </c>
      <c r="K194" s="2">
        <v>8600</v>
      </c>
      <c r="L194" s="3">
        <v>3.5</v>
      </c>
      <c r="M194" s="3">
        <v>99</v>
      </c>
      <c r="N194" s="3">
        <v>0</v>
      </c>
      <c r="O194" s="2">
        <v>26</v>
      </c>
      <c r="P194">
        <v>0</v>
      </c>
      <c r="Q194" t="s">
        <v>14</v>
      </c>
      <c r="R194" s="4">
        <v>14.17</v>
      </c>
      <c r="S194" s="4">
        <v>0</v>
      </c>
      <c r="T194" t="s">
        <v>31</v>
      </c>
      <c r="U194" s="4">
        <v>1.34</v>
      </c>
      <c r="V194" s="4">
        <v>1.6479999999999999</v>
      </c>
      <c r="W194" s="4">
        <v>14.17</v>
      </c>
    </row>
    <row r="195" spans="1:23" ht="15" customHeight="1" x14ac:dyDescent="0.25">
      <c r="A195">
        <v>1505</v>
      </c>
      <c r="B195" s="1">
        <v>45690</v>
      </c>
      <c r="C195">
        <v>0</v>
      </c>
      <c r="D195" t="s">
        <v>55</v>
      </c>
      <c r="E195">
        <v>2</v>
      </c>
      <c r="F195" t="s">
        <v>32</v>
      </c>
      <c r="G195" t="s">
        <v>36</v>
      </c>
      <c r="H195" t="s">
        <v>49</v>
      </c>
      <c r="I195" t="s">
        <v>27</v>
      </c>
      <c r="J195" t="s">
        <v>18</v>
      </c>
      <c r="K195" s="2">
        <v>26000</v>
      </c>
      <c r="L195" s="3">
        <v>3.1</v>
      </c>
      <c r="M195" s="3">
        <v>78.3</v>
      </c>
      <c r="N195" s="3">
        <v>0</v>
      </c>
      <c r="O195" s="2">
        <v>7</v>
      </c>
      <c r="P195">
        <v>1</v>
      </c>
      <c r="Q195" t="s">
        <v>17</v>
      </c>
      <c r="R195" s="4">
        <v>93.52</v>
      </c>
      <c r="S195" s="4">
        <v>0</v>
      </c>
      <c r="T195" t="s">
        <v>31</v>
      </c>
      <c r="U195" s="4">
        <v>8.81</v>
      </c>
      <c r="V195" s="4">
        <v>3.597</v>
      </c>
      <c r="W195" s="4">
        <v>93.52</v>
      </c>
    </row>
    <row r="196" spans="1:23" ht="15" customHeight="1" x14ac:dyDescent="0.25">
      <c r="A196">
        <v>769</v>
      </c>
      <c r="B196" s="1">
        <v>45690</v>
      </c>
      <c r="C196">
        <v>0</v>
      </c>
      <c r="D196" t="s">
        <v>55</v>
      </c>
      <c r="E196">
        <v>2</v>
      </c>
      <c r="F196" t="s">
        <v>32</v>
      </c>
      <c r="G196" t="s">
        <v>36</v>
      </c>
      <c r="H196" t="s">
        <v>50</v>
      </c>
      <c r="I196" t="s">
        <v>22</v>
      </c>
      <c r="J196" t="s">
        <v>12</v>
      </c>
      <c r="K196" s="2">
        <v>21000</v>
      </c>
      <c r="L196" s="3">
        <v>8.4</v>
      </c>
      <c r="M196" s="3">
        <v>76.5</v>
      </c>
      <c r="N196" s="3">
        <v>0</v>
      </c>
      <c r="O196" s="2">
        <v>181</v>
      </c>
      <c r="P196">
        <v>1</v>
      </c>
      <c r="Q196" t="s">
        <v>17</v>
      </c>
      <c r="R196" s="4">
        <v>194.44</v>
      </c>
      <c r="S196" s="4">
        <v>0</v>
      </c>
      <c r="T196" t="s">
        <v>31</v>
      </c>
      <c r="U196" s="4">
        <v>18.34</v>
      </c>
      <c r="V196" s="4">
        <v>9.2590000000000003</v>
      </c>
      <c r="W196" s="4">
        <v>194.44</v>
      </c>
    </row>
    <row r="197" spans="1:23" ht="15" customHeight="1" x14ac:dyDescent="0.25">
      <c r="A197">
        <v>1873</v>
      </c>
      <c r="B197" s="1">
        <v>45690</v>
      </c>
      <c r="C197">
        <v>0</v>
      </c>
      <c r="D197" t="s">
        <v>55</v>
      </c>
      <c r="E197">
        <v>2</v>
      </c>
      <c r="F197" t="s">
        <v>32</v>
      </c>
      <c r="G197" t="s">
        <v>36</v>
      </c>
      <c r="H197" t="s">
        <v>52</v>
      </c>
      <c r="I197" t="s">
        <v>13</v>
      </c>
      <c r="J197" t="s">
        <v>21</v>
      </c>
      <c r="K197" s="2">
        <v>9800</v>
      </c>
      <c r="L197" s="3">
        <v>8.4</v>
      </c>
      <c r="M197" s="3">
        <v>89.4</v>
      </c>
      <c r="N197" s="3">
        <v>0</v>
      </c>
      <c r="O197" s="2">
        <v>326</v>
      </c>
      <c r="P197">
        <v>1</v>
      </c>
      <c r="Q197" t="s">
        <v>17</v>
      </c>
      <c r="R197" s="4">
        <v>109.86</v>
      </c>
      <c r="S197" s="4">
        <v>0</v>
      </c>
      <c r="T197" t="s">
        <v>31</v>
      </c>
      <c r="U197" s="4">
        <v>10.16</v>
      </c>
      <c r="V197" s="4">
        <v>11.21</v>
      </c>
      <c r="W197" s="4">
        <v>109.86</v>
      </c>
    </row>
    <row r="198" spans="1:23" ht="15" customHeight="1" x14ac:dyDescent="0.25">
      <c r="A198">
        <v>1137</v>
      </c>
      <c r="B198" s="1">
        <v>45690</v>
      </c>
      <c r="C198">
        <v>0</v>
      </c>
      <c r="D198" t="s">
        <v>55</v>
      </c>
      <c r="E198">
        <v>2</v>
      </c>
      <c r="F198" t="s">
        <v>32</v>
      </c>
      <c r="G198" t="s">
        <v>36</v>
      </c>
      <c r="H198" t="s">
        <v>51</v>
      </c>
      <c r="I198" t="s">
        <v>25</v>
      </c>
      <c r="J198" t="s">
        <v>15</v>
      </c>
      <c r="K198" s="2">
        <v>17400</v>
      </c>
      <c r="L198" s="3">
        <v>7.3</v>
      </c>
      <c r="M198" s="3">
        <v>85.9</v>
      </c>
      <c r="N198" s="3">
        <v>0</v>
      </c>
      <c r="O198" s="2">
        <v>126</v>
      </c>
      <c r="P198">
        <v>1</v>
      </c>
      <c r="Q198" t="s">
        <v>17</v>
      </c>
      <c r="R198" s="4">
        <v>69.069999999999993</v>
      </c>
      <c r="S198" s="4">
        <v>0</v>
      </c>
      <c r="T198" t="s">
        <v>31</v>
      </c>
      <c r="U198" s="4">
        <v>6.52</v>
      </c>
      <c r="V198" s="4">
        <v>3.97</v>
      </c>
      <c r="W198" s="4">
        <v>69.069999999999993</v>
      </c>
    </row>
    <row r="199" spans="1:23" ht="15" customHeight="1" x14ac:dyDescent="0.25">
      <c r="A199">
        <v>33</v>
      </c>
      <c r="B199" s="1">
        <v>45690</v>
      </c>
      <c r="C199">
        <v>0</v>
      </c>
      <c r="D199" t="s">
        <v>55</v>
      </c>
      <c r="E199">
        <v>2</v>
      </c>
      <c r="F199" t="s">
        <v>32</v>
      </c>
      <c r="G199" t="s">
        <v>36</v>
      </c>
      <c r="H199" t="s">
        <v>53</v>
      </c>
      <c r="I199" t="s">
        <v>19</v>
      </c>
      <c r="J199" t="s">
        <v>26</v>
      </c>
      <c r="K199" s="2">
        <v>12500</v>
      </c>
      <c r="L199" s="3">
        <v>1.2</v>
      </c>
      <c r="M199" s="3">
        <v>73.900000000000006</v>
      </c>
      <c r="N199" s="3">
        <v>0</v>
      </c>
      <c r="O199" s="2">
        <v>0</v>
      </c>
      <c r="P199">
        <v>0</v>
      </c>
      <c r="Q199" t="s">
        <v>14</v>
      </c>
      <c r="R199" s="4">
        <v>22.07</v>
      </c>
      <c r="S199" s="4">
        <v>0</v>
      </c>
      <c r="T199" t="s">
        <v>31</v>
      </c>
      <c r="U199" s="4">
        <v>2.0699999999999998</v>
      </c>
      <c r="V199" s="4">
        <v>1.766</v>
      </c>
      <c r="W199" s="4">
        <v>22.07</v>
      </c>
    </row>
    <row r="200" spans="1:23" ht="15" customHeight="1" x14ac:dyDescent="0.25">
      <c r="A200">
        <v>34</v>
      </c>
      <c r="B200" s="1">
        <v>45690.333333333343</v>
      </c>
      <c r="C200">
        <v>8</v>
      </c>
      <c r="D200" t="s">
        <v>55</v>
      </c>
      <c r="E200">
        <v>2</v>
      </c>
      <c r="F200" t="s">
        <v>32</v>
      </c>
      <c r="G200" t="s">
        <v>36</v>
      </c>
      <c r="H200" t="s">
        <v>53</v>
      </c>
      <c r="I200" t="s">
        <v>19</v>
      </c>
      <c r="J200" t="s">
        <v>26</v>
      </c>
      <c r="K200" s="2">
        <v>12500</v>
      </c>
      <c r="L200" s="3">
        <v>4</v>
      </c>
      <c r="M200" s="3">
        <v>73.900000000000006</v>
      </c>
      <c r="N200" s="3">
        <v>0</v>
      </c>
      <c r="O200" s="2">
        <v>70</v>
      </c>
      <c r="P200">
        <v>0</v>
      </c>
      <c r="Q200" t="s">
        <v>14</v>
      </c>
      <c r="R200" s="4">
        <v>26.71</v>
      </c>
      <c r="S200" s="4">
        <v>0</v>
      </c>
      <c r="T200" t="s">
        <v>31</v>
      </c>
      <c r="U200" s="4">
        <v>2.5099999999999998</v>
      </c>
      <c r="V200" s="4">
        <v>2.137</v>
      </c>
      <c r="W200" s="4">
        <v>26.71</v>
      </c>
    </row>
    <row r="201" spans="1:23" ht="15" customHeight="1" x14ac:dyDescent="0.25">
      <c r="A201">
        <v>1506</v>
      </c>
      <c r="B201" s="1">
        <v>45690.333333333343</v>
      </c>
      <c r="C201">
        <v>8</v>
      </c>
      <c r="D201" t="s">
        <v>55</v>
      </c>
      <c r="E201">
        <v>2</v>
      </c>
      <c r="F201" t="s">
        <v>32</v>
      </c>
      <c r="G201" t="s">
        <v>36</v>
      </c>
      <c r="H201" t="s">
        <v>49</v>
      </c>
      <c r="I201" t="s">
        <v>27</v>
      </c>
      <c r="J201" t="s">
        <v>18</v>
      </c>
      <c r="K201" s="2">
        <v>26000</v>
      </c>
      <c r="L201" s="3">
        <v>4.8</v>
      </c>
      <c r="M201" s="3">
        <v>75.400000000000006</v>
      </c>
      <c r="N201" s="3">
        <v>0</v>
      </c>
      <c r="O201" s="2">
        <v>63</v>
      </c>
      <c r="P201">
        <v>1</v>
      </c>
      <c r="Q201" t="s">
        <v>17</v>
      </c>
      <c r="R201" s="4">
        <v>149.94</v>
      </c>
      <c r="S201" s="4">
        <v>0</v>
      </c>
      <c r="T201" t="s">
        <v>31</v>
      </c>
      <c r="U201" s="4">
        <v>14.44</v>
      </c>
      <c r="V201" s="4">
        <v>5.7670000000000003</v>
      </c>
      <c r="W201" s="4">
        <v>149.94</v>
      </c>
    </row>
    <row r="202" spans="1:23" ht="15" customHeight="1" x14ac:dyDescent="0.25">
      <c r="A202">
        <v>1138</v>
      </c>
      <c r="B202" s="1">
        <v>45690.333333333343</v>
      </c>
      <c r="C202">
        <v>8</v>
      </c>
      <c r="D202" t="s">
        <v>55</v>
      </c>
      <c r="E202">
        <v>2</v>
      </c>
      <c r="F202" t="s">
        <v>32</v>
      </c>
      <c r="G202" t="s">
        <v>36</v>
      </c>
      <c r="H202" t="s">
        <v>51</v>
      </c>
      <c r="I202" t="s">
        <v>25</v>
      </c>
      <c r="J202" t="s">
        <v>15</v>
      </c>
      <c r="K202" s="2">
        <v>17400</v>
      </c>
      <c r="L202" s="3">
        <v>11.6</v>
      </c>
      <c r="M202" s="3">
        <v>75.3</v>
      </c>
      <c r="N202" s="3">
        <v>0</v>
      </c>
      <c r="O202" s="2">
        <v>108</v>
      </c>
      <c r="P202">
        <v>1</v>
      </c>
      <c r="Q202" t="s">
        <v>17</v>
      </c>
      <c r="R202" s="4">
        <v>56.09</v>
      </c>
      <c r="S202" s="4">
        <v>0</v>
      </c>
      <c r="T202" t="s">
        <v>31</v>
      </c>
      <c r="U202" s="4">
        <v>5.18</v>
      </c>
      <c r="V202" s="4">
        <v>3.2240000000000002</v>
      </c>
      <c r="W202" s="4">
        <v>56.09</v>
      </c>
    </row>
    <row r="203" spans="1:23" ht="15" customHeight="1" x14ac:dyDescent="0.25">
      <c r="A203">
        <v>770</v>
      </c>
      <c r="B203" s="1">
        <v>45690.333333333343</v>
      </c>
      <c r="C203">
        <v>8</v>
      </c>
      <c r="D203" t="s">
        <v>55</v>
      </c>
      <c r="E203">
        <v>2</v>
      </c>
      <c r="F203" t="s">
        <v>32</v>
      </c>
      <c r="G203" t="s">
        <v>36</v>
      </c>
      <c r="H203" t="s">
        <v>50</v>
      </c>
      <c r="I203" t="s">
        <v>22</v>
      </c>
      <c r="J203" t="s">
        <v>12</v>
      </c>
      <c r="K203" s="2">
        <v>21000</v>
      </c>
      <c r="L203" s="3">
        <v>12.1</v>
      </c>
      <c r="M203" s="3">
        <v>69.900000000000006</v>
      </c>
      <c r="N203" s="3">
        <v>0</v>
      </c>
      <c r="O203" s="2">
        <v>410</v>
      </c>
      <c r="P203">
        <v>1</v>
      </c>
      <c r="Q203" t="s">
        <v>17</v>
      </c>
      <c r="R203" s="4">
        <v>310.19</v>
      </c>
      <c r="S203" s="4">
        <v>0</v>
      </c>
      <c r="T203" t="s">
        <v>31</v>
      </c>
      <c r="U203" s="4">
        <v>29.5</v>
      </c>
      <c r="V203" s="4">
        <v>14.771000000000001</v>
      </c>
      <c r="W203" s="4">
        <v>310.19</v>
      </c>
    </row>
    <row r="204" spans="1:23" ht="15" customHeight="1" x14ac:dyDescent="0.25">
      <c r="A204">
        <v>1874</v>
      </c>
      <c r="B204" s="1">
        <v>45690.333333333343</v>
      </c>
      <c r="C204">
        <v>8</v>
      </c>
      <c r="D204" t="s">
        <v>55</v>
      </c>
      <c r="E204">
        <v>2</v>
      </c>
      <c r="F204" t="s">
        <v>32</v>
      </c>
      <c r="G204" t="s">
        <v>36</v>
      </c>
      <c r="H204" t="s">
        <v>52</v>
      </c>
      <c r="I204" t="s">
        <v>13</v>
      </c>
      <c r="J204" t="s">
        <v>21</v>
      </c>
      <c r="K204" s="2">
        <v>9800</v>
      </c>
      <c r="L204" s="3">
        <v>12</v>
      </c>
      <c r="M204" s="3">
        <v>93.1</v>
      </c>
      <c r="N204" s="3">
        <v>0</v>
      </c>
      <c r="O204" s="2">
        <v>120</v>
      </c>
      <c r="P204">
        <v>1</v>
      </c>
      <c r="Q204" t="s">
        <v>17</v>
      </c>
      <c r="R204" s="4">
        <v>49.98</v>
      </c>
      <c r="S204" s="4">
        <v>0</v>
      </c>
      <c r="T204" t="s">
        <v>31</v>
      </c>
      <c r="U204" s="4">
        <v>4.84</v>
      </c>
      <c r="V204" s="4">
        <v>5.0999999999999996</v>
      </c>
      <c r="W204" s="4">
        <v>49.98</v>
      </c>
    </row>
    <row r="205" spans="1:23" ht="15" customHeight="1" x14ac:dyDescent="0.25">
      <c r="A205">
        <v>402</v>
      </c>
      <c r="B205" s="1">
        <v>45690.333333333343</v>
      </c>
      <c r="C205">
        <v>8</v>
      </c>
      <c r="D205" t="s">
        <v>55</v>
      </c>
      <c r="E205">
        <v>2</v>
      </c>
      <c r="F205" t="s">
        <v>32</v>
      </c>
      <c r="G205" t="s">
        <v>36</v>
      </c>
      <c r="H205" t="s">
        <v>54</v>
      </c>
      <c r="I205" t="s">
        <v>16</v>
      </c>
      <c r="J205" t="s">
        <v>24</v>
      </c>
      <c r="K205" s="2">
        <v>8600</v>
      </c>
      <c r="L205" s="3">
        <v>6.2</v>
      </c>
      <c r="M205" s="3">
        <v>91.2</v>
      </c>
      <c r="N205" s="3">
        <v>0</v>
      </c>
      <c r="O205" s="2">
        <v>0</v>
      </c>
      <c r="P205">
        <v>0</v>
      </c>
      <c r="Q205" t="s">
        <v>14</v>
      </c>
      <c r="R205" s="4">
        <v>11.92</v>
      </c>
      <c r="S205" s="4">
        <v>0</v>
      </c>
      <c r="T205" t="s">
        <v>31</v>
      </c>
      <c r="U205" s="4">
        <v>1.1499999999999999</v>
      </c>
      <c r="V205" s="4">
        <v>1.3859999999999999</v>
      </c>
      <c r="W205" s="4">
        <v>11.92</v>
      </c>
    </row>
    <row r="206" spans="1:23" ht="15" customHeight="1" x14ac:dyDescent="0.25">
      <c r="A206">
        <v>771</v>
      </c>
      <c r="B206" s="1">
        <v>45690.583333333343</v>
      </c>
      <c r="C206">
        <v>14</v>
      </c>
      <c r="D206" t="s">
        <v>55</v>
      </c>
      <c r="E206">
        <v>2</v>
      </c>
      <c r="F206" t="s">
        <v>32</v>
      </c>
      <c r="G206" t="s">
        <v>36</v>
      </c>
      <c r="H206" t="s">
        <v>50</v>
      </c>
      <c r="I206" t="s">
        <v>22</v>
      </c>
      <c r="J206" t="s">
        <v>12</v>
      </c>
      <c r="K206" s="2">
        <v>21000</v>
      </c>
      <c r="L206" s="3">
        <v>21.2</v>
      </c>
      <c r="M206" s="3">
        <v>60</v>
      </c>
      <c r="N206" s="3">
        <v>410.2</v>
      </c>
      <c r="O206" s="2">
        <v>424</v>
      </c>
      <c r="P206">
        <v>0</v>
      </c>
      <c r="Q206" t="s">
        <v>14</v>
      </c>
      <c r="R206" s="4">
        <v>200.62</v>
      </c>
      <c r="S206" s="4">
        <v>84.64</v>
      </c>
      <c r="T206" t="s">
        <v>31</v>
      </c>
      <c r="U206" s="4">
        <v>10.91</v>
      </c>
      <c r="V206" s="4">
        <v>9.5530000000000008</v>
      </c>
      <c r="W206" s="4">
        <v>115.98</v>
      </c>
    </row>
    <row r="207" spans="1:23" ht="15" customHeight="1" x14ac:dyDescent="0.25">
      <c r="A207">
        <v>1875</v>
      </c>
      <c r="B207" s="1">
        <v>45690.583333333343</v>
      </c>
      <c r="C207">
        <v>14</v>
      </c>
      <c r="D207" t="s">
        <v>55</v>
      </c>
      <c r="E207">
        <v>2</v>
      </c>
      <c r="F207" t="s">
        <v>32</v>
      </c>
      <c r="G207" t="s">
        <v>36</v>
      </c>
      <c r="H207" t="s">
        <v>52</v>
      </c>
      <c r="I207" t="s">
        <v>13</v>
      </c>
      <c r="J207" t="s">
        <v>21</v>
      </c>
      <c r="K207" s="2">
        <v>9800</v>
      </c>
      <c r="L207" s="3">
        <v>12.7</v>
      </c>
      <c r="M207" s="3">
        <v>96.3</v>
      </c>
      <c r="N207" s="3">
        <v>340.8</v>
      </c>
      <c r="O207" s="2">
        <v>108</v>
      </c>
      <c r="P207">
        <v>1</v>
      </c>
      <c r="Q207" t="s">
        <v>17</v>
      </c>
      <c r="R207" s="4">
        <v>30.73</v>
      </c>
      <c r="S207" s="4">
        <v>0</v>
      </c>
      <c r="T207" t="s">
        <v>31</v>
      </c>
      <c r="U207" s="4">
        <v>2.81</v>
      </c>
      <c r="V207" s="4">
        <v>3.1360000000000001</v>
      </c>
      <c r="W207" s="4">
        <v>30.73</v>
      </c>
    </row>
    <row r="208" spans="1:23" ht="15" customHeight="1" x14ac:dyDescent="0.25">
      <c r="A208">
        <v>1507</v>
      </c>
      <c r="B208" s="1">
        <v>45690.583333333343</v>
      </c>
      <c r="C208">
        <v>14</v>
      </c>
      <c r="D208" t="s">
        <v>55</v>
      </c>
      <c r="E208">
        <v>2</v>
      </c>
      <c r="F208" t="s">
        <v>32</v>
      </c>
      <c r="G208" t="s">
        <v>36</v>
      </c>
      <c r="H208" t="s">
        <v>49</v>
      </c>
      <c r="I208" t="s">
        <v>27</v>
      </c>
      <c r="J208" t="s">
        <v>18</v>
      </c>
      <c r="K208" s="2">
        <v>26000</v>
      </c>
      <c r="L208" s="3">
        <v>10.3</v>
      </c>
      <c r="M208" s="3">
        <v>66.400000000000006</v>
      </c>
      <c r="N208" s="3">
        <v>341.7</v>
      </c>
      <c r="O208" s="2">
        <v>70</v>
      </c>
      <c r="P208">
        <v>1</v>
      </c>
      <c r="Q208" t="s">
        <v>17</v>
      </c>
      <c r="R208" s="4">
        <v>93.21</v>
      </c>
      <c r="S208" s="4">
        <v>95.67</v>
      </c>
      <c r="T208" t="s">
        <v>31</v>
      </c>
      <c r="U208" s="4">
        <v>-0.09</v>
      </c>
      <c r="V208" s="4">
        <v>3.585</v>
      </c>
      <c r="W208" s="4">
        <v>0</v>
      </c>
    </row>
    <row r="209" spans="1:23" ht="15" customHeight="1" x14ac:dyDescent="0.25">
      <c r="A209">
        <v>403</v>
      </c>
      <c r="B209" s="1">
        <v>45690.583333333343</v>
      </c>
      <c r="C209">
        <v>14</v>
      </c>
      <c r="D209" t="s">
        <v>55</v>
      </c>
      <c r="E209">
        <v>2</v>
      </c>
      <c r="F209" t="s">
        <v>32</v>
      </c>
      <c r="G209" t="s">
        <v>36</v>
      </c>
      <c r="H209" t="s">
        <v>54</v>
      </c>
      <c r="I209" t="s">
        <v>16</v>
      </c>
      <c r="J209" t="s">
        <v>24</v>
      </c>
      <c r="K209" s="2">
        <v>8600</v>
      </c>
      <c r="L209" s="3">
        <v>12.3</v>
      </c>
      <c r="M209" s="3">
        <v>89.8</v>
      </c>
      <c r="N209" s="3">
        <v>318</v>
      </c>
      <c r="O209" s="2">
        <v>69</v>
      </c>
      <c r="P209">
        <v>0</v>
      </c>
      <c r="Q209" t="s">
        <v>14</v>
      </c>
      <c r="R209" s="4"/>
      <c r="S209" s="4">
        <v>23.71</v>
      </c>
      <c r="T209" t="s">
        <v>31</v>
      </c>
      <c r="U209" s="4">
        <v>-0.48</v>
      </c>
      <c r="V209" s="4"/>
      <c r="W209" s="4"/>
    </row>
    <row r="210" spans="1:23" ht="15" customHeight="1" x14ac:dyDescent="0.25">
      <c r="A210">
        <v>1139</v>
      </c>
      <c r="B210" s="1">
        <v>45690.583333333343</v>
      </c>
      <c r="C210">
        <v>14</v>
      </c>
      <c r="D210" t="s">
        <v>55</v>
      </c>
      <c r="E210">
        <v>2</v>
      </c>
      <c r="F210" t="s">
        <v>32</v>
      </c>
      <c r="G210" t="s">
        <v>36</v>
      </c>
      <c r="H210" t="s">
        <v>51</v>
      </c>
      <c r="I210" t="s">
        <v>25</v>
      </c>
      <c r="J210" t="s">
        <v>15</v>
      </c>
      <c r="K210" s="2">
        <v>17400</v>
      </c>
      <c r="L210" s="3">
        <v>15.7</v>
      </c>
      <c r="M210" s="3">
        <v>74.099999999999994</v>
      </c>
      <c r="N210" s="3">
        <v>350.1</v>
      </c>
      <c r="O210" s="2">
        <v>1504</v>
      </c>
      <c r="P210">
        <v>1</v>
      </c>
      <c r="Q210" t="s">
        <v>23</v>
      </c>
      <c r="R210" s="4">
        <v>213.07</v>
      </c>
      <c r="S210" s="4">
        <v>46.62</v>
      </c>
      <c r="T210" t="s">
        <v>31</v>
      </c>
      <c r="U210" s="4">
        <v>16.23</v>
      </c>
      <c r="V210" s="4">
        <v>12.244999999999999</v>
      </c>
      <c r="W210" s="4">
        <v>166.45</v>
      </c>
    </row>
    <row r="211" spans="1:23" ht="15" customHeight="1" x14ac:dyDescent="0.25">
      <c r="A211">
        <v>35</v>
      </c>
      <c r="B211" s="1">
        <v>45690.583333333343</v>
      </c>
      <c r="C211">
        <v>14</v>
      </c>
      <c r="D211" t="s">
        <v>55</v>
      </c>
      <c r="E211">
        <v>2</v>
      </c>
      <c r="F211" t="s">
        <v>32</v>
      </c>
      <c r="G211" t="s">
        <v>36</v>
      </c>
      <c r="H211" t="s">
        <v>53</v>
      </c>
      <c r="I211" t="s">
        <v>19</v>
      </c>
      <c r="J211" t="s">
        <v>26</v>
      </c>
      <c r="K211" s="2">
        <v>12500</v>
      </c>
      <c r="L211" s="3">
        <v>10.9</v>
      </c>
      <c r="M211" s="3">
        <v>82.1</v>
      </c>
      <c r="N211" s="3">
        <v>283.60000000000002</v>
      </c>
      <c r="O211" s="2"/>
      <c r="P211">
        <v>0</v>
      </c>
      <c r="Q211" t="s">
        <v>14</v>
      </c>
      <c r="R211" s="4">
        <v>18.7</v>
      </c>
      <c r="S211" s="4">
        <v>40.93</v>
      </c>
      <c r="T211" t="s">
        <v>31</v>
      </c>
      <c r="U211" s="4">
        <v>-0.82</v>
      </c>
      <c r="V211" s="4">
        <v>1.496</v>
      </c>
      <c r="W211" s="4">
        <v>0</v>
      </c>
    </row>
    <row r="212" spans="1:23" ht="15" customHeight="1" x14ac:dyDescent="0.25">
      <c r="A212">
        <v>404</v>
      </c>
      <c r="B212" s="1">
        <v>45690.833333333343</v>
      </c>
      <c r="C212">
        <v>20</v>
      </c>
      <c r="D212" t="s">
        <v>55</v>
      </c>
      <c r="E212">
        <v>2</v>
      </c>
      <c r="F212" t="s">
        <v>32</v>
      </c>
      <c r="G212" t="s">
        <v>36</v>
      </c>
      <c r="H212" t="s">
        <v>54</v>
      </c>
      <c r="I212" t="s">
        <v>16</v>
      </c>
      <c r="J212" t="s">
        <v>24</v>
      </c>
      <c r="K212" s="2">
        <v>8600</v>
      </c>
      <c r="L212" s="3">
        <v>8.5</v>
      </c>
      <c r="M212" s="3">
        <v>99</v>
      </c>
      <c r="N212" s="3">
        <v>0</v>
      </c>
      <c r="O212" s="2">
        <v>0</v>
      </c>
      <c r="P212">
        <v>0</v>
      </c>
      <c r="Q212" t="s">
        <v>14</v>
      </c>
      <c r="R212" s="4">
        <v>11.93</v>
      </c>
      <c r="S212" s="4">
        <v>0</v>
      </c>
      <c r="T212" t="s">
        <v>31</v>
      </c>
      <c r="U212" s="4">
        <v>1.1299999999999999</v>
      </c>
      <c r="V212" s="4">
        <v>1.387</v>
      </c>
      <c r="W212" s="4">
        <v>11.93</v>
      </c>
    </row>
    <row r="213" spans="1:23" ht="15" customHeight="1" x14ac:dyDescent="0.25">
      <c r="A213">
        <v>1140</v>
      </c>
      <c r="B213" s="1">
        <v>45690.833333333343</v>
      </c>
      <c r="C213">
        <v>20</v>
      </c>
      <c r="D213" t="s">
        <v>55</v>
      </c>
      <c r="E213">
        <v>2</v>
      </c>
      <c r="F213" t="s">
        <v>32</v>
      </c>
      <c r="G213" t="s">
        <v>36</v>
      </c>
      <c r="H213" t="s">
        <v>51</v>
      </c>
      <c r="I213" t="s">
        <v>25</v>
      </c>
      <c r="J213" t="s">
        <v>15</v>
      </c>
      <c r="K213" s="2">
        <v>17400</v>
      </c>
      <c r="L213" s="3"/>
      <c r="M213" s="3">
        <v>92</v>
      </c>
      <c r="N213" s="3">
        <v>0</v>
      </c>
      <c r="O213" s="2">
        <v>1437</v>
      </c>
      <c r="P213">
        <v>1</v>
      </c>
      <c r="Q213" t="s">
        <v>17</v>
      </c>
      <c r="R213" s="4">
        <v>297.85000000000002</v>
      </c>
      <c r="S213" s="4">
        <v>0</v>
      </c>
      <c r="T213" t="s">
        <v>31</v>
      </c>
      <c r="U213" s="4">
        <v>29.04</v>
      </c>
      <c r="V213" s="4">
        <v>17.117999999999999</v>
      </c>
      <c r="W213" s="4">
        <v>297.85000000000002</v>
      </c>
    </row>
    <row r="214" spans="1:23" ht="15" customHeight="1" x14ac:dyDescent="0.25">
      <c r="A214">
        <v>772</v>
      </c>
      <c r="B214" s="1">
        <v>45690.833333333343</v>
      </c>
      <c r="C214">
        <v>20</v>
      </c>
      <c r="D214" t="s">
        <v>55</v>
      </c>
      <c r="E214">
        <v>2</v>
      </c>
      <c r="F214" t="s">
        <v>32</v>
      </c>
      <c r="G214" t="s">
        <v>36</v>
      </c>
      <c r="H214" t="s">
        <v>50</v>
      </c>
      <c r="I214" t="s">
        <v>22</v>
      </c>
      <c r="J214" t="s">
        <v>12</v>
      </c>
      <c r="K214" s="2">
        <v>21000</v>
      </c>
      <c r="L214" s="3">
        <v>12.3</v>
      </c>
      <c r="M214" s="3">
        <v>66.7</v>
      </c>
      <c r="N214" s="3">
        <v>0</v>
      </c>
      <c r="O214" s="2">
        <v>412</v>
      </c>
      <c r="P214">
        <v>1</v>
      </c>
      <c r="Q214" t="s">
        <v>17</v>
      </c>
      <c r="R214" s="4">
        <v>296.44</v>
      </c>
      <c r="S214" s="4">
        <v>0</v>
      </c>
      <c r="T214" t="s">
        <v>31</v>
      </c>
      <c r="U214" s="4">
        <v>28.19</v>
      </c>
      <c r="V214" s="4">
        <v>14.116</v>
      </c>
      <c r="W214" s="4">
        <v>296.44</v>
      </c>
    </row>
    <row r="215" spans="1:23" ht="15" customHeight="1" x14ac:dyDescent="0.25">
      <c r="A215">
        <v>1508</v>
      </c>
      <c r="B215" s="1">
        <v>45690.833333333343</v>
      </c>
      <c r="C215">
        <v>20</v>
      </c>
      <c r="D215" t="s">
        <v>55</v>
      </c>
      <c r="E215">
        <v>2</v>
      </c>
      <c r="F215" t="s">
        <v>32</v>
      </c>
      <c r="G215" t="s">
        <v>36</v>
      </c>
      <c r="H215" t="s">
        <v>49</v>
      </c>
      <c r="I215" t="s">
        <v>27</v>
      </c>
      <c r="J215" t="s">
        <v>18</v>
      </c>
      <c r="K215" s="2">
        <v>26000</v>
      </c>
      <c r="L215" s="3">
        <v>9.8000000000000007</v>
      </c>
      <c r="M215" s="3">
        <v>71</v>
      </c>
      <c r="N215" s="3">
        <v>0</v>
      </c>
      <c r="O215" s="2">
        <v>50</v>
      </c>
      <c r="P215">
        <v>1</v>
      </c>
      <c r="Q215" t="s">
        <v>17</v>
      </c>
      <c r="R215" s="4">
        <v>128.13</v>
      </c>
      <c r="S215" s="4">
        <v>0</v>
      </c>
      <c r="T215" t="s">
        <v>31</v>
      </c>
      <c r="U215" s="4">
        <v>11.98</v>
      </c>
      <c r="V215" s="4">
        <v>4.9279999999999999</v>
      </c>
      <c r="W215" s="4">
        <v>128.13</v>
      </c>
    </row>
    <row r="216" spans="1:23" ht="15" customHeight="1" x14ac:dyDescent="0.25">
      <c r="A216">
        <v>36</v>
      </c>
      <c r="B216" s="1">
        <v>45690.833333333343</v>
      </c>
      <c r="C216">
        <v>20</v>
      </c>
      <c r="D216" t="s">
        <v>55</v>
      </c>
      <c r="E216">
        <v>2</v>
      </c>
      <c r="F216" t="s">
        <v>32</v>
      </c>
      <c r="G216" t="s">
        <v>36</v>
      </c>
      <c r="H216" t="s">
        <v>53</v>
      </c>
      <c r="I216" t="s">
        <v>19</v>
      </c>
      <c r="J216" t="s">
        <v>26</v>
      </c>
      <c r="K216" s="2">
        <v>12500</v>
      </c>
      <c r="L216" s="3">
        <v>5.7</v>
      </c>
      <c r="M216" s="3">
        <v>72.400000000000006</v>
      </c>
      <c r="N216" s="3">
        <v>0</v>
      </c>
      <c r="O216" s="2">
        <v>0</v>
      </c>
      <c r="P216">
        <v>0</v>
      </c>
      <c r="Q216" t="s">
        <v>14</v>
      </c>
      <c r="R216" s="4">
        <v>23.01</v>
      </c>
      <c r="S216" s="4">
        <v>0</v>
      </c>
      <c r="T216" t="s">
        <v>31</v>
      </c>
      <c r="U216" s="4">
        <v>2.23</v>
      </c>
      <c r="V216" s="4">
        <v>1.841</v>
      </c>
      <c r="W216" s="4">
        <v>23.01</v>
      </c>
    </row>
    <row r="217" spans="1:23" ht="15" customHeight="1" x14ac:dyDescent="0.25">
      <c r="A217">
        <v>1876</v>
      </c>
      <c r="B217" s="1">
        <v>45690.833333333343</v>
      </c>
      <c r="C217">
        <v>20</v>
      </c>
      <c r="D217" t="s">
        <v>55</v>
      </c>
      <c r="E217">
        <v>2</v>
      </c>
      <c r="F217" t="s">
        <v>32</v>
      </c>
      <c r="G217" t="s">
        <v>36</v>
      </c>
      <c r="H217" t="s">
        <v>52</v>
      </c>
      <c r="I217" t="s">
        <v>13</v>
      </c>
      <c r="J217" t="s">
        <v>21</v>
      </c>
      <c r="K217" s="2">
        <v>9800</v>
      </c>
      <c r="L217" s="3">
        <v>10.199999999999999</v>
      </c>
      <c r="M217" s="3">
        <v>88.3</v>
      </c>
      <c r="N217" s="3">
        <v>0</v>
      </c>
      <c r="O217" s="2">
        <v>272</v>
      </c>
      <c r="P217">
        <v>1</v>
      </c>
      <c r="Q217" t="s">
        <v>17</v>
      </c>
      <c r="R217" s="4">
        <v>93.97</v>
      </c>
      <c r="S217" s="4">
        <v>0</v>
      </c>
      <c r="T217" t="s">
        <v>31</v>
      </c>
      <c r="U217" s="4">
        <v>8.75</v>
      </c>
      <c r="V217" s="4">
        <v>9.5890000000000004</v>
      </c>
      <c r="W217" s="4">
        <v>93.97</v>
      </c>
    </row>
    <row r="218" spans="1:23" ht="15" customHeight="1" x14ac:dyDescent="0.25">
      <c r="A218">
        <v>405</v>
      </c>
      <c r="B218" s="1">
        <v>45694</v>
      </c>
      <c r="C218">
        <v>0</v>
      </c>
      <c r="D218" t="s">
        <v>56</v>
      </c>
      <c r="E218">
        <v>2</v>
      </c>
      <c r="F218" t="s">
        <v>32</v>
      </c>
      <c r="G218" t="s">
        <v>33</v>
      </c>
      <c r="H218" t="s">
        <v>54</v>
      </c>
      <c r="I218" t="s">
        <v>16</v>
      </c>
      <c r="J218" t="s">
        <v>24</v>
      </c>
      <c r="K218" s="2">
        <v>8600</v>
      </c>
      <c r="L218" s="3">
        <v>6.6</v>
      </c>
      <c r="M218" s="3">
        <v>99</v>
      </c>
      <c r="N218" s="3">
        <v>0</v>
      </c>
      <c r="O218" s="2">
        <v>87</v>
      </c>
      <c r="P218">
        <v>1</v>
      </c>
      <c r="Q218" t="s">
        <v>17</v>
      </c>
      <c r="R218" s="4">
        <v>28.39</v>
      </c>
      <c r="S218" s="4">
        <v>0</v>
      </c>
      <c r="T218" t="s">
        <v>31</v>
      </c>
      <c r="U218" s="4">
        <v>2.63</v>
      </c>
      <c r="V218" s="4">
        <v>3.3010000000000002</v>
      </c>
      <c r="W218" s="4">
        <v>28.39</v>
      </c>
    </row>
    <row r="219" spans="1:23" ht="15" customHeight="1" x14ac:dyDescent="0.25">
      <c r="A219">
        <v>37</v>
      </c>
      <c r="B219" s="1">
        <v>45694</v>
      </c>
      <c r="C219">
        <v>0</v>
      </c>
      <c r="D219" t="s">
        <v>56</v>
      </c>
      <c r="E219">
        <v>2</v>
      </c>
      <c r="F219" t="s">
        <v>32</v>
      </c>
      <c r="G219" t="s">
        <v>33</v>
      </c>
      <c r="H219" t="s">
        <v>53</v>
      </c>
      <c r="I219" t="s">
        <v>19</v>
      </c>
      <c r="J219" t="s">
        <v>26</v>
      </c>
      <c r="K219" s="2">
        <v>12500</v>
      </c>
      <c r="L219" s="3">
        <v>0.6</v>
      </c>
      <c r="M219" s="3">
        <v>80.7</v>
      </c>
      <c r="N219" s="3">
        <v>0</v>
      </c>
      <c r="O219" s="2">
        <v>3</v>
      </c>
      <c r="P219">
        <v>0</v>
      </c>
      <c r="Q219" t="s">
        <v>14</v>
      </c>
      <c r="R219" s="4">
        <v>24.74</v>
      </c>
      <c r="S219" s="4">
        <v>0</v>
      </c>
      <c r="T219" t="s">
        <v>31</v>
      </c>
      <c r="U219" s="4">
        <v>2.34</v>
      </c>
      <c r="V219" s="4">
        <v>1.9790000000000001</v>
      </c>
      <c r="W219" s="4">
        <v>24.74</v>
      </c>
    </row>
    <row r="220" spans="1:23" ht="15" customHeight="1" x14ac:dyDescent="0.25">
      <c r="A220">
        <v>1509</v>
      </c>
      <c r="B220" s="1">
        <v>45694</v>
      </c>
      <c r="C220">
        <v>0</v>
      </c>
      <c r="D220" t="s">
        <v>56</v>
      </c>
      <c r="E220">
        <v>2</v>
      </c>
      <c r="F220" t="s">
        <v>32</v>
      </c>
      <c r="G220" t="s">
        <v>33</v>
      </c>
      <c r="H220" t="s">
        <v>49</v>
      </c>
      <c r="I220" t="s">
        <v>27</v>
      </c>
      <c r="J220" t="s">
        <v>18</v>
      </c>
      <c r="K220" s="2">
        <v>26000</v>
      </c>
      <c r="L220" s="3">
        <v>2</v>
      </c>
      <c r="M220" s="3">
        <v>77.599999999999994</v>
      </c>
      <c r="N220" s="3">
        <v>0</v>
      </c>
      <c r="O220" s="2">
        <v>43</v>
      </c>
      <c r="P220">
        <v>1</v>
      </c>
      <c r="Q220" t="s">
        <v>17</v>
      </c>
      <c r="R220" s="4">
        <v>129.76</v>
      </c>
      <c r="S220" s="4">
        <v>0</v>
      </c>
      <c r="T220" t="s">
        <v>31</v>
      </c>
      <c r="U220" s="4">
        <v>12.05</v>
      </c>
      <c r="V220" s="4">
        <v>4.9909999999999997</v>
      </c>
      <c r="W220" s="4">
        <v>129.76</v>
      </c>
    </row>
    <row r="221" spans="1:23" ht="15" customHeight="1" x14ac:dyDescent="0.25">
      <c r="A221">
        <v>773</v>
      </c>
      <c r="B221" s="1">
        <v>45694</v>
      </c>
      <c r="C221">
        <v>0</v>
      </c>
      <c r="D221" t="s">
        <v>56</v>
      </c>
      <c r="E221">
        <v>2</v>
      </c>
      <c r="F221" t="s">
        <v>32</v>
      </c>
      <c r="G221" t="s">
        <v>33</v>
      </c>
      <c r="H221" t="s">
        <v>50</v>
      </c>
      <c r="I221" t="s">
        <v>22</v>
      </c>
      <c r="J221" t="s">
        <v>12</v>
      </c>
      <c r="K221" s="2">
        <v>21000</v>
      </c>
      <c r="L221" s="3">
        <v>5.7</v>
      </c>
      <c r="M221" s="3">
        <v>76.7</v>
      </c>
      <c r="N221" s="3">
        <v>0</v>
      </c>
      <c r="O221" s="2">
        <v>195</v>
      </c>
      <c r="P221">
        <v>1</v>
      </c>
      <c r="Q221" t="s">
        <v>17</v>
      </c>
      <c r="R221" s="4">
        <v>198.28</v>
      </c>
      <c r="S221" s="4">
        <v>0</v>
      </c>
      <c r="T221" t="s">
        <v>31</v>
      </c>
      <c r="U221" s="4">
        <v>18.239999999999998</v>
      </c>
      <c r="V221" s="4">
        <v>9.4420000000000002</v>
      </c>
      <c r="W221" s="4">
        <v>198.28</v>
      </c>
    </row>
    <row r="222" spans="1:23" ht="15" customHeight="1" x14ac:dyDescent="0.25">
      <c r="A222">
        <v>1141</v>
      </c>
      <c r="B222" s="1">
        <v>45694</v>
      </c>
      <c r="C222">
        <v>0</v>
      </c>
      <c r="D222" t="s">
        <v>56</v>
      </c>
      <c r="E222">
        <v>2</v>
      </c>
      <c r="F222" t="s">
        <v>32</v>
      </c>
      <c r="G222" t="s">
        <v>33</v>
      </c>
      <c r="H222" t="s">
        <v>51</v>
      </c>
      <c r="I222" t="s">
        <v>25</v>
      </c>
      <c r="J222" t="s">
        <v>15</v>
      </c>
      <c r="K222" s="2">
        <v>17400</v>
      </c>
      <c r="L222" s="3">
        <v>9.6</v>
      </c>
      <c r="M222" s="3">
        <v>81.599999999999994</v>
      </c>
      <c r="N222" s="3">
        <v>0</v>
      </c>
      <c r="O222" s="2">
        <v>112</v>
      </c>
      <c r="P222">
        <v>0</v>
      </c>
      <c r="Q222" t="s">
        <v>14</v>
      </c>
      <c r="R222" s="4">
        <v>55.35</v>
      </c>
      <c r="S222" s="4">
        <v>0</v>
      </c>
      <c r="T222" t="s">
        <v>31</v>
      </c>
      <c r="U222" s="4">
        <v>5.08</v>
      </c>
      <c r="V222" s="4">
        <v>3.181</v>
      </c>
      <c r="W222" s="4">
        <v>55.35</v>
      </c>
    </row>
    <row r="223" spans="1:23" ht="15" customHeight="1" x14ac:dyDescent="0.25">
      <c r="A223">
        <v>1877</v>
      </c>
      <c r="B223" s="1">
        <v>45694</v>
      </c>
      <c r="C223">
        <v>0</v>
      </c>
      <c r="D223" t="s">
        <v>56</v>
      </c>
      <c r="E223">
        <v>2</v>
      </c>
      <c r="F223" t="s">
        <v>32</v>
      </c>
      <c r="G223" t="s">
        <v>33</v>
      </c>
      <c r="H223" t="s">
        <v>52</v>
      </c>
      <c r="I223" t="s">
        <v>13</v>
      </c>
      <c r="J223" t="s">
        <v>21</v>
      </c>
      <c r="K223" s="2">
        <v>9800</v>
      </c>
      <c r="L223" s="3">
        <v>5.8</v>
      </c>
      <c r="M223" s="3">
        <v>84.5</v>
      </c>
      <c r="N223" s="3">
        <v>0</v>
      </c>
      <c r="O223" s="2">
        <v>332</v>
      </c>
      <c r="P223">
        <v>1</v>
      </c>
      <c r="Q223" t="s">
        <v>17</v>
      </c>
      <c r="R223" s="4">
        <v>98.95</v>
      </c>
      <c r="S223" s="4">
        <v>0</v>
      </c>
      <c r="T223" t="s">
        <v>31</v>
      </c>
      <c r="U223" s="4">
        <v>9.1199999999999992</v>
      </c>
      <c r="V223" s="4">
        <v>10.097</v>
      </c>
      <c r="W223" s="4">
        <v>98.95</v>
      </c>
    </row>
    <row r="224" spans="1:23" ht="15" customHeight="1" x14ac:dyDescent="0.25">
      <c r="A224">
        <v>38</v>
      </c>
      <c r="B224" s="1">
        <v>45694.333333333343</v>
      </c>
      <c r="C224">
        <v>8</v>
      </c>
      <c r="D224" t="s">
        <v>56</v>
      </c>
      <c r="E224">
        <v>2</v>
      </c>
      <c r="F224" t="s">
        <v>32</v>
      </c>
      <c r="G224" t="s">
        <v>33</v>
      </c>
      <c r="H224" t="s">
        <v>53</v>
      </c>
      <c r="I224" t="s">
        <v>19</v>
      </c>
      <c r="J224" t="s">
        <v>26</v>
      </c>
      <c r="K224" s="2">
        <v>12500</v>
      </c>
      <c r="L224" s="3">
        <v>4.3</v>
      </c>
      <c r="M224" s="3">
        <v>62.5</v>
      </c>
      <c r="N224" s="3">
        <v>28.9</v>
      </c>
      <c r="O224" s="2">
        <v>337</v>
      </c>
      <c r="P224">
        <v>1</v>
      </c>
      <c r="Q224" t="s">
        <v>17</v>
      </c>
      <c r="R224" s="4">
        <v>111.51</v>
      </c>
      <c r="S224" s="4">
        <v>4.17</v>
      </c>
      <c r="T224" t="s">
        <v>34</v>
      </c>
      <c r="U224" s="4">
        <v>16.239999999999998</v>
      </c>
      <c r="V224" s="4">
        <v>8.9209999999999994</v>
      </c>
      <c r="W224" s="4">
        <v>107.34</v>
      </c>
    </row>
    <row r="225" spans="1:23" ht="15" customHeight="1" x14ac:dyDescent="0.25">
      <c r="A225">
        <v>406</v>
      </c>
      <c r="B225" s="1">
        <v>45694.333333333343</v>
      </c>
      <c r="C225">
        <v>8</v>
      </c>
      <c r="D225" t="s">
        <v>56</v>
      </c>
      <c r="E225">
        <v>2</v>
      </c>
      <c r="F225" t="s">
        <v>32</v>
      </c>
      <c r="G225" t="s">
        <v>33</v>
      </c>
      <c r="H225" t="s">
        <v>54</v>
      </c>
      <c r="I225" t="s">
        <v>16</v>
      </c>
      <c r="J225" t="s">
        <v>24</v>
      </c>
      <c r="K225" s="2">
        <v>8600</v>
      </c>
      <c r="L225" s="3">
        <v>7</v>
      </c>
      <c r="M225" s="3">
        <v>99</v>
      </c>
      <c r="N225" s="3">
        <v>29.6</v>
      </c>
      <c r="O225" s="2">
        <v>708</v>
      </c>
      <c r="P225">
        <v>1</v>
      </c>
      <c r="Q225" t="s">
        <v>17</v>
      </c>
      <c r="R225" s="4">
        <v>121.56</v>
      </c>
      <c r="S225" s="4">
        <v>2.4900000000000002</v>
      </c>
      <c r="T225" t="s">
        <v>34</v>
      </c>
      <c r="U225" s="4">
        <v>17.78</v>
      </c>
      <c r="V225" s="4">
        <v>14.135</v>
      </c>
      <c r="W225" s="4">
        <v>119.07</v>
      </c>
    </row>
    <row r="226" spans="1:23" ht="15" customHeight="1" x14ac:dyDescent="0.25">
      <c r="A226">
        <v>1878</v>
      </c>
      <c r="B226" s="1">
        <v>45694.333333333343</v>
      </c>
      <c r="C226">
        <v>8</v>
      </c>
      <c r="D226" t="s">
        <v>56</v>
      </c>
      <c r="E226">
        <v>2</v>
      </c>
      <c r="F226" t="s">
        <v>32</v>
      </c>
      <c r="G226" t="s">
        <v>33</v>
      </c>
      <c r="H226" t="s">
        <v>52</v>
      </c>
      <c r="I226" t="s">
        <v>13</v>
      </c>
      <c r="J226" t="s">
        <v>21</v>
      </c>
      <c r="K226" s="2">
        <v>9800</v>
      </c>
      <c r="L226" s="3">
        <v>11</v>
      </c>
      <c r="M226" s="3">
        <v>84.2</v>
      </c>
      <c r="N226" s="3">
        <v>72.599999999999994</v>
      </c>
      <c r="O226" s="2">
        <v>74</v>
      </c>
      <c r="P226">
        <v>1</v>
      </c>
      <c r="Q226" t="s">
        <v>17</v>
      </c>
      <c r="R226" s="4">
        <v>35.72</v>
      </c>
      <c r="S226" s="4">
        <v>0</v>
      </c>
      <c r="T226" t="s">
        <v>34</v>
      </c>
      <c r="U226" s="4">
        <v>5.12</v>
      </c>
      <c r="V226" s="4">
        <v>3.645</v>
      </c>
      <c r="W226" s="4">
        <v>35.72</v>
      </c>
    </row>
    <row r="227" spans="1:23" ht="15" customHeight="1" x14ac:dyDescent="0.25">
      <c r="A227">
        <v>774</v>
      </c>
      <c r="B227" s="1">
        <v>45694.333333333343</v>
      </c>
      <c r="C227">
        <v>8</v>
      </c>
      <c r="D227" t="s">
        <v>56</v>
      </c>
      <c r="E227">
        <v>2</v>
      </c>
      <c r="F227" t="s">
        <v>32</v>
      </c>
      <c r="G227" t="s">
        <v>33</v>
      </c>
      <c r="H227" t="s">
        <v>50</v>
      </c>
      <c r="I227" t="s">
        <v>22</v>
      </c>
      <c r="J227" t="s">
        <v>12</v>
      </c>
      <c r="K227" s="2">
        <v>21000</v>
      </c>
      <c r="L227" s="3">
        <v>7</v>
      </c>
      <c r="M227" s="3">
        <v>81.900000000000006</v>
      </c>
      <c r="N227" s="3">
        <v>0</v>
      </c>
      <c r="O227" s="2">
        <v>373</v>
      </c>
      <c r="P227">
        <v>1</v>
      </c>
      <c r="Q227" t="s">
        <v>17</v>
      </c>
      <c r="R227" s="4">
        <v>283.05</v>
      </c>
      <c r="S227" s="4">
        <v>0</v>
      </c>
      <c r="T227" t="s">
        <v>34</v>
      </c>
      <c r="U227" s="4">
        <v>41.44</v>
      </c>
      <c r="V227" s="4">
        <v>13.478999999999999</v>
      </c>
      <c r="W227" s="4">
        <v>283.05</v>
      </c>
    </row>
    <row r="228" spans="1:23" ht="15" customHeight="1" x14ac:dyDescent="0.25">
      <c r="A228">
        <v>1510</v>
      </c>
      <c r="B228" s="1">
        <v>45694.333333333343</v>
      </c>
      <c r="C228">
        <v>8</v>
      </c>
      <c r="D228" t="s">
        <v>56</v>
      </c>
      <c r="E228">
        <v>2</v>
      </c>
      <c r="F228" t="s">
        <v>32</v>
      </c>
      <c r="G228" t="s">
        <v>33</v>
      </c>
      <c r="H228" t="s">
        <v>49</v>
      </c>
      <c r="I228" t="s">
        <v>27</v>
      </c>
      <c r="J228" t="s">
        <v>18</v>
      </c>
      <c r="K228" s="2">
        <v>26000</v>
      </c>
      <c r="L228" s="3">
        <v>8.5</v>
      </c>
      <c r="M228" s="3">
        <v>64.8</v>
      </c>
      <c r="N228" s="3">
        <v>77.599999999999994</v>
      </c>
      <c r="O228" s="2">
        <v>180</v>
      </c>
      <c r="P228">
        <v>1</v>
      </c>
      <c r="Q228" t="s">
        <v>17</v>
      </c>
      <c r="R228" s="4">
        <v>269.83999999999997</v>
      </c>
      <c r="S228" s="4">
        <v>21.67</v>
      </c>
      <c r="T228" t="s">
        <v>34</v>
      </c>
      <c r="U228" s="4">
        <v>37.42</v>
      </c>
      <c r="V228" s="4">
        <v>10.378</v>
      </c>
      <c r="W228" s="4">
        <v>248.17</v>
      </c>
    </row>
    <row r="229" spans="1:23" ht="15" customHeight="1" x14ac:dyDescent="0.25">
      <c r="A229">
        <v>1142</v>
      </c>
      <c r="B229" s="1">
        <v>45694.333333333343</v>
      </c>
      <c r="C229">
        <v>8</v>
      </c>
      <c r="D229" t="s">
        <v>56</v>
      </c>
      <c r="E229">
        <v>2</v>
      </c>
      <c r="F229" t="s">
        <v>32</v>
      </c>
      <c r="G229" t="s">
        <v>33</v>
      </c>
      <c r="H229" t="s">
        <v>51</v>
      </c>
      <c r="I229" t="s">
        <v>25</v>
      </c>
      <c r="J229" t="s">
        <v>15</v>
      </c>
      <c r="K229" s="2">
        <v>17400</v>
      </c>
      <c r="L229" s="3">
        <v>10.6</v>
      </c>
      <c r="M229" s="3">
        <v>73.599999999999994</v>
      </c>
      <c r="N229" s="3">
        <v>21.5</v>
      </c>
      <c r="O229" s="2">
        <v>20</v>
      </c>
      <c r="P229">
        <v>0</v>
      </c>
      <c r="Q229" t="s">
        <v>14</v>
      </c>
      <c r="R229" s="4">
        <v>49.32</v>
      </c>
      <c r="S229" s="4">
        <v>2.6</v>
      </c>
      <c r="T229" t="s">
        <v>34</v>
      </c>
      <c r="U229" s="4">
        <v>7.11</v>
      </c>
      <c r="V229" s="4">
        <v>2.8340000000000001</v>
      </c>
      <c r="W229" s="4">
        <v>46.72</v>
      </c>
    </row>
    <row r="230" spans="1:23" ht="15" customHeight="1" x14ac:dyDescent="0.25">
      <c r="A230">
        <v>1511</v>
      </c>
      <c r="B230" s="1">
        <v>45694.583333333343</v>
      </c>
      <c r="C230">
        <v>14</v>
      </c>
      <c r="D230" t="s">
        <v>56</v>
      </c>
      <c r="E230">
        <v>2</v>
      </c>
      <c r="F230" t="s">
        <v>32</v>
      </c>
      <c r="G230" t="s">
        <v>33</v>
      </c>
      <c r="H230" t="s">
        <v>49</v>
      </c>
      <c r="I230" t="s">
        <v>27</v>
      </c>
      <c r="J230" t="s">
        <v>18</v>
      </c>
      <c r="K230" s="2">
        <v>26000</v>
      </c>
      <c r="L230" s="3">
        <v>10.3</v>
      </c>
      <c r="M230" s="3">
        <v>76.8</v>
      </c>
      <c r="N230" s="3">
        <v>403.5</v>
      </c>
      <c r="O230" s="2">
        <v>159</v>
      </c>
      <c r="P230">
        <v>1</v>
      </c>
      <c r="Q230" t="s">
        <v>17</v>
      </c>
      <c r="R230" s="4">
        <v>159.6</v>
      </c>
      <c r="S230" s="4">
        <v>114.66</v>
      </c>
      <c r="T230" t="s">
        <v>34</v>
      </c>
      <c r="U230" s="4">
        <v>6.71</v>
      </c>
      <c r="V230" s="4">
        <v>6.1379999999999999</v>
      </c>
      <c r="W230" s="4">
        <v>44.94</v>
      </c>
    </row>
    <row r="231" spans="1:23" ht="15" customHeight="1" x14ac:dyDescent="0.25">
      <c r="A231">
        <v>39</v>
      </c>
      <c r="B231" s="1">
        <v>45694.583333333343</v>
      </c>
      <c r="C231">
        <v>14</v>
      </c>
      <c r="D231" t="s">
        <v>56</v>
      </c>
      <c r="E231">
        <v>2</v>
      </c>
      <c r="F231" t="s">
        <v>32</v>
      </c>
      <c r="G231" t="s">
        <v>33</v>
      </c>
      <c r="H231" t="s">
        <v>53</v>
      </c>
      <c r="I231" t="s">
        <v>19</v>
      </c>
      <c r="J231" t="s">
        <v>26</v>
      </c>
      <c r="K231" s="2">
        <v>12500</v>
      </c>
      <c r="L231" s="3">
        <v>11.6</v>
      </c>
      <c r="M231" s="3">
        <v>64.5</v>
      </c>
      <c r="N231" s="3">
        <v>415.6</v>
      </c>
      <c r="O231" s="2">
        <v>602</v>
      </c>
      <c r="P231">
        <v>1</v>
      </c>
      <c r="Q231" t="s">
        <v>17</v>
      </c>
      <c r="R231" s="4">
        <v>108.58</v>
      </c>
      <c r="S231" s="4">
        <v>66</v>
      </c>
      <c r="T231" t="s">
        <v>34</v>
      </c>
      <c r="U231" s="4">
        <v>6.43</v>
      </c>
      <c r="V231" s="4">
        <v>8.6859999999999999</v>
      </c>
      <c r="W231" s="4">
        <v>42.58</v>
      </c>
    </row>
    <row r="232" spans="1:23" ht="15" customHeight="1" x14ac:dyDescent="0.25">
      <c r="A232">
        <v>775</v>
      </c>
      <c r="B232" s="1">
        <v>45694.583333333343</v>
      </c>
      <c r="C232">
        <v>14</v>
      </c>
      <c r="D232" t="s">
        <v>56</v>
      </c>
      <c r="E232">
        <v>2</v>
      </c>
      <c r="F232" t="s">
        <v>32</v>
      </c>
      <c r="G232" t="s">
        <v>33</v>
      </c>
      <c r="H232" t="s">
        <v>50</v>
      </c>
      <c r="I232" t="s">
        <v>22</v>
      </c>
      <c r="J232" t="s">
        <v>12</v>
      </c>
      <c r="K232" s="2">
        <v>21000</v>
      </c>
      <c r="L232" s="3">
        <v>18.2</v>
      </c>
      <c r="M232" s="3">
        <v>53</v>
      </c>
      <c r="N232" s="3">
        <v>565.5</v>
      </c>
      <c r="O232" s="2">
        <v>407</v>
      </c>
      <c r="P232">
        <v>0</v>
      </c>
      <c r="Q232" t="s">
        <v>14</v>
      </c>
      <c r="R232" s="4">
        <v>181.73</v>
      </c>
      <c r="S232" s="4">
        <v>111.96</v>
      </c>
      <c r="T232" t="s">
        <v>34</v>
      </c>
      <c r="U232" s="4">
        <v>10.69</v>
      </c>
      <c r="V232" s="4">
        <v>8.6539999999999999</v>
      </c>
      <c r="W232" s="4">
        <v>69.77</v>
      </c>
    </row>
    <row r="233" spans="1:23" ht="15" customHeight="1" x14ac:dyDescent="0.25">
      <c r="A233">
        <v>1143</v>
      </c>
      <c r="B233" s="1">
        <v>45694.583333333343</v>
      </c>
      <c r="C233">
        <v>14</v>
      </c>
      <c r="D233" t="s">
        <v>56</v>
      </c>
      <c r="E233">
        <v>2</v>
      </c>
      <c r="F233" t="s">
        <v>32</v>
      </c>
      <c r="G233" t="s">
        <v>33</v>
      </c>
      <c r="H233" t="s">
        <v>51</v>
      </c>
      <c r="I233" t="s">
        <v>25</v>
      </c>
      <c r="J233" t="s">
        <v>15</v>
      </c>
      <c r="K233" s="2">
        <v>17400</v>
      </c>
      <c r="L233" s="3">
        <v>15.9</v>
      </c>
      <c r="M233" s="3">
        <v>79</v>
      </c>
      <c r="N233" s="3">
        <v>366.4</v>
      </c>
      <c r="O233" s="2">
        <v>1501</v>
      </c>
      <c r="P233">
        <v>1</v>
      </c>
      <c r="Q233" t="s">
        <v>23</v>
      </c>
      <c r="R233" s="4">
        <v>211.85</v>
      </c>
      <c r="S233" s="4">
        <v>44.43</v>
      </c>
      <c r="T233" t="s">
        <v>34</v>
      </c>
      <c r="U233" s="4">
        <v>25.11</v>
      </c>
      <c r="V233" s="4">
        <v>12.175000000000001</v>
      </c>
      <c r="W233" s="4">
        <v>167.42</v>
      </c>
    </row>
    <row r="234" spans="1:23" ht="15" customHeight="1" x14ac:dyDescent="0.25">
      <c r="A234">
        <v>1879</v>
      </c>
      <c r="B234" s="1">
        <v>45694.583333333343</v>
      </c>
      <c r="C234">
        <v>14</v>
      </c>
      <c r="D234" t="s">
        <v>56</v>
      </c>
      <c r="E234">
        <v>2</v>
      </c>
      <c r="F234" t="s">
        <v>32</v>
      </c>
      <c r="G234" t="s">
        <v>33</v>
      </c>
      <c r="H234" t="s">
        <v>52</v>
      </c>
      <c r="I234" t="s">
        <v>13</v>
      </c>
      <c r="J234" t="s">
        <v>21</v>
      </c>
      <c r="K234" s="2">
        <v>9800</v>
      </c>
      <c r="L234" s="3">
        <v>14.2</v>
      </c>
      <c r="M234" s="3">
        <v>87.8</v>
      </c>
      <c r="N234" s="3">
        <v>424.4</v>
      </c>
      <c r="O234" s="2">
        <v>80</v>
      </c>
      <c r="P234">
        <v>1</v>
      </c>
      <c r="Q234" t="s">
        <v>17</v>
      </c>
      <c r="R234" s="4">
        <v>20.61</v>
      </c>
      <c r="S234" s="4">
        <v>0</v>
      </c>
      <c r="T234" t="s">
        <v>34</v>
      </c>
      <c r="U234" s="4">
        <v>3.2</v>
      </c>
      <c r="V234" s="4">
        <v>2.1030000000000002</v>
      </c>
      <c r="W234" s="4">
        <v>20.61</v>
      </c>
    </row>
    <row r="235" spans="1:23" ht="15" customHeight="1" x14ac:dyDescent="0.25">
      <c r="A235">
        <v>407</v>
      </c>
      <c r="B235" s="1">
        <v>45694.583333333343</v>
      </c>
      <c r="C235">
        <v>14</v>
      </c>
      <c r="D235" t="s">
        <v>56</v>
      </c>
      <c r="E235">
        <v>2</v>
      </c>
      <c r="F235" t="s">
        <v>32</v>
      </c>
      <c r="G235" t="s">
        <v>33</v>
      </c>
      <c r="H235" t="s">
        <v>54</v>
      </c>
      <c r="I235" t="s">
        <v>16</v>
      </c>
      <c r="J235" t="s">
        <v>24</v>
      </c>
      <c r="K235" s="2">
        <v>8600</v>
      </c>
      <c r="L235" s="3">
        <v>9.4</v>
      </c>
      <c r="M235" s="3">
        <v>93.8</v>
      </c>
      <c r="N235" s="3">
        <v>310.39999999999998</v>
      </c>
      <c r="O235" s="2">
        <v>800</v>
      </c>
      <c r="P235">
        <v>1</v>
      </c>
      <c r="Q235" t="s">
        <v>17</v>
      </c>
      <c r="R235" s="4"/>
      <c r="S235" s="4">
        <v>23.39</v>
      </c>
      <c r="T235" t="s">
        <v>34</v>
      </c>
      <c r="U235" s="4">
        <v>8.7799999999999994</v>
      </c>
      <c r="V235" s="4"/>
      <c r="W235" s="4"/>
    </row>
    <row r="236" spans="1:23" ht="15" customHeight="1" x14ac:dyDescent="0.25">
      <c r="A236">
        <v>1512</v>
      </c>
      <c r="B236" s="1">
        <v>45694.833333333343</v>
      </c>
      <c r="C236">
        <v>20</v>
      </c>
      <c r="D236" t="s">
        <v>56</v>
      </c>
      <c r="E236">
        <v>2</v>
      </c>
      <c r="F236" t="s">
        <v>32</v>
      </c>
      <c r="G236" t="s">
        <v>33</v>
      </c>
      <c r="H236" t="s">
        <v>49</v>
      </c>
      <c r="I236" t="s">
        <v>27</v>
      </c>
      <c r="J236" t="s">
        <v>18</v>
      </c>
      <c r="K236" s="2">
        <v>26000</v>
      </c>
      <c r="L236" s="3">
        <v>8.1999999999999993</v>
      </c>
      <c r="M236" s="3">
        <v>65.2</v>
      </c>
      <c r="N236" s="3">
        <v>0</v>
      </c>
      <c r="O236" s="2">
        <v>166</v>
      </c>
      <c r="P236">
        <v>1</v>
      </c>
      <c r="Q236" t="s">
        <v>17</v>
      </c>
      <c r="R236" s="4">
        <v>249.28</v>
      </c>
      <c r="S236" s="4">
        <v>0</v>
      </c>
      <c r="T236" t="s">
        <v>37</v>
      </c>
      <c r="U236" s="4">
        <v>58.03</v>
      </c>
      <c r="V236" s="4">
        <v>9.5879999999999992</v>
      </c>
      <c r="W236" s="4">
        <v>249.28</v>
      </c>
    </row>
    <row r="237" spans="1:23" ht="15" customHeight="1" x14ac:dyDescent="0.25">
      <c r="A237">
        <v>408</v>
      </c>
      <c r="B237" s="1">
        <v>45694.833333333343</v>
      </c>
      <c r="C237">
        <v>20</v>
      </c>
      <c r="D237" t="s">
        <v>56</v>
      </c>
      <c r="E237">
        <v>2</v>
      </c>
      <c r="F237" t="s">
        <v>32</v>
      </c>
      <c r="G237" t="s">
        <v>33</v>
      </c>
      <c r="H237" t="s">
        <v>54</v>
      </c>
      <c r="I237" t="s">
        <v>16</v>
      </c>
      <c r="J237" t="s">
        <v>24</v>
      </c>
      <c r="K237" s="2">
        <v>8600</v>
      </c>
      <c r="L237" s="3">
        <v>7.5</v>
      </c>
      <c r="M237" s="3">
        <v>99</v>
      </c>
      <c r="N237" s="3">
        <v>0</v>
      </c>
      <c r="O237" s="2">
        <v>0</v>
      </c>
      <c r="P237">
        <v>1</v>
      </c>
      <c r="Q237" t="s">
        <v>17</v>
      </c>
      <c r="R237" s="4">
        <v>23.26</v>
      </c>
      <c r="S237" s="4">
        <v>0</v>
      </c>
      <c r="T237" t="s">
        <v>37</v>
      </c>
      <c r="U237" s="4">
        <v>5.45</v>
      </c>
      <c r="V237" s="4">
        <v>2.7050000000000001</v>
      </c>
      <c r="W237" s="4">
        <v>23.26</v>
      </c>
    </row>
    <row r="238" spans="1:23" ht="15" customHeight="1" x14ac:dyDescent="0.25">
      <c r="A238">
        <v>40</v>
      </c>
      <c r="B238" s="1">
        <v>45694.833333333343</v>
      </c>
      <c r="C238">
        <v>20</v>
      </c>
      <c r="D238" t="s">
        <v>56</v>
      </c>
      <c r="E238">
        <v>2</v>
      </c>
      <c r="F238" t="s">
        <v>32</v>
      </c>
      <c r="G238" t="s">
        <v>33</v>
      </c>
      <c r="H238" t="s">
        <v>53</v>
      </c>
      <c r="I238" t="s">
        <v>19</v>
      </c>
      <c r="J238" t="s">
        <v>26</v>
      </c>
      <c r="K238" s="2">
        <v>12500</v>
      </c>
      <c r="L238" s="3">
        <v>7.8</v>
      </c>
      <c r="M238" s="3">
        <v>63.2</v>
      </c>
      <c r="N238" s="3">
        <v>0</v>
      </c>
      <c r="O238" s="2">
        <v>71</v>
      </c>
      <c r="P238">
        <v>1</v>
      </c>
      <c r="Q238" t="s">
        <v>17</v>
      </c>
      <c r="R238" s="4">
        <v>48.73</v>
      </c>
      <c r="S238" s="4">
        <v>0</v>
      </c>
      <c r="T238" t="s">
        <v>37</v>
      </c>
      <c r="U238" s="4">
        <v>11.15</v>
      </c>
      <c r="V238" s="4">
        <v>3.8980000000000001</v>
      </c>
      <c r="W238" s="4">
        <v>48.73</v>
      </c>
    </row>
    <row r="239" spans="1:23" ht="15" customHeight="1" x14ac:dyDescent="0.25">
      <c r="A239">
        <v>1880</v>
      </c>
      <c r="B239" s="1">
        <v>45694.833333333343</v>
      </c>
      <c r="C239">
        <v>20</v>
      </c>
      <c r="D239" t="s">
        <v>56</v>
      </c>
      <c r="E239">
        <v>2</v>
      </c>
      <c r="F239" t="s">
        <v>32</v>
      </c>
      <c r="G239" t="s">
        <v>33</v>
      </c>
      <c r="H239" t="s">
        <v>52</v>
      </c>
      <c r="I239" t="s">
        <v>13</v>
      </c>
      <c r="J239" t="s">
        <v>21</v>
      </c>
      <c r="K239" s="2">
        <v>9800</v>
      </c>
      <c r="L239" s="3">
        <v>8.5</v>
      </c>
      <c r="M239" s="3">
        <v>88.6</v>
      </c>
      <c r="N239" s="3">
        <v>0</v>
      </c>
      <c r="O239" s="2">
        <v>307</v>
      </c>
      <c r="P239">
        <v>1</v>
      </c>
      <c r="Q239" t="s">
        <v>17</v>
      </c>
      <c r="R239" s="4">
        <v>91.48</v>
      </c>
      <c r="S239" s="4">
        <v>0</v>
      </c>
      <c r="T239" t="s">
        <v>37</v>
      </c>
      <c r="U239" s="4">
        <v>21.74</v>
      </c>
      <c r="V239" s="4">
        <v>9.3350000000000009</v>
      </c>
      <c r="W239" s="4">
        <v>91.48</v>
      </c>
    </row>
    <row r="240" spans="1:23" ht="15" customHeight="1" x14ac:dyDescent="0.25">
      <c r="A240">
        <v>1144</v>
      </c>
      <c r="B240" s="1">
        <v>45694.833333333343</v>
      </c>
      <c r="C240">
        <v>20</v>
      </c>
      <c r="D240" t="s">
        <v>56</v>
      </c>
      <c r="E240">
        <v>2</v>
      </c>
      <c r="F240" t="s">
        <v>32</v>
      </c>
      <c r="G240" t="s">
        <v>33</v>
      </c>
      <c r="H240" t="s">
        <v>51</v>
      </c>
      <c r="I240" t="s">
        <v>25</v>
      </c>
      <c r="J240" t="s">
        <v>15</v>
      </c>
      <c r="K240" s="2">
        <v>17400</v>
      </c>
      <c r="L240" s="3"/>
      <c r="M240" s="3">
        <v>83.5</v>
      </c>
      <c r="N240" s="3">
        <v>0</v>
      </c>
      <c r="O240" s="2">
        <v>1260</v>
      </c>
      <c r="P240">
        <v>1</v>
      </c>
      <c r="Q240" t="s">
        <v>17</v>
      </c>
      <c r="R240" s="4">
        <v>249.34</v>
      </c>
      <c r="S240" s="4">
        <v>0</v>
      </c>
      <c r="T240" t="s">
        <v>37</v>
      </c>
      <c r="U240" s="4">
        <v>57.42</v>
      </c>
      <c r="V240" s="4">
        <v>14.33</v>
      </c>
      <c r="W240" s="4">
        <v>249.34</v>
      </c>
    </row>
    <row r="241" spans="1:23" ht="15" customHeight="1" x14ac:dyDescent="0.25">
      <c r="A241">
        <v>776</v>
      </c>
      <c r="B241" s="1">
        <v>45694.833333333343</v>
      </c>
      <c r="C241">
        <v>20</v>
      </c>
      <c r="D241" t="s">
        <v>56</v>
      </c>
      <c r="E241">
        <v>2</v>
      </c>
      <c r="F241" t="s">
        <v>32</v>
      </c>
      <c r="G241" t="s">
        <v>33</v>
      </c>
      <c r="H241" t="s">
        <v>50</v>
      </c>
      <c r="I241" t="s">
        <v>22</v>
      </c>
      <c r="J241" t="s">
        <v>12</v>
      </c>
      <c r="K241" s="2">
        <v>21000</v>
      </c>
      <c r="L241" s="3">
        <v>10</v>
      </c>
      <c r="M241" s="3">
        <v>81.2</v>
      </c>
      <c r="N241" s="3">
        <v>0</v>
      </c>
      <c r="O241" s="2">
        <v>395</v>
      </c>
      <c r="P241">
        <v>1</v>
      </c>
      <c r="Q241" t="s">
        <v>17</v>
      </c>
      <c r="R241" s="4">
        <v>298.49</v>
      </c>
      <c r="S241" s="4">
        <v>0</v>
      </c>
      <c r="T241" t="s">
        <v>37</v>
      </c>
      <c r="U241" s="4">
        <v>71.34</v>
      </c>
      <c r="V241" s="4">
        <v>14.214</v>
      </c>
      <c r="W241" s="4">
        <v>298.49</v>
      </c>
    </row>
    <row r="242" spans="1:23" ht="15" customHeight="1" x14ac:dyDescent="0.25">
      <c r="A242">
        <v>1881</v>
      </c>
      <c r="B242" s="1">
        <v>45698</v>
      </c>
      <c r="C242">
        <v>0</v>
      </c>
      <c r="D242" t="s">
        <v>57</v>
      </c>
      <c r="E242">
        <v>2</v>
      </c>
      <c r="F242" t="s">
        <v>32</v>
      </c>
      <c r="G242" t="s">
        <v>33</v>
      </c>
      <c r="H242" t="s">
        <v>52</v>
      </c>
      <c r="I242" t="s">
        <v>13</v>
      </c>
      <c r="J242" t="s">
        <v>21</v>
      </c>
      <c r="K242" s="2">
        <v>9800</v>
      </c>
      <c r="L242" s="3">
        <v>4.4000000000000004</v>
      </c>
      <c r="M242" s="3">
        <v>87</v>
      </c>
      <c r="N242" s="3">
        <v>0</v>
      </c>
      <c r="O242" s="2">
        <v>291</v>
      </c>
      <c r="P242">
        <v>1</v>
      </c>
      <c r="Q242" t="s">
        <v>17</v>
      </c>
      <c r="R242" s="4">
        <v>103.7</v>
      </c>
      <c r="S242" s="4">
        <v>0</v>
      </c>
      <c r="T242" t="s">
        <v>31</v>
      </c>
      <c r="U242" s="4">
        <v>10.08</v>
      </c>
      <c r="V242" s="4">
        <v>10.582000000000001</v>
      </c>
      <c r="W242" s="4">
        <v>103.7</v>
      </c>
    </row>
    <row r="243" spans="1:23" ht="15" customHeight="1" x14ac:dyDescent="0.25">
      <c r="A243">
        <v>777</v>
      </c>
      <c r="B243" s="1">
        <v>45698</v>
      </c>
      <c r="C243">
        <v>0</v>
      </c>
      <c r="D243" t="s">
        <v>57</v>
      </c>
      <c r="E243">
        <v>2</v>
      </c>
      <c r="F243" t="s">
        <v>32</v>
      </c>
      <c r="G243" t="s">
        <v>33</v>
      </c>
      <c r="H243" t="s">
        <v>50</v>
      </c>
      <c r="I243" t="s">
        <v>22</v>
      </c>
      <c r="J243" t="s">
        <v>12</v>
      </c>
      <c r="K243" s="2">
        <v>21000</v>
      </c>
      <c r="L243" s="3">
        <v>5.8</v>
      </c>
      <c r="M243" s="3">
        <v>78.099999999999994</v>
      </c>
      <c r="N243" s="3">
        <v>0</v>
      </c>
      <c r="O243" s="2">
        <v>178</v>
      </c>
      <c r="P243">
        <v>1</v>
      </c>
      <c r="Q243" t="s">
        <v>17</v>
      </c>
      <c r="R243" s="4">
        <v>175.55</v>
      </c>
      <c r="S243" s="4">
        <v>0</v>
      </c>
      <c r="T243" t="s">
        <v>31</v>
      </c>
      <c r="U243" s="4">
        <v>16.62</v>
      </c>
      <c r="V243" s="4">
        <v>8.36</v>
      </c>
      <c r="W243" s="4">
        <v>175.55</v>
      </c>
    </row>
    <row r="244" spans="1:23" ht="15" customHeight="1" x14ac:dyDescent="0.25">
      <c r="A244">
        <v>409</v>
      </c>
      <c r="B244" s="1">
        <v>45698</v>
      </c>
      <c r="C244">
        <v>0</v>
      </c>
      <c r="D244" t="s">
        <v>57</v>
      </c>
      <c r="E244">
        <v>2</v>
      </c>
      <c r="F244" t="s">
        <v>32</v>
      </c>
      <c r="G244" t="s">
        <v>33</v>
      </c>
      <c r="H244" t="s">
        <v>54</v>
      </c>
      <c r="I244" t="s">
        <v>16</v>
      </c>
      <c r="J244" t="s">
        <v>24</v>
      </c>
      <c r="K244" s="2">
        <v>8600</v>
      </c>
      <c r="L244" s="3">
        <v>5</v>
      </c>
      <c r="M244" s="3">
        <v>99</v>
      </c>
      <c r="N244" s="3">
        <v>0</v>
      </c>
      <c r="O244" s="2">
        <v>72</v>
      </c>
      <c r="P244">
        <v>1</v>
      </c>
      <c r="Q244" t="s">
        <v>17</v>
      </c>
      <c r="R244" s="4">
        <v>27.39</v>
      </c>
      <c r="S244" s="4">
        <v>0</v>
      </c>
      <c r="T244" t="s">
        <v>31</v>
      </c>
      <c r="U244" s="4">
        <v>2.64</v>
      </c>
      <c r="V244" s="4">
        <v>3.1850000000000001</v>
      </c>
      <c r="W244" s="4">
        <v>27.39</v>
      </c>
    </row>
    <row r="245" spans="1:23" ht="15" customHeight="1" x14ac:dyDescent="0.25">
      <c r="A245">
        <v>41</v>
      </c>
      <c r="B245" s="1">
        <v>45698</v>
      </c>
      <c r="C245">
        <v>0</v>
      </c>
      <c r="D245" t="s">
        <v>57</v>
      </c>
      <c r="E245">
        <v>2</v>
      </c>
      <c r="F245" t="s">
        <v>32</v>
      </c>
      <c r="G245" t="s">
        <v>33</v>
      </c>
      <c r="H245" t="s">
        <v>53</v>
      </c>
      <c r="I245" t="s">
        <v>19</v>
      </c>
      <c r="J245" t="s">
        <v>26</v>
      </c>
      <c r="K245" s="2">
        <v>12500</v>
      </c>
      <c r="L245" s="3">
        <v>2.9</v>
      </c>
      <c r="M245" s="3">
        <v>85.7</v>
      </c>
      <c r="N245" s="3">
        <v>0</v>
      </c>
      <c r="O245" s="2">
        <v>34</v>
      </c>
      <c r="P245">
        <v>0</v>
      </c>
      <c r="Q245" t="s">
        <v>14</v>
      </c>
      <c r="R245" s="4">
        <v>27.79</v>
      </c>
      <c r="S245" s="4">
        <v>0</v>
      </c>
      <c r="T245" t="s">
        <v>31</v>
      </c>
      <c r="U245" s="4">
        <v>2.6</v>
      </c>
      <c r="V245" s="4">
        <v>2.2229999999999999</v>
      </c>
      <c r="W245" s="4">
        <v>27.79</v>
      </c>
    </row>
    <row r="246" spans="1:23" ht="15" customHeight="1" x14ac:dyDescent="0.25">
      <c r="A246">
        <v>1513</v>
      </c>
      <c r="B246" s="1">
        <v>45698</v>
      </c>
      <c r="C246">
        <v>0</v>
      </c>
      <c r="D246" t="s">
        <v>57</v>
      </c>
      <c r="E246">
        <v>2</v>
      </c>
      <c r="F246" t="s">
        <v>32</v>
      </c>
      <c r="G246" t="s">
        <v>33</v>
      </c>
      <c r="H246" t="s">
        <v>49</v>
      </c>
      <c r="I246" t="s">
        <v>27</v>
      </c>
      <c r="J246" t="s">
        <v>18</v>
      </c>
      <c r="K246" s="2">
        <v>26000</v>
      </c>
      <c r="L246" s="3">
        <v>6.4</v>
      </c>
      <c r="M246" s="3">
        <v>67.099999999999994</v>
      </c>
      <c r="N246" s="3">
        <v>0</v>
      </c>
      <c r="O246" s="2">
        <v>38</v>
      </c>
      <c r="P246">
        <v>1</v>
      </c>
      <c r="Q246" t="s">
        <v>17</v>
      </c>
      <c r="R246" s="4">
        <v>121.95</v>
      </c>
      <c r="S246" s="4">
        <v>0</v>
      </c>
      <c r="T246" t="s">
        <v>31</v>
      </c>
      <c r="U246" s="4">
        <v>11.21</v>
      </c>
      <c r="V246" s="4">
        <v>4.6900000000000004</v>
      </c>
      <c r="W246" s="4">
        <v>121.95</v>
      </c>
    </row>
    <row r="247" spans="1:23" ht="15" customHeight="1" x14ac:dyDescent="0.25">
      <c r="A247">
        <v>1145</v>
      </c>
      <c r="B247" s="1">
        <v>45698</v>
      </c>
      <c r="C247">
        <v>0</v>
      </c>
      <c r="D247" t="s">
        <v>57</v>
      </c>
      <c r="E247">
        <v>2</v>
      </c>
      <c r="F247" t="s">
        <v>32</v>
      </c>
      <c r="G247" t="s">
        <v>33</v>
      </c>
      <c r="H247" t="s">
        <v>51</v>
      </c>
      <c r="I247" t="s">
        <v>25</v>
      </c>
      <c r="J247" t="s">
        <v>15</v>
      </c>
      <c r="K247" s="2">
        <v>17400</v>
      </c>
      <c r="L247" s="3">
        <v>8.1999999999999993</v>
      </c>
      <c r="M247" s="3">
        <v>86.7</v>
      </c>
      <c r="N247" s="3">
        <v>0</v>
      </c>
      <c r="O247" s="2">
        <v>125</v>
      </c>
      <c r="P247">
        <v>0</v>
      </c>
      <c r="Q247" t="s">
        <v>14</v>
      </c>
      <c r="R247" s="4">
        <v>56.7</v>
      </c>
      <c r="S247" s="4">
        <v>0</v>
      </c>
      <c r="T247" t="s">
        <v>31</v>
      </c>
      <c r="U247" s="4">
        <v>5.32</v>
      </c>
      <c r="V247" s="4">
        <v>3.2589999999999999</v>
      </c>
      <c r="W247" s="4">
        <v>56.7</v>
      </c>
    </row>
    <row r="248" spans="1:23" ht="15" customHeight="1" x14ac:dyDescent="0.25">
      <c r="A248">
        <v>410</v>
      </c>
      <c r="B248" s="1">
        <v>45698.333333333343</v>
      </c>
      <c r="C248">
        <v>8</v>
      </c>
      <c r="D248" t="s">
        <v>57</v>
      </c>
      <c r="E248">
        <v>2</v>
      </c>
      <c r="F248" t="s">
        <v>32</v>
      </c>
      <c r="G248" t="s">
        <v>33</v>
      </c>
      <c r="H248" t="s">
        <v>54</v>
      </c>
      <c r="I248" t="s">
        <v>16</v>
      </c>
      <c r="J248" t="s">
        <v>24</v>
      </c>
      <c r="K248" s="2">
        <v>8600</v>
      </c>
      <c r="L248" s="3"/>
      <c r="M248" s="3">
        <v>99</v>
      </c>
      <c r="N248" s="3">
        <v>6.9</v>
      </c>
      <c r="O248" s="2">
        <v>793</v>
      </c>
      <c r="P248">
        <v>1</v>
      </c>
      <c r="Q248" t="s">
        <v>17</v>
      </c>
      <c r="R248" s="4">
        <v>117.89</v>
      </c>
      <c r="S248" s="4">
        <v>0.53</v>
      </c>
      <c r="T248" t="s">
        <v>34</v>
      </c>
      <c r="U248" s="4">
        <v>17.63</v>
      </c>
      <c r="V248" s="4">
        <v>13.708</v>
      </c>
      <c r="W248" s="4">
        <v>117.36</v>
      </c>
    </row>
    <row r="249" spans="1:23" ht="15" customHeight="1" x14ac:dyDescent="0.25">
      <c r="A249">
        <v>1882</v>
      </c>
      <c r="B249" s="1">
        <v>45698.333333333343</v>
      </c>
      <c r="C249">
        <v>8</v>
      </c>
      <c r="D249" t="s">
        <v>57</v>
      </c>
      <c r="E249">
        <v>2</v>
      </c>
      <c r="F249" t="s">
        <v>32</v>
      </c>
      <c r="G249" t="s">
        <v>33</v>
      </c>
      <c r="H249" t="s">
        <v>52</v>
      </c>
      <c r="I249" t="s">
        <v>13</v>
      </c>
      <c r="J249" t="s">
        <v>21</v>
      </c>
      <c r="K249" s="2">
        <v>9800</v>
      </c>
      <c r="L249" s="3">
        <v>10.5</v>
      </c>
      <c r="M249" s="3">
        <v>88.8</v>
      </c>
      <c r="N249" s="3">
        <v>33.200000000000003</v>
      </c>
      <c r="O249" s="2">
        <v>91</v>
      </c>
      <c r="P249">
        <v>1</v>
      </c>
      <c r="Q249" t="s">
        <v>17</v>
      </c>
      <c r="R249" s="4">
        <v>36.229999999999997</v>
      </c>
      <c r="S249" s="4">
        <v>0</v>
      </c>
      <c r="T249" t="s">
        <v>34</v>
      </c>
      <c r="U249" s="4">
        <v>5.41</v>
      </c>
      <c r="V249" s="4">
        <v>3.6970000000000001</v>
      </c>
      <c r="W249" s="4">
        <v>36.229999999999997</v>
      </c>
    </row>
    <row r="250" spans="1:23" ht="15" customHeight="1" x14ac:dyDescent="0.25">
      <c r="A250">
        <v>778</v>
      </c>
      <c r="B250" s="1">
        <v>45698.333333333343</v>
      </c>
      <c r="C250">
        <v>8</v>
      </c>
      <c r="D250" t="s">
        <v>57</v>
      </c>
      <c r="E250">
        <v>2</v>
      </c>
      <c r="F250" t="s">
        <v>32</v>
      </c>
      <c r="G250" t="s">
        <v>33</v>
      </c>
      <c r="H250" t="s">
        <v>50</v>
      </c>
      <c r="I250" t="s">
        <v>22</v>
      </c>
      <c r="J250" t="s">
        <v>12</v>
      </c>
      <c r="K250" s="2">
        <v>21000</v>
      </c>
      <c r="L250" s="3">
        <v>9.6</v>
      </c>
      <c r="M250" s="3">
        <v>69.7</v>
      </c>
      <c r="N250" s="3">
        <v>50</v>
      </c>
      <c r="O250" s="2">
        <v>397</v>
      </c>
      <c r="P250">
        <v>1</v>
      </c>
      <c r="Q250" t="s">
        <v>17</v>
      </c>
      <c r="R250" s="4">
        <v>285.31</v>
      </c>
      <c r="S250" s="4">
        <v>9.4700000000000006</v>
      </c>
      <c r="T250" t="s">
        <v>34</v>
      </c>
      <c r="U250" s="4">
        <v>42.56</v>
      </c>
      <c r="V250" s="4">
        <v>13.586</v>
      </c>
      <c r="W250" s="4">
        <v>275.83999999999997</v>
      </c>
    </row>
    <row r="251" spans="1:23" ht="15" customHeight="1" x14ac:dyDescent="0.25">
      <c r="A251">
        <v>42</v>
      </c>
      <c r="B251" s="1">
        <v>45698.333333333343</v>
      </c>
      <c r="C251">
        <v>8</v>
      </c>
      <c r="D251" t="s">
        <v>57</v>
      </c>
      <c r="E251">
        <v>2</v>
      </c>
      <c r="F251" t="s">
        <v>32</v>
      </c>
      <c r="G251" t="s">
        <v>33</v>
      </c>
      <c r="H251" t="s">
        <v>53</v>
      </c>
      <c r="I251" t="s">
        <v>19</v>
      </c>
      <c r="J251" t="s">
        <v>26</v>
      </c>
      <c r="K251" s="2">
        <v>12500</v>
      </c>
      <c r="L251" s="3">
        <v>1.6</v>
      </c>
      <c r="M251" s="3">
        <v>88.6</v>
      </c>
      <c r="N251" s="3">
        <v>19.5</v>
      </c>
      <c r="O251" s="2">
        <v>395</v>
      </c>
      <c r="P251">
        <v>1</v>
      </c>
      <c r="Q251" t="s">
        <v>17</v>
      </c>
      <c r="R251" s="4">
        <v>113.17</v>
      </c>
      <c r="S251" s="4">
        <v>3.01</v>
      </c>
      <c r="T251" t="s">
        <v>34</v>
      </c>
      <c r="U251" s="4">
        <v>16.3</v>
      </c>
      <c r="V251" s="4">
        <v>9.0540000000000003</v>
      </c>
      <c r="W251" s="4">
        <v>110.16</v>
      </c>
    </row>
    <row r="252" spans="1:23" ht="15" customHeight="1" x14ac:dyDescent="0.25">
      <c r="A252">
        <v>1514</v>
      </c>
      <c r="B252" s="1">
        <v>45698.333333333343</v>
      </c>
      <c r="C252">
        <v>8</v>
      </c>
      <c r="D252" t="s">
        <v>57</v>
      </c>
      <c r="E252">
        <v>2</v>
      </c>
      <c r="F252" t="s">
        <v>32</v>
      </c>
      <c r="G252" t="s">
        <v>33</v>
      </c>
      <c r="H252" t="s">
        <v>49</v>
      </c>
      <c r="I252" t="s">
        <v>27</v>
      </c>
      <c r="J252" t="s">
        <v>18</v>
      </c>
      <c r="K252" s="2">
        <v>26000</v>
      </c>
      <c r="L252" s="3">
        <v>7.2</v>
      </c>
      <c r="M252" s="3">
        <v>63.6</v>
      </c>
      <c r="N252" s="3">
        <v>23.3</v>
      </c>
      <c r="O252" s="2">
        <v>169</v>
      </c>
      <c r="P252">
        <v>1</v>
      </c>
      <c r="Q252" t="s">
        <v>17</v>
      </c>
      <c r="R252" s="4">
        <v>260.82</v>
      </c>
      <c r="S252" s="4">
        <v>6.44</v>
      </c>
      <c r="T252" t="s">
        <v>34</v>
      </c>
      <c r="U252" s="4">
        <v>37.47</v>
      </c>
      <c r="V252" s="4">
        <v>10.032</v>
      </c>
      <c r="W252" s="4">
        <v>254.38</v>
      </c>
    </row>
    <row r="253" spans="1:23" ht="15" customHeight="1" x14ac:dyDescent="0.25">
      <c r="A253">
        <v>1146</v>
      </c>
      <c r="B253" s="1">
        <v>45698.333333333343</v>
      </c>
      <c r="C253">
        <v>8</v>
      </c>
      <c r="D253" t="s">
        <v>57</v>
      </c>
      <c r="E253">
        <v>2</v>
      </c>
      <c r="F253" t="s">
        <v>32</v>
      </c>
      <c r="G253" t="s">
        <v>33</v>
      </c>
      <c r="H253" t="s">
        <v>51</v>
      </c>
      <c r="I253" t="s">
        <v>25</v>
      </c>
      <c r="J253" t="s">
        <v>15</v>
      </c>
      <c r="K253" s="2">
        <v>17400</v>
      </c>
      <c r="L253" s="3">
        <v>9.6</v>
      </c>
      <c r="M253" s="3">
        <v>89.3</v>
      </c>
      <c r="N253" s="3">
        <v>1.8</v>
      </c>
      <c r="O253" s="2">
        <v>0</v>
      </c>
      <c r="P253">
        <v>0</v>
      </c>
      <c r="Q253" t="s">
        <v>14</v>
      </c>
      <c r="R253" s="4">
        <v>44.4</v>
      </c>
      <c r="S253" s="4">
        <v>0.23</v>
      </c>
      <c r="T253" t="s">
        <v>34</v>
      </c>
      <c r="U253" s="4">
        <v>6.78</v>
      </c>
      <c r="V253" s="4">
        <v>2.552</v>
      </c>
      <c r="W253" s="4">
        <v>44.17</v>
      </c>
    </row>
    <row r="254" spans="1:23" ht="15" customHeight="1" x14ac:dyDescent="0.25">
      <c r="A254">
        <v>779</v>
      </c>
      <c r="B254" s="1">
        <v>45698.583333333343</v>
      </c>
      <c r="C254">
        <v>14</v>
      </c>
      <c r="D254" t="s">
        <v>57</v>
      </c>
      <c r="E254">
        <v>2</v>
      </c>
      <c r="F254" t="s">
        <v>32</v>
      </c>
      <c r="G254" t="s">
        <v>33</v>
      </c>
      <c r="H254" t="s">
        <v>50</v>
      </c>
      <c r="I254" t="s">
        <v>22</v>
      </c>
      <c r="J254" t="s">
        <v>12</v>
      </c>
      <c r="K254" s="2">
        <v>21000</v>
      </c>
      <c r="L254" s="3">
        <v>17</v>
      </c>
      <c r="M254" s="3">
        <v>64.599999999999994</v>
      </c>
      <c r="N254" s="3">
        <v>408.9</v>
      </c>
      <c r="O254" s="2">
        <v>396</v>
      </c>
      <c r="P254">
        <v>0</v>
      </c>
      <c r="Q254" t="s">
        <v>14</v>
      </c>
      <c r="R254" s="4">
        <v>211.8</v>
      </c>
      <c r="S254" s="4">
        <v>82.21</v>
      </c>
      <c r="T254" t="s">
        <v>34</v>
      </c>
      <c r="U254" s="4">
        <v>19.399999999999999</v>
      </c>
      <c r="V254" s="4">
        <v>10.086</v>
      </c>
      <c r="W254" s="4">
        <v>129.59</v>
      </c>
    </row>
    <row r="255" spans="1:23" ht="15" customHeight="1" x14ac:dyDescent="0.25">
      <c r="A255">
        <v>1883</v>
      </c>
      <c r="B255" s="1">
        <v>45698.583333333343</v>
      </c>
      <c r="C255">
        <v>14</v>
      </c>
      <c r="D255" t="s">
        <v>57</v>
      </c>
      <c r="E255">
        <v>2</v>
      </c>
      <c r="F255" t="s">
        <v>32</v>
      </c>
      <c r="G255" t="s">
        <v>33</v>
      </c>
      <c r="H255" t="s">
        <v>52</v>
      </c>
      <c r="I255" t="s">
        <v>13</v>
      </c>
      <c r="J255" t="s">
        <v>21</v>
      </c>
      <c r="K255" s="2">
        <v>9800</v>
      </c>
      <c r="L255" s="3">
        <v>15.4</v>
      </c>
      <c r="M255" s="3">
        <v>89.5</v>
      </c>
      <c r="N255" s="3">
        <v>433.7</v>
      </c>
      <c r="O255" s="2">
        <v>91</v>
      </c>
      <c r="P255">
        <v>1</v>
      </c>
      <c r="Q255" t="s">
        <v>23</v>
      </c>
      <c r="R255" s="4">
        <v>19.940000000000001</v>
      </c>
      <c r="S255" s="4">
        <v>0</v>
      </c>
      <c r="T255" t="s">
        <v>34</v>
      </c>
      <c r="U255" s="4">
        <v>3.01</v>
      </c>
      <c r="V255" s="4">
        <v>2.0350000000000001</v>
      </c>
      <c r="W255" s="4">
        <v>19.940000000000001</v>
      </c>
    </row>
    <row r="256" spans="1:23" ht="15" customHeight="1" x14ac:dyDescent="0.25">
      <c r="A256">
        <v>43</v>
      </c>
      <c r="B256" s="1">
        <v>45698.583333333343</v>
      </c>
      <c r="C256">
        <v>14</v>
      </c>
      <c r="D256" t="s">
        <v>57</v>
      </c>
      <c r="E256">
        <v>2</v>
      </c>
      <c r="F256" t="s">
        <v>32</v>
      </c>
      <c r="G256" t="s">
        <v>33</v>
      </c>
      <c r="H256" t="s">
        <v>53</v>
      </c>
      <c r="I256" t="s">
        <v>19</v>
      </c>
      <c r="J256" t="s">
        <v>26</v>
      </c>
      <c r="K256" s="2">
        <v>12500</v>
      </c>
      <c r="L256" s="3">
        <v>12.1</v>
      </c>
      <c r="M256" s="3">
        <v>68.400000000000006</v>
      </c>
      <c r="N256" s="3">
        <v>496.1</v>
      </c>
      <c r="O256" s="2">
        <v>601</v>
      </c>
      <c r="P256">
        <v>1</v>
      </c>
      <c r="Q256" t="s">
        <v>17</v>
      </c>
      <c r="R256" s="4">
        <v>111.74</v>
      </c>
      <c r="S256" s="4">
        <v>72.37</v>
      </c>
      <c r="T256" t="s">
        <v>34</v>
      </c>
      <c r="U256" s="4">
        <v>5.82</v>
      </c>
      <c r="V256" s="4">
        <v>8.9390000000000001</v>
      </c>
      <c r="W256" s="4">
        <v>39.369999999999997</v>
      </c>
    </row>
    <row r="257" spans="1:23" ht="15" customHeight="1" x14ac:dyDescent="0.25">
      <c r="A257">
        <v>1147</v>
      </c>
      <c r="B257" s="1">
        <v>45698.583333333343</v>
      </c>
      <c r="C257">
        <v>14</v>
      </c>
      <c r="D257" t="s">
        <v>57</v>
      </c>
      <c r="E257">
        <v>2</v>
      </c>
      <c r="F257" t="s">
        <v>32</v>
      </c>
      <c r="G257" t="s">
        <v>33</v>
      </c>
      <c r="H257" t="s">
        <v>51</v>
      </c>
      <c r="I257" t="s">
        <v>25</v>
      </c>
      <c r="J257" t="s">
        <v>15</v>
      </c>
      <c r="K257" s="2">
        <v>17400</v>
      </c>
      <c r="L257" s="3">
        <v>14</v>
      </c>
      <c r="M257" s="3">
        <v>93.2</v>
      </c>
      <c r="N257" s="3">
        <v>265.3</v>
      </c>
      <c r="O257" s="2">
        <v>1344</v>
      </c>
      <c r="P257">
        <v>1</v>
      </c>
      <c r="Q257" t="s">
        <v>17</v>
      </c>
      <c r="R257" s="4">
        <v>209.2</v>
      </c>
      <c r="S257" s="4">
        <v>33.65</v>
      </c>
      <c r="T257" t="s">
        <v>34</v>
      </c>
      <c r="U257" s="4">
        <v>26.26</v>
      </c>
      <c r="V257" s="4">
        <v>12.023</v>
      </c>
      <c r="W257" s="4">
        <v>175.55</v>
      </c>
    </row>
    <row r="258" spans="1:23" ht="15" customHeight="1" x14ac:dyDescent="0.25">
      <c r="A258">
        <v>1515</v>
      </c>
      <c r="B258" s="1">
        <v>45698.583333333343</v>
      </c>
      <c r="C258">
        <v>14</v>
      </c>
      <c r="D258" t="s">
        <v>57</v>
      </c>
      <c r="E258">
        <v>2</v>
      </c>
      <c r="F258" t="s">
        <v>32</v>
      </c>
      <c r="G258" t="s">
        <v>33</v>
      </c>
      <c r="H258" t="s">
        <v>49</v>
      </c>
      <c r="I258" t="s">
        <v>27</v>
      </c>
      <c r="J258" t="s">
        <v>18</v>
      </c>
      <c r="K258" s="2">
        <v>26000</v>
      </c>
      <c r="L258" s="3">
        <v>15.3</v>
      </c>
      <c r="M258" s="3">
        <v>70.8</v>
      </c>
      <c r="N258" s="3">
        <v>417</v>
      </c>
      <c r="O258" s="2">
        <v>170</v>
      </c>
      <c r="P258">
        <v>1</v>
      </c>
      <c r="Q258" t="s">
        <v>23</v>
      </c>
      <c r="R258" s="4">
        <v>152.88999999999999</v>
      </c>
      <c r="S258" s="4">
        <v>115.63</v>
      </c>
      <c r="T258" t="s">
        <v>34</v>
      </c>
      <c r="U258" s="4">
        <v>5.51</v>
      </c>
      <c r="V258" s="4">
        <v>5.88</v>
      </c>
      <c r="W258" s="4">
        <v>37.26</v>
      </c>
    </row>
    <row r="259" spans="1:23" ht="15" customHeight="1" x14ac:dyDescent="0.25">
      <c r="A259">
        <v>411</v>
      </c>
      <c r="B259" s="1">
        <v>45698.583333333343</v>
      </c>
      <c r="C259">
        <v>14</v>
      </c>
      <c r="D259" t="s">
        <v>57</v>
      </c>
      <c r="E259">
        <v>2</v>
      </c>
      <c r="F259" t="s">
        <v>32</v>
      </c>
      <c r="G259" t="s">
        <v>33</v>
      </c>
      <c r="H259" t="s">
        <v>54</v>
      </c>
      <c r="I259" t="s">
        <v>16</v>
      </c>
      <c r="J259" t="s">
        <v>24</v>
      </c>
      <c r="K259" s="2">
        <v>8600</v>
      </c>
      <c r="L259" s="3">
        <v>12</v>
      </c>
      <c r="M259" s="3">
        <v>91.4</v>
      </c>
      <c r="N259" s="3">
        <v>258.60000000000002</v>
      </c>
      <c r="O259" s="2">
        <v>811</v>
      </c>
      <c r="P259">
        <v>1</v>
      </c>
      <c r="Q259" t="s">
        <v>17</v>
      </c>
      <c r="R259" s="4">
        <v>85.4</v>
      </c>
      <c r="S259" s="4">
        <v>19.38</v>
      </c>
      <c r="T259" t="s">
        <v>34</v>
      </c>
      <c r="U259" s="4">
        <v>9.84</v>
      </c>
      <c r="V259" s="4">
        <v>9.93</v>
      </c>
      <c r="W259" s="4">
        <v>66.02</v>
      </c>
    </row>
    <row r="260" spans="1:23" ht="15" customHeight="1" x14ac:dyDescent="0.25">
      <c r="A260">
        <v>1516</v>
      </c>
      <c r="B260" s="1">
        <v>45698.833333333343</v>
      </c>
      <c r="C260">
        <v>20</v>
      </c>
      <c r="D260" t="s">
        <v>57</v>
      </c>
      <c r="E260">
        <v>2</v>
      </c>
      <c r="F260" t="s">
        <v>32</v>
      </c>
      <c r="G260" t="s">
        <v>33</v>
      </c>
      <c r="H260" t="s">
        <v>49</v>
      </c>
      <c r="I260" t="s">
        <v>27</v>
      </c>
      <c r="J260" t="s">
        <v>18</v>
      </c>
      <c r="K260" s="2">
        <v>26000</v>
      </c>
      <c r="L260" s="3">
        <v>8.6999999999999993</v>
      </c>
      <c r="M260" s="3">
        <v>77</v>
      </c>
      <c r="N260" s="3">
        <v>0</v>
      </c>
      <c r="O260" s="2">
        <v>167</v>
      </c>
      <c r="P260">
        <v>1</v>
      </c>
      <c r="Q260" t="s">
        <v>17</v>
      </c>
      <c r="R260" s="4">
        <v>259.36</v>
      </c>
      <c r="S260" s="4">
        <v>0</v>
      </c>
      <c r="T260" t="s">
        <v>37</v>
      </c>
      <c r="U260" s="4">
        <v>60.77</v>
      </c>
      <c r="V260" s="4">
        <v>9.9749999999999996</v>
      </c>
      <c r="W260" s="4">
        <v>259.36</v>
      </c>
    </row>
    <row r="261" spans="1:23" ht="15" customHeight="1" x14ac:dyDescent="0.25">
      <c r="A261">
        <v>780</v>
      </c>
      <c r="B261" s="1">
        <v>45698.833333333343</v>
      </c>
      <c r="C261">
        <v>20</v>
      </c>
      <c r="D261" t="s">
        <v>57</v>
      </c>
      <c r="E261">
        <v>2</v>
      </c>
      <c r="F261" t="s">
        <v>32</v>
      </c>
      <c r="G261" t="s">
        <v>33</v>
      </c>
      <c r="H261" t="s">
        <v>50</v>
      </c>
      <c r="I261" t="s">
        <v>22</v>
      </c>
      <c r="J261" t="s">
        <v>12</v>
      </c>
      <c r="K261" s="2">
        <v>21000</v>
      </c>
      <c r="L261" s="3"/>
      <c r="M261" s="3">
        <v>68.7</v>
      </c>
      <c r="N261" s="3">
        <v>0</v>
      </c>
      <c r="O261" s="2">
        <v>415</v>
      </c>
      <c r="P261">
        <v>1</v>
      </c>
      <c r="Q261" t="s">
        <v>17</v>
      </c>
      <c r="R261" s="4">
        <v>295.08999999999997</v>
      </c>
      <c r="S261" s="4">
        <v>0</v>
      </c>
      <c r="T261" t="s">
        <v>37</v>
      </c>
      <c r="U261" s="4">
        <v>70.349999999999994</v>
      </c>
      <c r="V261" s="4">
        <v>14.052</v>
      </c>
      <c r="W261" s="4">
        <v>295.08999999999997</v>
      </c>
    </row>
    <row r="262" spans="1:23" ht="15" customHeight="1" x14ac:dyDescent="0.25">
      <c r="A262">
        <v>1148</v>
      </c>
      <c r="B262" s="1">
        <v>45698.833333333343</v>
      </c>
      <c r="C262">
        <v>20</v>
      </c>
      <c r="D262" t="s">
        <v>57</v>
      </c>
      <c r="E262">
        <v>2</v>
      </c>
      <c r="F262" t="s">
        <v>32</v>
      </c>
      <c r="G262" t="s">
        <v>33</v>
      </c>
      <c r="H262" t="s">
        <v>51</v>
      </c>
      <c r="I262" t="s">
        <v>25</v>
      </c>
      <c r="J262" t="s">
        <v>15</v>
      </c>
      <c r="K262" s="2">
        <v>17400</v>
      </c>
      <c r="L262" s="3">
        <v>13.7</v>
      </c>
      <c r="M262" s="3">
        <v>90.7</v>
      </c>
      <c r="N262" s="3">
        <v>0</v>
      </c>
      <c r="O262" s="2">
        <v>1448</v>
      </c>
      <c r="P262">
        <v>1</v>
      </c>
      <c r="Q262" t="s">
        <v>17</v>
      </c>
      <c r="R262" s="4">
        <v>268.5</v>
      </c>
      <c r="S262" s="4">
        <v>0</v>
      </c>
      <c r="T262" t="s">
        <v>37</v>
      </c>
      <c r="U262" s="4">
        <v>60.57</v>
      </c>
      <c r="V262" s="4">
        <v>15.430999999999999</v>
      </c>
      <c r="W262" s="4">
        <v>268.5</v>
      </c>
    </row>
    <row r="263" spans="1:23" ht="15" customHeight="1" x14ac:dyDescent="0.25">
      <c r="A263">
        <v>44</v>
      </c>
      <c r="B263" s="1">
        <v>45698.833333333343</v>
      </c>
      <c r="C263">
        <v>20</v>
      </c>
      <c r="D263" t="s">
        <v>57</v>
      </c>
      <c r="E263">
        <v>2</v>
      </c>
      <c r="F263" t="s">
        <v>32</v>
      </c>
      <c r="G263" t="s">
        <v>33</v>
      </c>
      <c r="H263" t="s">
        <v>53</v>
      </c>
      <c r="I263" t="s">
        <v>19</v>
      </c>
      <c r="J263" t="s">
        <v>26</v>
      </c>
      <c r="K263" s="2">
        <v>12500</v>
      </c>
      <c r="L263" s="3">
        <v>10.1</v>
      </c>
      <c r="M263" s="3">
        <v>63</v>
      </c>
      <c r="N263" s="3">
        <v>0</v>
      </c>
      <c r="O263" s="2">
        <v>108</v>
      </c>
      <c r="P263">
        <v>1</v>
      </c>
      <c r="Q263" t="s">
        <v>17</v>
      </c>
      <c r="R263" s="4">
        <v>43.03</v>
      </c>
      <c r="S263" s="4">
        <v>0</v>
      </c>
      <c r="T263" t="s">
        <v>37</v>
      </c>
      <c r="U263" s="4">
        <v>9.9499999999999993</v>
      </c>
      <c r="V263" s="4">
        <v>3.4420000000000002</v>
      </c>
      <c r="W263" s="4">
        <v>43.03</v>
      </c>
    </row>
    <row r="264" spans="1:23" ht="15" customHeight="1" x14ac:dyDescent="0.25">
      <c r="A264">
        <v>1884</v>
      </c>
      <c r="B264" s="1">
        <v>45698.833333333343</v>
      </c>
      <c r="C264">
        <v>20</v>
      </c>
      <c r="D264" t="s">
        <v>57</v>
      </c>
      <c r="E264">
        <v>2</v>
      </c>
      <c r="F264" t="s">
        <v>32</v>
      </c>
      <c r="G264" t="s">
        <v>33</v>
      </c>
      <c r="H264" t="s">
        <v>52</v>
      </c>
      <c r="I264" t="s">
        <v>13</v>
      </c>
      <c r="J264" t="s">
        <v>21</v>
      </c>
      <c r="K264" s="2">
        <v>9800</v>
      </c>
      <c r="L264" s="3">
        <v>11.1</v>
      </c>
      <c r="M264" s="3">
        <v>69</v>
      </c>
      <c r="N264" s="3">
        <v>0</v>
      </c>
      <c r="O264" s="2">
        <v>300</v>
      </c>
      <c r="P264">
        <v>1</v>
      </c>
      <c r="Q264" t="s">
        <v>17</v>
      </c>
      <c r="R264" s="4">
        <v>101.43</v>
      </c>
      <c r="S264" s="4">
        <v>0</v>
      </c>
      <c r="T264" t="s">
        <v>37</v>
      </c>
      <c r="U264" s="4">
        <v>23.47</v>
      </c>
      <c r="V264" s="4">
        <v>10.35</v>
      </c>
      <c r="W264" s="4">
        <v>101.43</v>
      </c>
    </row>
    <row r="265" spans="1:23" ht="15" customHeight="1" x14ac:dyDescent="0.25">
      <c r="A265">
        <v>412</v>
      </c>
      <c r="B265" s="1">
        <v>45698.833333333343</v>
      </c>
      <c r="C265">
        <v>20</v>
      </c>
      <c r="D265" t="s">
        <v>57</v>
      </c>
      <c r="E265">
        <v>2</v>
      </c>
      <c r="F265" t="s">
        <v>32</v>
      </c>
      <c r="G265" t="s">
        <v>33</v>
      </c>
      <c r="H265" t="s">
        <v>54</v>
      </c>
      <c r="I265" t="s">
        <v>16</v>
      </c>
      <c r="J265" t="s">
        <v>24</v>
      </c>
      <c r="K265" s="2">
        <v>8600</v>
      </c>
      <c r="L265" s="3">
        <v>8</v>
      </c>
      <c r="M265" s="3">
        <v>93.7</v>
      </c>
      <c r="N265" s="3">
        <v>0</v>
      </c>
      <c r="O265" s="2">
        <v>92</v>
      </c>
      <c r="P265">
        <v>1</v>
      </c>
      <c r="Q265" t="s">
        <v>17</v>
      </c>
      <c r="R265" s="4">
        <v>27.85</v>
      </c>
      <c r="S265" s="4">
        <v>0</v>
      </c>
      <c r="T265" t="s">
        <v>37</v>
      </c>
      <c r="U265" s="4">
        <v>6.18</v>
      </c>
      <c r="V265" s="4">
        <v>3.238</v>
      </c>
      <c r="W265" s="4">
        <v>27.85</v>
      </c>
    </row>
    <row r="266" spans="1:23" ht="15" customHeight="1" x14ac:dyDescent="0.25">
      <c r="A266">
        <v>781</v>
      </c>
      <c r="B266" s="1">
        <v>45702</v>
      </c>
      <c r="C266">
        <v>0</v>
      </c>
      <c r="D266" t="s">
        <v>58</v>
      </c>
      <c r="E266">
        <v>2</v>
      </c>
      <c r="F266" t="s">
        <v>32</v>
      </c>
      <c r="G266" t="s">
        <v>33</v>
      </c>
      <c r="H266" t="s">
        <v>50</v>
      </c>
      <c r="I266" t="s">
        <v>22</v>
      </c>
      <c r="J266" t="s">
        <v>12</v>
      </c>
      <c r="K266" s="2">
        <v>21000</v>
      </c>
      <c r="L266" s="3">
        <v>4.8</v>
      </c>
      <c r="M266" s="3">
        <v>81.2</v>
      </c>
      <c r="N266" s="3">
        <v>0</v>
      </c>
      <c r="O266" s="2">
        <v>150</v>
      </c>
      <c r="P266">
        <v>1</v>
      </c>
      <c r="Q266" t="s">
        <v>17</v>
      </c>
      <c r="R266" s="4">
        <v>196.41</v>
      </c>
      <c r="S266" s="4">
        <v>0</v>
      </c>
      <c r="T266" t="s">
        <v>31</v>
      </c>
      <c r="U266" s="4">
        <v>18.29</v>
      </c>
      <c r="V266" s="4">
        <v>9.3529999999999998</v>
      </c>
      <c r="W266" s="4">
        <v>196.41</v>
      </c>
    </row>
    <row r="267" spans="1:23" ht="15" customHeight="1" x14ac:dyDescent="0.25">
      <c r="A267">
        <v>1517</v>
      </c>
      <c r="B267" s="1">
        <v>45702</v>
      </c>
      <c r="C267">
        <v>0</v>
      </c>
      <c r="D267" t="s">
        <v>58</v>
      </c>
      <c r="E267">
        <v>2</v>
      </c>
      <c r="F267" t="s">
        <v>32</v>
      </c>
      <c r="G267" t="s">
        <v>33</v>
      </c>
      <c r="H267" t="s">
        <v>49</v>
      </c>
      <c r="I267" t="s">
        <v>27</v>
      </c>
      <c r="J267" t="s">
        <v>18</v>
      </c>
      <c r="K267" s="2">
        <v>26000</v>
      </c>
      <c r="L267" s="3">
        <v>3.4</v>
      </c>
      <c r="M267" s="3">
        <v>88.3</v>
      </c>
      <c r="N267" s="3">
        <v>0</v>
      </c>
      <c r="O267" s="2">
        <v>44</v>
      </c>
      <c r="P267">
        <v>1</v>
      </c>
      <c r="Q267" t="s">
        <v>17</v>
      </c>
      <c r="R267" s="4">
        <v>129.80000000000001</v>
      </c>
      <c r="S267" s="4">
        <v>0</v>
      </c>
      <c r="T267" t="s">
        <v>31</v>
      </c>
      <c r="U267" s="4">
        <v>12.11</v>
      </c>
      <c r="V267" s="4">
        <v>4.992</v>
      </c>
      <c r="W267" s="4">
        <v>129.80000000000001</v>
      </c>
    </row>
    <row r="268" spans="1:23" ht="15" customHeight="1" x14ac:dyDescent="0.25">
      <c r="A268">
        <v>413</v>
      </c>
      <c r="B268" s="1">
        <v>45702</v>
      </c>
      <c r="C268">
        <v>0</v>
      </c>
      <c r="D268" t="s">
        <v>58</v>
      </c>
      <c r="E268">
        <v>2</v>
      </c>
      <c r="F268" t="s">
        <v>32</v>
      </c>
      <c r="G268" t="s">
        <v>33</v>
      </c>
      <c r="H268" t="s">
        <v>54</v>
      </c>
      <c r="I268" t="s">
        <v>16</v>
      </c>
      <c r="J268" t="s">
        <v>24</v>
      </c>
      <c r="K268" s="2">
        <v>8600</v>
      </c>
      <c r="L268" s="3">
        <v>4.4000000000000004</v>
      </c>
      <c r="M268" s="3">
        <v>99</v>
      </c>
      <c r="N268" s="3">
        <v>0</v>
      </c>
      <c r="O268" s="2">
        <v>57</v>
      </c>
      <c r="P268">
        <v>1</v>
      </c>
      <c r="Q268" t="s">
        <v>17</v>
      </c>
      <c r="R268" s="4">
        <v>28.59</v>
      </c>
      <c r="S268" s="4">
        <v>0</v>
      </c>
      <c r="T268" t="s">
        <v>31</v>
      </c>
      <c r="U268" s="4">
        <v>2.65</v>
      </c>
      <c r="V268" s="4">
        <v>3.3239999999999998</v>
      </c>
      <c r="W268" s="4">
        <v>28.59</v>
      </c>
    </row>
    <row r="269" spans="1:23" ht="15" customHeight="1" x14ac:dyDescent="0.25">
      <c r="A269">
        <v>1885</v>
      </c>
      <c r="B269" s="1">
        <v>45702</v>
      </c>
      <c r="C269">
        <v>0</v>
      </c>
      <c r="D269" t="s">
        <v>58</v>
      </c>
      <c r="E269">
        <v>2</v>
      </c>
      <c r="F269" t="s">
        <v>32</v>
      </c>
      <c r="G269" t="s">
        <v>33</v>
      </c>
      <c r="H269" t="s">
        <v>52</v>
      </c>
      <c r="I269" t="s">
        <v>13</v>
      </c>
      <c r="J269" t="s">
        <v>21</v>
      </c>
      <c r="K269" s="2">
        <v>9800</v>
      </c>
      <c r="L269" s="3">
        <v>8.6999999999999993</v>
      </c>
      <c r="M269" s="3">
        <v>84.8</v>
      </c>
      <c r="N269" s="3">
        <v>0</v>
      </c>
      <c r="O269" s="2">
        <v>324</v>
      </c>
      <c r="P269">
        <v>1</v>
      </c>
      <c r="Q269" t="s">
        <v>17</v>
      </c>
      <c r="R269" s="4">
        <v>99.53</v>
      </c>
      <c r="S269" s="4">
        <v>0</v>
      </c>
      <c r="T269" t="s">
        <v>31</v>
      </c>
      <c r="U269" s="4">
        <v>9.4</v>
      </c>
      <c r="V269" s="4">
        <v>10.156000000000001</v>
      </c>
      <c r="W269" s="4">
        <v>99.53</v>
      </c>
    </row>
    <row r="270" spans="1:23" ht="15" customHeight="1" x14ac:dyDescent="0.25">
      <c r="A270">
        <v>45</v>
      </c>
      <c r="B270" s="1">
        <v>45702</v>
      </c>
      <c r="C270">
        <v>0</v>
      </c>
      <c r="D270" t="s">
        <v>58</v>
      </c>
      <c r="E270">
        <v>2</v>
      </c>
      <c r="F270" t="s">
        <v>32</v>
      </c>
      <c r="G270" t="s">
        <v>33</v>
      </c>
      <c r="H270" t="s">
        <v>53</v>
      </c>
      <c r="I270" t="s">
        <v>19</v>
      </c>
      <c r="J270" t="s">
        <v>26</v>
      </c>
      <c r="K270" s="2">
        <v>12500</v>
      </c>
      <c r="L270" s="3">
        <v>2</v>
      </c>
      <c r="M270" s="3">
        <v>69.099999999999994</v>
      </c>
      <c r="N270" s="3">
        <v>0</v>
      </c>
      <c r="O270" s="2">
        <v>0</v>
      </c>
      <c r="P270">
        <v>0</v>
      </c>
      <c r="Q270" t="s">
        <v>14</v>
      </c>
      <c r="R270" s="4">
        <v>22.69</v>
      </c>
      <c r="S270" s="4">
        <v>0</v>
      </c>
      <c r="T270" t="s">
        <v>31</v>
      </c>
      <c r="U270" s="4">
        <v>2.04</v>
      </c>
      <c r="V270" s="4">
        <v>1.8149999999999999</v>
      </c>
      <c r="W270" s="4">
        <v>22.69</v>
      </c>
    </row>
    <row r="271" spans="1:23" ht="15" customHeight="1" x14ac:dyDescent="0.25">
      <c r="A271">
        <v>1149</v>
      </c>
      <c r="B271" s="1">
        <v>45702</v>
      </c>
      <c r="C271">
        <v>0</v>
      </c>
      <c r="D271" t="s">
        <v>58</v>
      </c>
      <c r="E271">
        <v>2</v>
      </c>
      <c r="F271" t="s">
        <v>32</v>
      </c>
      <c r="G271" t="s">
        <v>33</v>
      </c>
      <c r="H271" t="s">
        <v>51</v>
      </c>
      <c r="I271" t="s">
        <v>25</v>
      </c>
      <c r="J271" t="s">
        <v>15</v>
      </c>
      <c r="K271" s="2">
        <v>17400</v>
      </c>
      <c r="L271" s="3">
        <v>12.7</v>
      </c>
      <c r="M271" s="3">
        <v>72.7</v>
      </c>
      <c r="N271" s="3">
        <v>0</v>
      </c>
      <c r="O271" s="2">
        <v>151</v>
      </c>
      <c r="P271">
        <v>0</v>
      </c>
      <c r="Q271" t="s">
        <v>14</v>
      </c>
      <c r="R271" s="4">
        <v>55.08</v>
      </c>
      <c r="S271" s="4">
        <v>0</v>
      </c>
      <c r="T271" t="s">
        <v>31</v>
      </c>
      <c r="U271" s="4">
        <v>5.13</v>
      </c>
      <c r="V271" s="4">
        <v>3.1659999999999999</v>
      </c>
      <c r="W271" s="4">
        <v>55.08</v>
      </c>
    </row>
    <row r="272" spans="1:23" ht="15" customHeight="1" x14ac:dyDescent="0.25">
      <c r="A272">
        <v>1518</v>
      </c>
      <c r="B272" s="1">
        <v>45702.333333333343</v>
      </c>
      <c r="C272">
        <v>8</v>
      </c>
      <c r="D272" t="s">
        <v>58</v>
      </c>
      <c r="E272">
        <v>2</v>
      </c>
      <c r="F272" t="s">
        <v>32</v>
      </c>
      <c r="G272" t="s">
        <v>33</v>
      </c>
      <c r="H272" t="s">
        <v>49</v>
      </c>
      <c r="I272" t="s">
        <v>27</v>
      </c>
      <c r="J272" t="s">
        <v>18</v>
      </c>
      <c r="K272" s="2">
        <v>26000</v>
      </c>
      <c r="L272" s="3">
        <v>5.3</v>
      </c>
      <c r="M272" s="3">
        <v>74.599999999999994</v>
      </c>
      <c r="N272" s="3">
        <v>16.399999999999999</v>
      </c>
      <c r="O272" s="2">
        <v>167</v>
      </c>
      <c r="P272">
        <v>1</v>
      </c>
      <c r="Q272" t="s">
        <v>17</v>
      </c>
      <c r="R272" s="4">
        <v>274.18</v>
      </c>
      <c r="S272" s="4">
        <v>4.3</v>
      </c>
      <c r="T272" t="s">
        <v>34</v>
      </c>
      <c r="U272" s="4">
        <v>40.619999999999997</v>
      </c>
      <c r="V272" s="4">
        <v>10.545</v>
      </c>
      <c r="W272" s="4">
        <v>269.88</v>
      </c>
    </row>
    <row r="273" spans="1:23" ht="15" customHeight="1" x14ac:dyDescent="0.25">
      <c r="A273">
        <v>782</v>
      </c>
      <c r="B273" s="1">
        <v>45702.333333333343</v>
      </c>
      <c r="C273">
        <v>8</v>
      </c>
      <c r="D273" t="s">
        <v>58</v>
      </c>
      <c r="E273">
        <v>2</v>
      </c>
      <c r="F273" t="s">
        <v>32</v>
      </c>
      <c r="G273" t="s">
        <v>33</v>
      </c>
      <c r="H273" t="s">
        <v>50</v>
      </c>
      <c r="I273" t="s">
        <v>22</v>
      </c>
      <c r="J273" t="s">
        <v>12</v>
      </c>
      <c r="K273" s="2">
        <v>21000</v>
      </c>
      <c r="L273" s="3">
        <v>7.7</v>
      </c>
      <c r="M273" s="3">
        <v>69.3</v>
      </c>
      <c r="N273" s="3">
        <v>30</v>
      </c>
      <c r="O273" s="2">
        <v>413</v>
      </c>
      <c r="P273">
        <v>1</v>
      </c>
      <c r="Q273" t="s">
        <v>17</v>
      </c>
      <c r="R273" s="4">
        <v>284.70999999999998</v>
      </c>
      <c r="S273" s="4">
        <v>5.66</v>
      </c>
      <c r="T273" t="s">
        <v>34</v>
      </c>
      <c r="U273" s="4">
        <v>41.05</v>
      </c>
      <c r="V273" s="4">
        <v>13.558</v>
      </c>
      <c r="W273" s="4">
        <v>279.05</v>
      </c>
    </row>
    <row r="274" spans="1:23" ht="15" customHeight="1" x14ac:dyDescent="0.25">
      <c r="A274">
        <v>414</v>
      </c>
      <c r="B274" s="1">
        <v>45702.333333333343</v>
      </c>
      <c r="C274">
        <v>8</v>
      </c>
      <c r="D274" t="s">
        <v>58</v>
      </c>
      <c r="E274">
        <v>2</v>
      </c>
      <c r="F274" t="s">
        <v>32</v>
      </c>
      <c r="G274" t="s">
        <v>33</v>
      </c>
      <c r="H274" t="s">
        <v>54</v>
      </c>
      <c r="I274" t="s">
        <v>16</v>
      </c>
      <c r="J274" t="s">
        <v>24</v>
      </c>
      <c r="K274" s="2">
        <v>8600</v>
      </c>
      <c r="L274" s="3">
        <v>7</v>
      </c>
      <c r="M274" s="3">
        <v>98.1</v>
      </c>
      <c r="N274" s="3"/>
      <c r="O274" s="2">
        <v>797</v>
      </c>
      <c r="P274">
        <v>1</v>
      </c>
      <c r="Q274" t="s">
        <v>17</v>
      </c>
      <c r="R274" s="4">
        <v>125.13</v>
      </c>
      <c r="S274" s="4">
        <v>0.51</v>
      </c>
      <c r="T274" t="s">
        <v>34</v>
      </c>
      <c r="U274" s="4">
        <v>18.309999999999999</v>
      </c>
      <c r="V274" s="4">
        <v>14.55</v>
      </c>
      <c r="W274" s="4">
        <v>124.62</v>
      </c>
    </row>
    <row r="275" spans="1:23" ht="15" customHeight="1" x14ac:dyDescent="0.25">
      <c r="A275">
        <v>46</v>
      </c>
      <c r="B275" s="1">
        <v>45702.333333333343</v>
      </c>
      <c r="C275">
        <v>8</v>
      </c>
      <c r="D275" t="s">
        <v>58</v>
      </c>
      <c r="E275">
        <v>2</v>
      </c>
      <c r="F275" t="s">
        <v>32</v>
      </c>
      <c r="G275" t="s">
        <v>33</v>
      </c>
      <c r="H275" t="s">
        <v>53</v>
      </c>
      <c r="I275" t="s">
        <v>19</v>
      </c>
      <c r="J275" t="s">
        <v>26</v>
      </c>
      <c r="K275" s="2">
        <v>12500</v>
      </c>
      <c r="L275" s="3">
        <v>6.6</v>
      </c>
      <c r="M275" s="3">
        <v>71.400000000000006</v>
      </c>
      <c r="N275" s="3">
        <v>50.9</v>
      </c>
      <c r="O275" s="2">
        <v>326</v>
      </c>
      <c r="P275">
        <v>1</v>
      </c>
      <c r="Q275" t="s">
        <v>17</v>
      </c>
      <c r="R275" s="4">
        <v>115.86</v>
      </c>
      <c r="S275" s="4">
        <v>7.49</v>
      </c>
      <c r="T275" t="s">
        <v>34</v>
      </c>
      <c r="U275" s="4">
        <v>15.67</v>
      </c>
      <c r="V275" s="4">
        <v>9.2690000000000001</v>
      </c>
      <c r="W275" s="4">
        <v>108.37</v>
      </c>
    </row>
    <row r="276" spans="1:23" ht="15" customHeight="1" x14ac:dyDescent="0.25">
      <c r="A276">
        <v>1150</v>
      </c>
      <c r="B276" s="1">
        <v>45702.333333333343</v>
      </c>
      <c r="C276">
        <v>8</v>
      </c>
      <c r="D276" t="s">
        <v>58</v>
      </c>
      <c r="E276">
        <v>2</v>
      </c>
      <c r="F276" t="s">
        <v>32</v>
      </c>
      <c r="G276" t="s">
        <v>33</v>
      </c>
      <c r="H276" t="s">
        <v>51</v>
      </c>
      <c r="I276" t="s">
        <v>25</v>
      </c>
      <c r="J276" t="s">
        <v>15</v>
      </c>
      <c r="K276" s="2">
        <v>17400</v>
      </c>
      <c r="L276" s="3">
        <v>12.9</v>
      </c>
      <c r="M276" s="3">
        <v>72.7</v>
      </c>
      <c r="N276" s="3">
        <v>72.599999999999994</v>
      </c>
      <c r="O276" s="2">
        <v>0</v>
      </c>
      <c r="P276">
        <v>0</v>
      </c>
      <c r="Q276" t="s">
        <v>14</v>
      </c>
      <c r="R276" s="4">
        <v>46.57</v>
      </c>
      <c r="S276" s="4">
        <v>9.2100000000000009</v>
      </c>
      <c r="T276" t="s">
        <v>34</v>
      </c>
      <c r="U276" s="4">
        <v>5.65</v>
      </c>
      <c r="V276" s="4">
        <v>2.6760000000000002</v>
      </c>
      <c r="W276" s="4">
        <v>37.36</v>
      </c>
    </row>
    <row r="277" spans="1:23" ht="15" customHeight="1" x14ac:dyDescent="0.25">
      <c r="A277">
        <v>1886</v>
      </c>
      <c r="B277" s="1">
        <v>45702.333333333343</v>
      </c>
      <c r="C277">
        <v>8</v>
      </c>
      <c r="D277" t="s">
        <v>58</v>
      </c>
      <c r="E277">
        <v>2</v>
      </c>
      <c r="F277" t="s">
        <v>32</v>
      </c>
      <c r="G277" t="s">
        <v>33</v>
      </c>
      <c r="H277" t="s">
        <v>52</v>
      </c>
      <c r="I277" t="s">
        <v>13</v>
      </c>
      <c r="J277" t="s">
        <v>21</v>
      </c>
      <c r="K277" s="2">
        <v>9800</v>
      </c>
      <c r="L277" s="3">
        <v>12.7</v>
      </c>
      <c r="M277" s="3">
        <v>85.2</v>
      </c>
      <c r="N277" s="3">
        <v>40.1</v>
      </c>
      <c r="O277" s="2">
        <v>69</v>
      </c>
      <c r="P277">
        <v>1</v>
      </c>
      <c r="Q277" t="s">
        <v>17</v>
      </c>
      <c r="R277" s="4">
        <v>33.22</v>
      </c>
      <c r="S277" s="4">
        <v>0</v>
      </c>
      <c r="T277" t="s">
        <v>34</v>
      </c>
      <c r="U277" s="4">
        <v>5.09</v>
      </c>
      <c r="V277" s="4">
        <v>3.39</v>
      </c>
      <c r="W277" s="4">
        <v>33.22</v>
      </c>
    </row>
    <row r="278" spans="1:23" ht="15" customHeight="1" x14ac:dyDescent="0.25">
      <c r="A278">
        <v>1887</v>
      </c>
      <c r="B278" s="1">
        <v>45702.583333333343</v>
      </c>
      <c r="C278">
        <v>14</v>
      </c>
      <c r="D278" t="s">
        <v>58</v>
      </c>
      <c r="E278">
        <v>2</v>
      </c>
      <c r="F278" t="s">
        <v>32</v>
      </c>
      <c r="G278" t="s">
        <v>33</v>
      </c>
      <c r="H278" t="s">
        <v>52</v>
      </c>
      <c r="I278" t="s">
        <v>13</v>
      </c>
      <c r="J278" t="s">
        <v>21</v>
      </c>
      <c r="K278" s="2">
        <v>9800</v>
      </c>
      <c r="L278" s="3">
        <v>13.7</v>
      </c>
      <c r="M278" s="3">
        <v>63.7</v>
      </c>
      <c r="N278" s="3">
        <v>525.9</v>
      </c>
      <c r="O278" s="2">
        <v>61</v>
      </c>
      <c r="P278">
        <v>1</v>
      </c>
      <c r="Q278" t="s">
        <v>17</v>
      </c>
      <c r="R278" s="4">
        <v>18.97</v>
      </c>
      <c r="S278" s="4">
        <v>0</v>
      </c>
      <c r="T278" t="s">
        <v>34</v>
      </c>
      <c r="U278" s="4">
        <v>2.8</v>
      </c>
      <c r="V278" s="4">
        <v>1.9359999999999999</v>
      </c>
      <c r="W278" s="4">
        <v>18.97</v>
      </c>
    </row>
    <row r="279" spans="1:23" ht="15" customHeight="1" x14ac:dyDescent="0.25">
      <c r="A279">
        <v>1151</v>
      </c>
      <c r="B279" s="1">
        <v>45702.583333333343</v>
      </c>
      <c r="C279">
        <v>14</v>
      </c>
      <c r="D279" t="s">
        <v>58</v>
      </c>
      <c r="E279">
        <v>2</v>
      </c>
      <c r="F279" t="s">
        <v>32</v>
      </c>
      <c r="G279" t="s">
        <v>33</v>
      </c>
      <c r="H279" t="s">
        <v>51</v>
      </c>
      <c r="I279" t="s">
        <v>25</v>
      </c>
      <c r="J279" t="s">
        <v>15</v>
      </c>
      <c r="K279" s="2">
        <v>17400</v>
      </c>
      <c r="L279" s="3">
        <v>10.8</v>
      </c>
      <c r="M279" s="3">
        <v>81.8</v>
      </c>
      <c r="N279" s="3">
        <v>473.2</v>
      </c>
      <c r="O279" s="2">
        <v>1370</v>
      </c>
      <c r="P279">
        <v>1</v>
      </c>
      <c r="Q279" t="s">
        <v>17</v>
      </c>
      <c r="R279" s="4">
        <v>213.92</v>
      </c>
      <c r="S279" s="4">
        <v>57.26</v>
      </c>
      <c r="T279" t="s">
        <v>34</v>
      </c>
      <c r="U279" s="4">
        <v>23.77</v>
      </c>
      <c r="V279" s="4">
        <v>12.294</v>
      </c>
      <c r="W279" s="4">
        <v>156.66</v>
      </c>
    </row>
    <row r="280" spans="1:23" ht="15" customHeight="1" x14ac:dyDescent="0.25">
      <c r="A280">
        <v>47</v>
      </c>
      <c r="B280" s="1">
        <v>45702.583333333343</v>
      </c>
      <c r="C280">
        <v>14</v>
      </c>
      <c r="D280" t="s">
        <v>58</v>
      </c>
      <c r="E280">
        <v>2</v>
      </c>
      <c r="F280" t="s">
        <v>32</v>
      </c>
      <c r="G280" t="s">
        <v>33</v>
      </c>
      <c r="H280" t="s">
        <v>53</v>
      </c>
      <c r="I280" t="s">
        <v>19</v>
      </c>
      <c r="J280" t="s">
        <v>26</v>
      </c>
      <c r="K280" s="2">
        <v>12500</v>
      </c>
      <c r="L280" s="3">
        <v>12.4</v>
      </c>
      <c r="M280" s="3">
        <v>57.3</v>
      </c>
      <c r="N280" s="3">
        <v>465.3</v>
      </c>
      <c r="O280" s="2">
        <v>596</v>
      </c>
      <c r="P280">
        <v>1</v>
      </c>
      <c r="Q280" t="s">
        <v>17</v>
      </c>
      <c r="R280" s="4">
        <v>116.01</v>
      </c>
      <c r="S280" s="4">
        <v>76.62</v>
      </c>
      <c r="T280" t="s">
        <v>34</v>
      </c>
      <c r="U280" s="4">
        <v>5.95</v>
      </c>
      <c r="V280" s="4">
        <v>9.2810000000000006</v>
      </c>
      <c r="W280" s="4">
        <v>39.39</v>
      </c>
    </row>
    <row r="281" spans="1:23" ht="15" customHeight="1" x14ac:dyDescent="0.25">
      <c r="A281">
        <v>783</v>
      </c>
      <c r="B281" s="1">
        <v>45702.583333333343</v>
      </c>
      <c r="C281">
        <v>14</v>
      </c>
      <c r="D281" t="s">
        <v>58</v>
      </c>
      <c r="E281">
        <v>2</v>
      </c>
      <c r="F281" t="s">
        <v>32</v>
      </c>
      <c r="G281" t="s">
        <v>33</v>
      </c>
      <c r="H281" t="s">
        <v>50</v>
      </c>
      <c r="I281" t="s">
        <v>22</v>
      </c>
      <c r="J281" t="s">
        <v>12</v>
      </c>
      <c r="K281" s="2">
        <v>21000</v>
      </c>
      <c r="L281" s="3">
        <v>16.899999999999999</v>
      </c>
      <c r="M281" s="3">
        <v>67.7</v>
      </c>
      <c r="N281" s="3">
        <v>464.8</v>
      </c>
      <c r="O281" s="2">
        <v>367</v>
      </c>
      <c r="P281">
        <v>0</v>
      </c>
      <c r="Q281" t="s">
        <v>14</v>
      </c>
      <c r="R281" s="4">
        <v>183.98</v>
      </c>
      <c r="S281" s="4">
        <v>92.92</v>
      </c>
      <c r="T281" t="s">
        <v>34</v>
      </c>
      <c r="U281" s="4">
        <v>13.53</v>
      </c>
      <c r="V281" s="4">
        <v>8.7609999999999992</v>
      </c>
      <c r="W281" s="4">
        <v>91.06</v>
      </c>
    </row>
    <row r="282" spans="1:23" ht="15" customHeight="1" x14ac:dyDescent="0.25">
      <c r="A282">
        <v>1519</v>
      </c>
      <c r="B282" s="1">
        <v>45702.583333333343</v>
      </c>
      <c r="C282">
        <v>14</v>
      </c>
      <c r="D282" t="s">
        <v>58</v>
      </c>
      <c r="E282">
        <v>2</v>
      </c>
      <c r="F282" t="s">
        <v>32</v>
      </c>
      <c r="G282" t="s">
        <v>33</v>
      </c>
      <c r="H282" t="s">
        <v>49</v>
      </c>
      <c r="I282" t="s">
        <v>27</v>
      </c>
      <c r="J282" t="s">
        <v>18</v>
      </c>
      <c r="K282" s="2">
        <v>26000</v>
      </c>
      <c r="L282" s="3">
        <v>12.9</v>
      </c>
      <c r="M282" s="3">
        <v>74.5</v>
      </c>
      <c r="N282" s="3">
        <v>352.9</v>
      </c>
      <c r="O282" s="2">
        <v>179</v>
      </c>
      <c r="P282">
        <v>1</v>
      </c>
      <c r="Q282" t="s">
        <v>17</v>
      </c>
      <c r="R282" s="4">
        <v>164.31</v>
      </c>
      <c r="S282" s="4">
        <v>95.6</v>
      </c>
      <c r="T282" t="s">
        <v>34</v>
      </c>
      <c r="U282" s="4">
        <v>10.24</v>
      </c>
      <c r="V282" s="4">
        <v>6.32</v>
      </c>
      <c r="W282" s="4">
        <v>68.709999999999994</v>
      </c>
    </row>
    <row r="283" spans="1:23" ht="15" customHeight="1" x14ac:dyDescent="0.25">
      <c r="A283">
        <v>415</v>
      </c>
      <c r="B283" s="1">
        <v>45702.583333333343</v>
      </c>
      <c r="C283">
        <v>14</v>
      </c>
      <c r="D283" t="s">
        <v>58</v>
      </c>
      <c r="E283">
        <v>2</v>
      </c>
      <c r="F283" t="s">
        <v>32</v>
      </c>
      <c r="G283" t="s">
        <v>33</v>
      </c>
      <c r="H283" t="s">
        <v>54</v>
      </c>
      <c r="I283" t="s">
        <v>16</v>
      </c>
      <c r="J283" t="s">
        <v>24</v>
      </c>
      <c r="K283" s="2">
        <v>8600</v>
      </c>
      <c r="L283" s="3">
        <v>8</v>
      </c>
      <c r="M283" s="3">
        <v>99</v>
      </c>
      <c r="N283" s="3">
        <v>349.4</v>
      </c>
      <c r="O283" s="2"/>
      <c r="P283">
        <v>1</v>
      </c>
      <c r="Q283" t="s">
        <v>17</v>
      </c>
      <c r="R283" s="4">
        <v>89.04</v>
      </c>
      <c r="S283" s="4">
        <v>25.88</v>
      </c>
      <c r="T283" t="s">
        <v>34</v>
      </c>
      <c r="U283" s="4">
        <v>9.6300000000000008</v>
      </c>
      <c r="V283" s="4">
        <v>10.353</v>
      </c>
      <c r="W283" s="4">
        <v>63.16</v>
      </c>
    </row>
    <row r="284" spans="1:23" ht="15" customHeight="1" x14ac:dyDescent="0.25">
      <c r="A284">
        <v>48</v>
      </c>
      <c r="B284" s="1">
        <v>45702.833333333343</v>
      </c>
      <c r="C284">
        <v>20</v>
      </c>
      <c r="D284" t="s">
        <v>58</v>
      </c>
      <c r="E284">
        <v>2</v>
      </c>
      <c r="F284" t="s">
        <v>32</v>
      </c>
      <c r="G284" t="s">
        <v>33</v>
      </c>
      <c r="H284" t="s">
        <v>53</v>
      </c>
      <c r="I284" t="s">
        <v>19</v>
      </c>
      <c r="J284" t="s">
        <v>26</v>
      </c>
      <c r="K284" s="2">
        <v>12500</v>
      </c>
      <c r="L284" s="3">
        <v>6.2</v>
      </c>
      <c r="M284" s="3">
        <v>73.7</v>
      </c>
      <c r="N284" s="3">
        <v>0</v>
      </c>
      <c r="O284" s="2">
        <v>56</v>
      </c>
      <c r="P284">
        <v>1</v>
      </c>
      <c r="Q284" t="s">
        <v>17</v>
      </c>
      <c r="R284" s="4">
        <v>44.1</v>
      </c>
      <c r="S284" s="4">
        <v>0</v>
      </c>
      <c r="T284" t="s">
        <v>37</v>
      </c>
      <c r="U284" s="4">
        <v>10.17</v>
      </c>
      <c r="V284" s="4">
        <v>3.528</v>
      </c>
      <c r="W284" s="4">
        <v>44.1</v>
      </c>
    </row>
    <row r="285" spans="1:23" ht="15" customHeight="1" x14ac:dyDescent="0.25">
      <c r="A285">
        <v>1888</v>
      </c>
      <c r="B285" s="1">
        <v>45702.833333333343</v>
      </c>
      <c r="C285">
        <v>20</v>
      </c>
      <c r="D285" t="s">
        <v>58</v>
      </c>
      <c r="E285">
        <v>2</v>
      </c>
      <c r="F285" t="s">
        <v>32</v>
      </c>
      <c r="G285" t="s">
        <v>33</v>
      </c>
      <c r="H285" t="s">
        <v>52</v>
      </c>
      <c r="I285" t="s">
        <v>13</v>
      </c>
      <c r="J285" t="s">
        <v>21</v>
      </c>
      <c r="K285" s="2">
        <v>9800</v>
      </c>
      <c r="L285" s="3">
        <v>7.8</v>
      </c>
      <c r="M285" s="3">
        <v>90.9</v>
      </c>
      <c r="N285" s="3"/>
      <c r="O285" s="2">
        <v>322</v>
      </c>
      <c r="P285">
        <v>1</v>
      </c>
      <c r="Q285" t="s">
        <v>17</v>
      </c>
      <c r="R285" s="4">
        <v>111.54</v>
      </c>
      <c r="S285" s="4">
        <v>0</v>
      </c>
      <c r="T285" t="s">
        <v>37</v>
      </c>
      <c r="U285" s="4">
        <v>25.74</v>
      </c>
      <c r="V285" s="4">
        <v>11.382</v>
      </c>
      <c r="W285" s="4">
        <v>111.54</v>
      </c>
    </row>
    <row r="286" spans="1:23" ht="15" customHeight="1" x14ac:dyDescent="0.25">
      <c r="A286">
        <v>416</v>
      </c>
      <c r="B286" s="1">
        <v>45702.833333333343</v>
      </c>
      <c r="C286">
        <v>20</v>
      </c>
      <c r="D286" t="s">
        <v>58</v>
      </c>
      <c r="E286">
        <v>2</v>
      </c>
      <c r="F286" t="s">
        <v>32</v>
      </c>
      <c r="G286" t="s">
        <v>33</v>
      </c>
      <c r="H286" t="s">
        <v>54</v>
      </c>
      <c r="I286" t="s">
        <v>16</v>
      </c>
      <c r="J286" t="s">
        <v>24</v>
      </c>
      <c r="K286" s="2">
        <v>8600</v>
      </c>
      <c r="L286" s="3">
        <v>7.6</v>
      </c>
      <c r="M286" s="3">
        <v>95.5</v>
      </c>
      <c r="N286" s="3">
        <v>0</v>
      </c>
      <c r="O286" s="2">
        <v>102</v>
      </c>
      <c r="P286">
        <v>1</v>
      </c>
      <c r="Q286" t="s">
        <v>17</v>
      </c>
      <c r="R286" s="4">
        <v>28.65</v>
      </c>
      <c r="S286" s="4">
        <v>0</v>
      </c>
      <c r="T286" t="s">
        <v>37</v>
      </c>
      <c r="U286" s="4">
        <v>6.32</v>
      </c>
      <c r="V286" s="4">
        <v>3.331</v>
      </c>
      <c r="W286" s="4">
        <v>28.65</v>
      </c>
    </row>
    <row r="287" spans="1:23" ht="15" customHeight="1" x14ac:dyDescent="0.25">
      <c r="A287">
        <v>784</v>
      </c>
      <c r="B287" s="1">
        <v>45702.833333333343</v>
      </c>
      <c r="C287">
        <v>20</v>
      </c>
      <c r="D287" t="s">
        <v>58</v>
      </c>
      <c r="E287">
        <v>2</v>
      </c>
      <c r="F287" t="s">
        <v>32</v>
      </c>
      <c r="G287" t="s">
        <v>33</v>
      </c>
      <c r="H287" t="s">
        <v>50</v>
      </c>
      <c r="I287" t="s">
        <v>22</v>
      </c>
      <c r="J287" t="s">
        <v>12</v>
      </c>
      <c r="K287" s="2">
        <v>21000</v>
      </c>
      <c r="L287" s="3">
        <v>11.5</v>
      </c>
      <c r="M287" s="3">
        <v>74.5</v>
      </c>
      <c r="N287" s="3">
        <v>0</v>
      </c>
      <c r="O287" s="2">
        <v>420</v>
      </c>
      <c r="P287">
        <v>1</v>
      </c>
      <c r="Q287" t="s">
        <v>17</v>
      </c>
      <c r="R287" s="4">
        <v>299.13</v>
      </c>
      <c r="S287" s="4">
        <v>0</v>
      </c>
      <c r="T287" t="s">
        <v>37</v>
      </c>
      <c r="U287" s="4">
        <v>68.44</v>
      </c>
      <c r="V287" s="4">
        <v>14.244</v>
      </c>
      <c r="W287" s="4">
        <v>299.13</v>
      </c>
    </row>
    <row r="288" spans="1:23" ht="15" customHeight="1" x14ac:dyDescent="0.25">
      <c r="A288">
        <v>1520</v>
      </c>
      <c r="B288" s="1">
        <v>45702.833333333343</v>
      </c>
      <c r="C288">
        <v>20</v>
      </c>
      <c r="D288" t="s">
        <v>58</v>
      </c>
      <c r="E288">
        <v>2</v>
      </c>
      <c r="F288" t="s">
        <v>32</v>
      </c>
      <c r="G288" t="s">
        <v>33</v>
      </c>
      <c r="H288" t="s">
        <v>49</v>
      </c>
      <c r="I288" t="s">
        <v>27</v>
      </c>
      <c r="J288" t="s">
        <v>18</v>
      </c>
      <c r="K288" s="2">
        <v>26000</v>
      </c>
      <c r="L288" s="3">
        <v>5.8</v>
      </c>
      <c r="M288" s="3">
        <v>82.3</v>
      </c>
      <c r="N288" s="3">
        <v>0</v>
      </c>
      <c r="O288" s="2">
        <v>163</v>
      </c>
      <c r="P288">
        <v>1</v>
      </c>
      <c r="Q288" t="s">
        <v>17</v>
      </c>
      <c r="R288" s="4">
        <v>253.13</v>
      </c>
      <c r="S288" s="4">
        <v>0</v>
      </c>
      <c r="T288" t="s">
        <v>37</v>
      </c>
      <c r="U288" s="4">
        <v>58.35</v>
      </c>
      <c r="V288" s="4">
        <v>9.7360000000000007</v>
      </c>
      <c r="W288" s="4">
        <v>253.13</v>
      </c>
    </row>
    <row r="289" spans="1:23" ht="15" customHeight="1" x14ac:dyDescent="0.25">
      <c r="A289">
        <v>1152</v>
      </c>
      <c r="B289" s="1">
        <v>45702.833333333343</v>
      </c>
      <c r="C289">
        <v>20</v>
      </c>
      <c r="D289" t="s">
        <v>58</v>
      </c>
      <c r="E289">
        <v>2</v>
      </c>
      <c r="F289" t="s">
        <v>32</v>
      </c>
      <c r="G289" t="s">
        <v>33</v>
      </c>
      <c r="H289" t="s">
        <v>51</v>
      </c>
      <c r="I289" t="s">
        <v>25</v>
      </c>
      <c r="J289" t="s">
        <v>15</v>
      </c>
      <c r="K289" s="2">
        <v>17400</v>
      </c>
      <c r="L289" s="3">
        <v>14.1</v>
      </c>
      <c r="M289" s="3">
        <v>84.8</v>
      </c>
      <c r="N289" s="3">
        <v>0</v>
      </c>
      <c r="O289" s="2">
        <v>1241</v>
      </c>
      <c r="P289">
        <v>1</v>
      </c>
      <c r="Q289" t="s">
        <v>17</v>
      </c>
      <c r="R289" s="4">
        <v>259.41000000000003</v>
      </c>
      <c r="S289" s="4">
        <v>0</v>
      </c>
      <c r="T289" t="s">
        <v>37</v>
      </c>
      <c r="U289" s="4">
        <v>59.72</v>
      </c>
      <c r="V289" s="4">
        <v>14.909000000000001</v>
      </c>
      <c r="W289" s="4">
        <v>259.41000000000003</v>
      </c>
    </row>
    <row r="290" spans="1:23" ht="15" customHeight="1" x14ac:dyDescent="0.25">
      <c r="A290">
        <v>417</v>
      </c>
      <c r="B290" s="1">
        <v>45706</v>
      </c>
      <c r="C290">
        <v>0</v>
      </c>
      <c r="D290" t="s">
        <v>59</v>
      </c>
      <c r="E290">
        <v>2</v>
      </c>
      <c r="F290" t="s">
        <v>32</v>
      </c>
      <c r="G290" t="s">
        <v>33</v>
      </c>
      <c r="H290" t="s">
        <v>54</v>
      </c>
      <c r="I290" t="s">
        <v>16</v>
      </c>
      <c r="J290" t="s">
        <v>24</v>
      </c>
      <c r="K290" s="2">
        <v>8600</v>
      </c>
      <c r="L290" s="3">
        <v>4.2</v>
      </c>
      <c r="M290" s="3">
        <v>92.5</v>
      </c>
      <c r="N290" s="3">
        <v>0</v>
      </c>
      <c r="O290" s="2">
        <v>139</v>
      </c>
      <c r="P290">
        <v>1</v>
      </c>
      <c r="Q290" t="s">
        <v>17</v>
      </c>
      <c r="R290" s="4">
        <v>32.950000000000003</v>
      </c>
      <c r="S290" s="4">
        <v>0</v>
      </c>
      <c r="T290" t="s">
        <v>31</v>
      </c>
      <c r="U290" s="4">
        <v>3.14</v>
      </c>
      <c r="V290" s="4">
        <v>3.831</v>
      </c>
      <c r="W290" s="4">
        <v>32.950000000000003</v>
      </c>
    </row>
    <row r="291" spans="1:23" ht="15" customHeight="1" x14ac:dyDescent="0.25">
      <c r="A291">
        <v>785</v>
      </c>
      <c r="B291" s="1">
        <v>45706</v>
      </c>
      <c r="C291">
        <v>0</v>
      </c>
      <c r="D291" t="s">
        <v>59</v>
      </c>
      <c r="E291">
        <v>2</v>
      </c>
      <c r="F291" t="s">
        <v>32</v>
      </c>
      <c r="G291" t="s">
        <v>33</v>
      </c>
      <c r="H291" t="s">
        <v>50</v>
      </c>
      <c r="I291" t="s">
        <v>22</v>
      </c>
      <c r="J291" t="s">
        <v>12</v>
      </c>
      <c r="K291" s="2">
        <v>21000</v>
      </c>
      <c r="L291" s="3">
        <v>7.3</v>
      </c>
      <c r="M291" s="3">
        <v>77.2</v>
      </c>
      <c r="N291" s="3">
        <v>0</v>
      </c>
      <c r="O291" s="2">
        <v>208</v>
      </c>
      <c r="P291">
        <v>1</v>
      </c>
      <c r="Q291" t="s">
        <v>17</v>
      </c>
      <c r="R291" s="4">
        <v>198.03</v>
      </c>
      <c r="S291" s="4">
        <v>0</v>
      </c>
      <c r="T291" t="s">
        <v>31</v>
      </c>
      <c r="U291" s="4">
        <v>18.399999999999999</v>
      </c>
      <c r="V291" s="4">
        <v>9.43</v>
      </c>
      <c r="W291" s="4">
        <v>198.03</v>
      </c>
    </row>
    <row r="292" spans="1:23" ht="15" customHeight="1" x14ac:dyDescent="0.25">
      <c r="A292">
        <v>1153</v>
      </c>
      <c r="B292" s="1">
        <v>45706</v>
      </c>
      <c r="C292">
        <v>0</v>
      </c>
      <c r="D292" t="s">
        <v>59</v>
      </c>
      <c r="E292">
        <v>2</v>
      </c>
      <c r="F292" t="s">
        <v>32</v>
      </c>
      <c r="G292" t="s">
        <v>33</v>
      </c>
      <c r="H292" t="s">
        <v>51</v>
      </c>
      <c r="I292" t="s">
        <v>25</v>
      </c>
      <c r="J292" t="s">
        <v>15</v>
      </c>
      <c r="K292" s="2">
        <v>17400</v>
      </c>
      <c r="L292" s="3">
        <v>7.2</v>
      </c>
      <c r="M292" s="3">
        <v>89.7</v>
      </c>
      <c r="N292" s="3">
        <v>0</v>
      </c>
      <c r="O292" s="2">
        <v>133</v>
      </c>
      <c r="P292">
        <v>0</v>
      </c>
      <c r="Q292" t="s">
        <v>14</v>
      </c>
      <c r="R292" s="4">
        <v>54.08</v>
      </c>
      <c r="S292" s="4">
        <v>0</v>
      </c>
      <c r="T292" t="s">
        <v>31</v>
      </c>
      <c r="U292" s="4">
        <v>4.88</v>
      </c>
      <c r="V292" s="4">
        <v>3.1080000000000001</v>
      </c>
      <c r="W292" s="4">
        <v>54.08</v>
      </c>
    </row>
    <row r="293" spans="1:23" ht="15" customHeight="1" x14ac:dyDescent="0.25">
      <c r="A293">
        <v>1889</v>
      </c>
      <c r="B293" s="1">
        <v>45706</v>
      </c>
      <c r="C293">
        <v>0</v>
      </c>
      <c r="D293" t="s">
        <v>59</v>
      </c>
      <c r="E293">
        <v>2</v>
      </c>
      <c r="F293" t="s">
        <v>32</v>
      </c>
      <c r="G293" t="s">
        <v>33</v>
      </c>
      <c r="H293" t="s">
        <v>52</v>
      </c>
      <c r="I293" t="s">
        <v>13</v>
      </c>
      <c r="J293" t="s">
        <v>21</v>
      </c>
      <c r="K293" s="2">
        <v>9800</v>
      </c>
      <c r="L293" s="3">
        <v>6.1</v>
      </c>
      <c r="M293" s="3">
        <v>87.6</v>
      </c>
      <c r="N293" s="3">
        <v>0</v>
      </c>
      <c r="O293" s="2">
        <v>301</v>
      </c>
      <c r="P293">
        <v>1</v>
      </c>
      <c r="Q293" t="s">
        <v>17</v>
      </c>
      <c r="R293" s="4">
        <v>97.35</v>
      </c>
      <c r="S293" s="4">
        <v>0</v>
      </c>
      <c r="T293" t="s">
        <v>31</v>
      </c>
      <c r="U293" s="4">
        <v>9.1199999999999992</v>
      </c>
      <c r="V293" s="4">
        <v>9.9339999999999993</v>
      </c>
      <c r="W293" s="4">
        <v>97.35</v>
      </c>
    </row>
    <row r="294" spans="1:23" ht="15" customHeight="1" x14ac:dyDescent="0.25">
      <c r="A294">
        <v>49</v>
      </c>
      <c r="B294" s="1">
        <v>45706</v>
      </c>
      <c r="C294">
        <v>0</v>
      </c>
      <c r="D294" t="s">
        <v>59</v>
      </c>
      <c r="E294">
        <v>2</v>
      </c>
      <c r="F294" t="s">
        <v>32</v>
      </c>
      <c r="G294" t="s">
        <v>33</v>
      </c>
      <c r="H294" t="s">
        <v>53</v>
      </c>
      <c r="I294" t="s">
        <v>19</v>
      </c>
      <c r="J294" t="s">
        <v>26</v>
      </c>
      <c r="K294" s="2">
        <v>12500</v>
      </c>
      <c r="L294" s="3">
        <v>3.1</v>
      </c>
      <c r="M294" s="3">
        <v>65.8</v>
      </c>
      <c r="N294" s="3">
        <v>0</v>
      </c>
      <c r="O294" s="2">
        <v>1</v>
      </c>
      <c r="P294">
        <v>0</v>
      </c>
      <c r="Q294" t="s">
        <v>14</v>
      </c>
      <c r="R294" s="4">
        <v>22.89</v>
      </c>
      <c r="S294" s="4">
        <v>0</v>
      </c>
      <c r="T294" t="s">
        <v>31</v>
      </c>
      <c r="U294" s="4">
        <v>2.0299999999999998</v>
      </c>
      <c r="V294" s="4">
        <v>1.831</v>
      </c>
      <c r="W294" s="4">
        <v>22.89</v>
      </c>
    </row>
    <row r="295" spans="1:23" ht="15" customHeight="1" x14ac:dyDescent="0.25">
      <c r="A295">
        <v>1521</v>
      </c>
      <c r="B295" s="1">
        <v>45706</v>
      </c>
      <c r="C295">
        <v>0</v>
      </c>
      <c r="D295" t="s">
        <v>59</v>
      </c>
      <c r="E295">
        <v>2</v>
      </c>
      <c r="F295" t="s">
        <v>32</v>
      </c>
      <c r="G295" t="s">
        <v>33</v>
      </c>
      <c r="H295" t="s">
        <v>49</v>
      </c>
      <c r="I295" t="s">
        <v>27</v>
      </c>
      <c r="J295" t="s">
        <v>18</v>
      </c>
      <c r="K295" s="2">
        <v>26000</v>
      </c>
      <c r="L295" s="3">
        <v>3.1</v>
      </c>
      <c r="M295" s="3">
        <v>80.8</v>
      </c>
      <c r="N295" s="3">
        <v>0</v>
      </c>
      <c r="O295" s="2">
        <v>60</v>
      </c>
      <c r="P295">
        <v>1</v>
      </c>
      <c r="Q295" t="s">
        <v>17</v>
      </c>
      <c r="R295" s="4">
        <v>132.47</v>
      </c>
      <c r="S295" s="4">
        <v>0</v>
      </c>
      <c r="T295" t="s">
        <v>31</v>
      </c>
      <c r="U295" s="4">
        <v>11.9</v>
      </c>
      <c r="V295" s="4">
        <v>5.0949999999999998</v>
      </c>
      <c r="W295" s="4">
        <v>132.47</v>
      </c>
    </row>
    <row r="296" spans="1:23" ht="15" customHeight="1" x14ac:dyDescent="0.25">
      <c r="A296">
        <v>786</v>
      </c>
      <c r="B296" s="1">
        <v>45706.333333333343</v>
      </c>
      <c r="C296">
        <v>8</v>
      </c>
      <c r="D296" t="s">
        <v>59</v>
      </c>
      <c r="E296">
        <v>2</v>
      </c>
      <c r="F296" t="s">
        <v>32</v>
      </c>
      <c r="G296" t="s">
        <v>33</v>
      </c>
      <c r="H296" t="s">
        <v>50</v>
      </c>
      <c r="I296" t="s">
        <v>22</v>
      </c>
      <c r="J296" t="s">
        <v>12</v>
      </c>
      <c r="K296" s="2">
        <v>21000</v>
      </c>
      <c r="L296" s="3">
        <v>10.5</v>
      </c>
      <c r="M296" s="3">
        <v>63.2</v>
      </c>
      <c r="N296" s="3">
        <v>19.7</v>
      </c>
      <c r="O296" s="2">
        <v>427</v>
      </c>
      <c r="P296">
        <v>1</v>
      </c>
      <c r="Q296" t="s">
        <v>17</v>
      </c>
      <c r="R296" s="4">
        <v>286.2</v>
      </c>
      <c r="S296" s="4">
        <v>3.89</v>
      </c>
      <c r="T296" t="s">
        <v>34</v>
      </c>
      <c r="U296" s="4">
        <v>40.68</v>
      </c>
      <c r="V296" s="4">
        <v>13.629</v>
      </c>
      <c r="W296" s="4">
        <v>282.31</v>
      </c>
    </row>
    <row r="297" spans="1:23" ht="15" customHeight="1" x14ac:dyDescent="0.25">
      <c r="A297">
        <v>50</v>
      </c>
      <c r="B297" s="1">
        <v>45706.333333333343</v>
      </c>
      <c r="C297">
        <v>8</v>
      </c>
      <c r="D297" t="s">
        <v>59</v>
      </c>
      <c r="E297">
        <v>2</v>
      </c>
      <c r="F297" t="s">
        <v>32</v>
      </c>
      <c r="G297" t="s">
        <v>33</v>
      </c>
      <c r="H297" t="s">
        <v>53</v>
      </c>
      <c r="I297" t="s">
        <v>19</v>
      </c>
      <c r="J297" t="s">
        <v>26</v>
      </c>
      <c r="K297" s="2">
        <v>12500</v>
      </c>
      <c r="L297" s="3">
        <v>2.5</v>
      </c>
      <c r="M297" s="3">
        <v>86.5</v>
      </c>
      <c r="N297" s="3">
        <v>35.299999999999997</v>
      </c>
      <c r="O297" s="2">
        <v>324</v>
      </c>
      <c r="P297">
        <v>1</v>
      </c>
      <c r="Q297" t="s">
        <v>17</v>
      </c>
      <c r="R297" s="4">
        <v>105.43</v>
      </c>
      <c r="S297" s="4">
        <v>4.68</v>
      </c>
      <c r="T297" t="s">
        <v>34</v>
      </c>
      <c r="U297" s="4">
        <v>14.77</v>
      </c>
      <c r="V297" s="4">
        <v>8.4339999999999993</v>
      </c>
      <c r="W297" s="4">
        <v>100.75</v>
      </c>
    </row>
    <row r="298" spans="1:23" ht="15" customHeight="1" x14ac:dyDescent="0.25">
      <c r="A298">
        <v>1522</v>
      </c>
      <c r="B298" s="1">
        <v>45706.333333333343</v>
      </c>
      <c r="C298">
        <v>8</v>
      </c>
      <c r="D298" t="s">
        <v>59</v>
      </c>
      <c r="E298">
        <v>2</v>
      </c>
      <c r="F298" t="s">
        <v>32</v>
      </c>
      <c r="G298" t="s">
        <v>33</v>
      </c>
      <c r="H298" t="s">
        <v>49</v>
      </c>
      <c r="I298" t="s">
        <v>27</v>
      </c>
      <c r="J298" t="s">
        <v>18</v>
      </c>
      <c r="K298" s="2">
        <v>26000</v>
      </c>
      <c r="L298" s="3">
        <v>3.3</v>
      </c>
      <c r="M298" s="3">
        <v>75</v>
      </c>
      <c r="N298" s="3">
        <v>76.8</v>
      </c>
      <c r="O298" s="2">
        <v>165</v>
      </c>
      <c r="P298">
        <v>1</v>
      </c>
      <c r="Q298" t="s">
        <v>17</v>
      </c>
      <c r="R298" s="4">
        <v>287.81</v>
      </c>
      <c r="S298" s="4">
        <v>22.14</v>
      </c>
      <c r="T298" t="s">
        <v>34</v>
      </c>
      <c r="U298" s="4">
        <v>37.99</v>
      </c>
      <c r="V298" s="4">
        <v>11.07</v>
      </c>
      <c r="W298" s="4">
        <v>265.67</v>
      </c>
    </row>
    <row r="299" spans="1:23" ht="15" customHeight="1" x14ac:dyDescent="0.25">
      <c r="A299">
        <v>1154</v>
      </c>
      <c r="B299" s="1">
        <v>45706.333333333343</v>
      </c>
      <c r="C299">
        <v>8</v>
      </c>
      <c r="D299" t="s">
        <v>59</v>
      </c>
      <c r="E299">
        <v>2</v>
      </c>
      <c r="F299" t="s">
        <v>32</v>
      </c>
      <c r="G299" t="s">
        <v>33</v>
      </c>
      <c r="H299" t="s">
        <v>51</v>
      </c>
      <c r="I299" t="s">
        <v>25</v>
      </c>
      <c r="J299" t="s">
        <v>15</v>
      </c>
      <c r="K299" s="2">
        <v>17400</v>
      </c>
      <c r="L299" s="3">
        <v>12.6</v>
      </c>
      <c r="M299" s="3">
        <v>83.5</v>
      </c>
      <c r="N299" s="3">
        <v>45.3</v>
      </c>
      <c r="O299" s="2">
        <v>48</v>
      </c>
      <c r="P299">
        <v>0</v>
      </c>
      <c r="Q299" t="s">
        <v>14</v>
      </c>
      <c r="R299" s="4">
        <v>51.1</v>
      </c>
      <c r="S299" s="4">
        <v>5.28</v>
      </c>
      <c r="T299" t="s">
        <v>34</v>
      </c>
      <c r="U299" s="4">
        <v>6.93</v>
      </c>
      <c r="V299" s="4">
        <v>2.9369999999999998</v>
      </c>
      <c r="W299" s="4">
        <v>45.82</v>
      </c>
    </row>
    <row r="300" spans="1:23" ht="15" customHeight="1" x14ac:dyDescent="0.25">
      <c r="A300">
        <v>418</v>
      </c>
      <c r="B300" s="1">
        <v>45706.333333333343</v>
      </c>
      <c r="C300">
        <v>8</v>
      </c>
      <c r="D300" t="s">
        <v>59</v>
      </c>
      <c r="E300">
        <v>2</v>
      </c>
      <c r="F300" t="s">
        <v>32</v>
      </c>
      <c r="G300" t="s">
        <v>33</v>
      </c>
      <c r="H300" t="s">
        <v>54</v>
      </c>
      <c r="I300" t="s">
        <v>16</v>
      </c>
      <c r="J300" t="s">
        <v>24</v>
      </c>
      <c r="K300" s="2">
        <v>8600</v>
      </c>
      <c r="L300" s="3">
        <v>6.3</v>
      </c>
      <c r="M300" s="3">
        <v>98.8</v>
      </c>
      <c r="N300" s="3">
        <v>48.7</v>
      </c>
      <c r="O300" s="2">
        <v>861</v>
      </c>
      <c r="P300">
        <v>1</v>
      </c>
      <c r="Q300" t="s">
        <v>17</v>
      </c>
      <c r="R300" s="4">
        <v>121.69</v>
      </c>
      <c r="S300" s="4">
        <v>3.84</v>
      </c>
      <c r="T300" t="s">
        <v>34</v>
      </c>
      <c r="U300" s="4">
        <v>17.16</v>
      </c>
      <c r="V300" s="4">
        <v>14.15</v>
      </c>
      <c r="W300" s="4">
        <v>117.85</v>
      </c>
    </row>
    <row r="301" spans="1:23" ht="15" customHeight="1" x14ac:dyDescent="0.25">
      <c r="A301">
        <v>1890</v>
      </c>
      <c r="B301" s="1">
        <v>45706.333333333343</v>
      </c>
      <c r="C301">
        <v>8</v>
      </c>
      <c r="D301" t="s">
        <v>59</v>
      </c>
      <c r="E301">
        <v>2</v>
      </c>
      <c r="F301" t="s">
        <v>32</v>
      </c>
      <c r="G301" t="s">
        <v>33</v>
      </c>
      <c r="H301" t="s">
        <v>52</v>
      </c>
      <c r="I301" t="s">
        <v>13</v>
      </c>
      <c r="J301" t="s">
        <v>21</v>
      </c>
      <c r="K301" s="2">
        <v>9800</v>
      </c>
      <c r="L301" s="3">
        <v>7.6</v>
      </c>
      <c r="M301" s="3">
        <v>93.1</v>
      </c>
      <c r="N301" s="3">
        <v>58.4</v>
      </c>
      <c r="O301" s="2">
        <v>67</v>
      </c>
      <c r="P301">
        <v>1</v>
      </c>
      <c r="Q301" t="s">
        <v>17</v>
      </c>
      <c r="R301" s="4">
        <v>35.380000000000003</v>
      </c>
      <c r="S301" s="4">
        <v>0</v>
      </c>
      <c r="T301" t="s">
        <v>34</v>
      </c>
      <c r="U301" s="4">
        <v>5</v>
      </c>
      <c r="V301" s="4">
        <v>3.61</v>
      </c>
      <c r="W301" s="4">
        <v>35.380000000000003</v>
      </c>
    </row>
    <row r="302" spans="1:23" ht="15" customHeight="1" x14ac:dyDescent="0.25">
      <c r="A302">
        <v>51</v>
      </c>
      <c r="B302" s="1">
        <v>45706.583333333343</v>
      </c>
      <c r="C302">
        <v>14</v>
      </c>
      <c r="D302" t="s">
        <v>59</v>
      </c>
      <c r="E302">
        <v>2</v>
      </c>
      <c r="F302" t="s">
        <v>32</v>
      </c>
      <c r="G302" t="s">
        <v>33</v>
      </c>
      <c r="H302" t="s">
        <v>53</v>
      </c>
      <c r="I302" t="s">
        <v>19</v>
      </c>
      <c r="J302" t="s">
        <v>26</v>
      </c>
      <c r="K302" s="2">
        <v>12500</v>
      </c>
      <c r="L302" s="3">
        <v>13.4</v>
      </c>
      <c r="M302" s="3">
        <v>62</v>
      </c>
      <c r="N302" s="3">
        <v>507.4</v>
      </c>
      <c r="O302" s="2">
        <v>580</v>
      </c>
      <c r="P302">
        <v>1</v>
      </c>
      <c r="Q302" t="s">
        <v>17</v>
      </c>
      <c r="R302" s="4">
        <v>111.59</v>
      </c>
      <c r="S302" s="4">
        <v>79.05</v>
      </c>
      <c r="T302" t="s">
        <v>34</v>
      </c>
      <c r="U302" s="4">
        <v>4.9000000000000004</v>
      </c>
      <c r="V302" s="4">
        <v>8.9269999999999996</v>
      </c>
      <c r="W302" s="4">
        <v>32.54</v>
      </c>
    </row>
    <row r="303" spans="1:23" ht="15" customHeight="1" x14ac:dyDescent="0.25">
      <c r="A303">
        <v>787</v>
      </c>
      <c r="B303" s="1">
        <v>45706.583333333343</v>
      </c>
      <c r="C303">
        <v>14</v>
      </c>
      <c r="D303" t="s">
        <v>59</v>
      </c>
      <c r="E303">
        <v>2</v>
      </c>
      <c r="F303" t="s">
        <v>32</v>
      </c>
      <c r="G303" t="s">
        <v>33</v>
      </c>
      <c r="H303" t="s">
        <v>50</v>
      </c>
      <c r="I303" t="s">
        <v>22</v>
      </c>
      <c r="J303" t="s">
        <v>12</v>
      </c>
      <c r="K303" s="2">
        <v>21000</v>
      </c>
      <c r="L303" s="3">
        <v>17.600000000000001</v>
      </c>
      <c r="M303" s="3">
        <v>77.900000000000006</v>
      </c>
      <c r="N303" s="3">
        <v>386</v>
      </c>
      <c r="O303" s="2">
        <v>414</v>
      </c>
      <c r="P303">
        <v>0</v>
      </c>
      <c r="Q303" t="s">
        <v>14</v>
      </c>
      <c r="R303" s="4">
        <v>194.88</v>
      </c>
      <c r="S303" s="4">
        <v>77.19</v>
      </c>
      <c r="T303" t="s">
        <v>34</v>
      </c>
      <c r="U303" s="4">
        <v>17.45</v>
      </c>
      <c r="V303" s="4">
        <v>9.2799999999999994</v>
      </c>
      <c r="W303" s="4">
        <v>117.69</v>
      </c>
    </row>
    <row r="304" spans="1:23" ht="15" customHeight="1" x14ac:dyDescent="0.25">
      <c r="A304">
        <v>1523</v>
      </c>
      <c r="B304" s="1">
        <v>45706.583333333343</v>
      </c>
      <c r="C304">
        <v>14</v>
      </c>
      <c r="D304" t="s">
        <v>59</v>
      </c>
      <c r="E304">
        <v>2</v>
      </c>
      <c r="F304" t="s">
        <v>32</v>
      </c>
      <c r="G304" t="s">
        <v>33</v>
      </c>
      <c r="H304" t="s">
        <v>49</v>
      </c>
      <c r="I304" t="s">
        <v>27</v>
      </c>
      <c r="J304" t="s">
        <v>18</v>
      </c>
      <c r="K304" s="2">
        <v>26000</v>
      </c>
      <c r="L304" s="3">
        <v>13.7</v>
      </c>
      <c r="M304" s="3">
        <v>64.3</v>
      </c>
      <c r="N304" s="3">
        <v>378</v>
      </c>
      <c r="O304" s="2">
        <v>179</v>
      </c>
      <c r="P304">
        <v>1</v>
      </c>
      <c r="Q304" t="s">
        <v>17</v>
      </c>
      <c r="R304" s="4">
        <v>158.9</v>
      </c>
      <c r="S304" s="4">
        <v>110.86</v>
      </c>
      <c r="T304" t="s">
        <v>34</v>
      </c>
      <c r="U304" s="4">
        <v>7.21</v>
      </c>
      <c r="V304" s="4">
        <v>6.1120000000000001</v>
      </c>
      <c r="W304" s="4">
        <v>48.04</v>
      </c>
    </row>
    <row r="305" spans="1:23" ht="15" customHeight="1" x14ac:dyDescent="0.25">
      <c r="A305">
        <v>1155</v>
      </c>
      <c r="B305" s="1">
        <v>45706.583333333343</v>
      </c>
      <c r="C305">
        <v>14</v>
      </c>
      <c r="D305" t="s">
        <v>59</v>
      </c>
      <c r="E305">
        <v>2</v>
      </c>
      <c r="F305" t="s">
        <v>32</v>
      </c>
      <c r="G305" t="s">
        <v>33</v>
      </c>
      <c r="H305" t="s">
        <v>51</v>
      </c>
      <c r="I305" t="s">
        <v>25</v>
      </c>
      <c r="J305" t="s">
        <v>15</v>
      </c>
      <c r="K305" s="2">
        <v>17400</v>
      </c>
      <c r="L305" s="3">
        <v>15.6</v>
      </c>
      <c r="M305" s="3">
        <v>76.2</v>
      </c>
      <c r="N305" s="3">
        <v>418</v>
      </c>
      <c r="O305" s="2">
        <v>1377</v>
      </c>
      <c r="P305">
        <v>1</v>
      </c>
      <c r="Q305" t="s">
        <v>23</v>
      </c>
      <c r="R305" s="4">
        <v>197.88</v>
      </c>
      <c r="S305" s="4">
        <v>51.46</v>
      </c>
      <c r="T305" t="s">
        <v>34</v>
      </c>
      <c r="U305" s="4">
        <v>21.32</v>
      </c>
      <c r="V305" s="4">
        <v>11.372</v>
      </c>
      <c r="W305" s="4">
        <v>146.41999999999999</v>
      </c>
    </row>
    <row r="306" spans="1:23" ht="15" customHeight="1" x14ac:dyDescent="0.25">
      <c r="A306">
        <v>419</v>
      </c>
      <c r="B306" s="1">
        <v>45706.583333333343</v>
      </c>
      <c r="C306">
        <v>14</v>
      </c>
      <c r="D306" t="s">
        <v>59</v>
      </c>
      <c r="E306">
        <v>2</v>
      </c>
      <c r="F306" t="s">
        <v>32</v>
      </c>
      <c r="G306" t="s">
        <v>33</v>
      </c>
      <c r="H306" t="s">
        <v>54</v>
      </c>
      <c r="I306" t="s">
        <v>16</v>
      </c>
      <c r="J306" t="s">
        <v>24</v>
      </c>
      <c r="K306" s="2">
        <v>8600</v>
      </c>
      <c r="L306" s="3">
        <v>11.1</v>
      </c>
      <c r="M306" s="3">
        <v>81.400000000000006</v>
      </c>
      <c r="N306" s="3">
        <v>390.5</v>
      </c>
      <c r="O306" s="2">
        <v>808</v>
      </c>
      <c r="P306">
        <v>1</v>
      </c>
      <c r="Q306" t="s">
        <v>17</v>
      </c>
      <c r="R306" s="4">
        <v>76.22</v>
      </c>
      <c r="S306" s="4">
        <v>28.04</v>
      </c>
      <c r="T306" t="s">
        <v>34</v>
      </c>
      <c r="U306" s="4">
        <v>7.24</v>
      </c>
      <c r="V306" s="4">
        <v>8.8629999999999995</v>
      </c>
      <c r="W306" s="4">
        <v>48.18</v>
      </c>
    </row>
    <row r="307" spans="1:23" ht="15" customHeight="1" x14ac:dyDescent="0.25">
      <c r="A307">
        <v>1891</v>
      </c>
      <c r="B307" s="1">
        <v>45706.583333333343</v>
      </c>
      <c r="C307">
        <v>14</v>
      </c>
      <c r="D307" t="s">
        <v>59</v>
      </c>
      <c r="E307">
        <v>2</v>
      </c>
      <c r="F307" t="s">
        <v>32</v>
      </c>
      <c r="G307" t="s">
        <v>33</v>
      </c>
      <c r="H307" t="s">
        <v>52</v>
      </c>
      <c r="I307" t="s">
        <v>13</v>
      </c>
      <c r="J307" t="s">
        <v>21</v>
      </c>
      <c r="K307" s="2">
        <v>9800</v>
      </c>
      <c r="L307" s="3">
        <v>13</v>
      </c>
      <c r="M307" s="3">
        <v>82</v>
      </c>
      <c r="N307" s="3">
        <v>452.9</v>
      </c>
      <c r="O307" s="2">
        <v>70</v>
      </c>
      <c r="P307">
        <v>1</v>
      </c>
      <c r="Q307" t="s">
        <v>17</v>
      </c>
      <c r="R307" s="4">
        <v>21.12</v>
      </c>
      <c r="S307" s="4">
        <v>0</v>
      </c>
      <c r="T307" t="s">
        <v>34</v>
      </c>
      <c r="U307" s="4">
        <v>3.13</v>
      </c>
      <c r="V307" s="4">
        <v>2.1549999999999998</v>
      </c>
      <c r="W307" s="4">
        <v>21.12</v>
      </c>
    </row>
    <row r="308" spans="1:23" ht="15" customHeight="1" x14ac:dyDescent="0.25">
      <c r="A308">
        <v>1156</v>
      </c>
      <c r="B308" s="1">
        <v>45706.833333333343</v>
      </c>
      <c r="C308">
        <v>20</v>
      </c>
      <c r="D308" t="s">
        <v>59</v>
      </c>
      <c r="E308">
        <v>2</v>
      </c>
      <c r="F308" t="s">
        <v>32</v>
      </c>
      <c r="G308" t="s">
        <v>33</v>
      </c>
      <c r="H308" t="s">
        <v>51</v>
      </c>
      <c r="I308" t="s">
        <v>25</v>
      </c>
      <c r="J308" t="s">
        <v>15</v>
      </c>
      <c r="K308" s="2">
        <v>17400</v>
      </c>
      <c r="L308" s="3">
        <v>12</v>
      </c>
      <c r="M308" s="3">
        <v>77.5</v>
      </c>
      <c r="N308" s="3">
        <v>0</v>
      </c>
      <c r="O308" s="2">
        <v>1355</v>
      </c>
      <c r="P308">
        <v>1</v>
      </c>
      <c r="Q308" t="s">
        <v>17</v>
      </c>
      <c r="R308" s="4">
        <v>280.14999999999998</v>
      </c>
      <c r="S308" s="4">
        <v>0</v>
      </c>
      <c r="T308" t="s">
        <v>37</v>
      </c>
      <c r="U308" s="4">
        <v>63.48</v>
      </c>
      <c r="V308" s="4">
        <v>16.100999999999999</v>
      </c>
      <c r="W308" s="4">
        <v>280.14999999999998</v>
      </c>
    </row>
    <row r="309" spans="1:23" ht="15" customHeight="1" x14ac:dyDescent="0.25">
      <c r="A309">
        <v>788</v>
      </c>
      <c r="B309" s="1">
        <v>45706.833333333343</v>
      </c>
      <c r="C309">
        <v>20</v>
      </c>
      <c r="D309" t="s">
        <v>59</v>
      </c>
      <c r="E309">
        <v>2</v>
      </c>
      <c r="F309" t="s">
        <v>32</v>
      </c>
      <c r="G309" t="s">
        <v>33</v>
      </c>
      <c r="H309" t="s">
        <v>50</v>
      </c>
      <c r="I309" t="s">
        <v>22</v>
      </c>
      <c r="J309" t="s">
        <v>12</v>
      </c>
      <c r="K309" s="2">
        <v>21000</v>
      </c>
      <c r="L309" s="3">
        <v>14.3</v>
      </c>
      <c r="M309" s="3">
        <v>71</v>
      </c>
      <c r="N309" s="3">
        <v>0</v>
      </c>
      <c r="O309" s="2">
        <v>390</v>
      </c>
      <c r="P309">
        <v>1</v>
      </c>
      <c r="Q309" t="s">
        <v>17</v>
      </c>
      <c r="R309" s="4">
        <v>282</v>
      </c>
      <c r="S309" s="4">
        <v>0</v>
      </c>
      <c r="T309" t="s">
        <v>37</v>
      </c>
      <c r="U309" s="4">
        <v>63.73</v>
      </c>
      <c r="V309" s="4">
        <v>13.429</v>
      </c>
      <c r="W309" s="4">
        <v>282</v>
      </c>
    </row>
    <row r="310" spans="1:23" ht="15" customHeight="1" x14ac:dyDescent="0.25">
      <c r="A310">
        <v>52</v>
      </c>
      <c r="B310" s="1">
        <v>45706.833333333343</v>
      </c>
      <c r="C310">
        <v>20</v>
      </c>
      <c r="D310" t="s">
        <v>59</v>
      </c>
      <c r="E310">
        <v>2</v>
      </c>
      <c r="F310" t="s">
        <v>32</v>
      </c>
      <c r="G310" t="s">
        <v>33</v>
      </c>
      <c r="H310" t="s">
        <v>53</v>
      </c>
      <c r="I310" t="s">
        <v>19</v>
      </c>
      <c r="J310" t="s">
        <v>26</v>
      </c>
      <c r="K310" s="2">
        <v>12500</v>
      </c>
      <c r="L310" s="3">
        <v>8.1</v>
      </c>
      <c r="M310" s="3">
        <v>71.5</v>
      </c>
      <c r="N310" s="3">
        <v>0</v>
      </c>
      <c r="O310" s="2">
        <v>68</v>
      </c>
      <c r="P310">
        <v>1</v>
      </c>
      <c r="Q310" t="s">
        <v>17</v>
      </c>
      <c r="R310" s="4">
        <v>41.94</v>
      </c>
      <c r="S310" s="4">
        <v>0</v>
      </c>
      <c r="T310" t="s">
        <v>37</v>
      </c>
      <c r="U310" s="4">
        <v>9.3699999999999992</v>
      </c>
      <c r="V310" s="4">
        <v>3.355</v>
      </c>
      <c r="W310" s="4">
        <v>41.94</v>
      </c>
    </row>
    <row r="311" spans="1:23" ht="15" customHeight="1" x14ac:dyDescent="0.25">
      <c r="A311">
        <v>420</v>
      </c>
      <c r="B311" s="1">
        <v>45706.833333333343</v>
      </c>
      <c r="C311">
        <v>20</v>
      </c>
      <c r="D311" t="s">
        <v>59</v>
      </c>
      <c r="E311">
        <v>2</v>
      </c>
      <c r="F311" t="s">
        <v>32</v>
      </c>
      <c r="G311" t="s">
        <v>33</v>
      </c>
      <c r="H311" t="s">
        <v>54</v>
      </c>
      <c r="I311" t="s">
        <v>16</v>
      </c>
      <c r="J311" t="s">
        <v>24</v>
      </c>
      <c r="K311" s="2">
        <v>8600</v>
      </c>
      <c r="L311" s="3">
        <v>10.4</v>
      </c>
      <c r="M311" s="3">
        <v>79.599999999999994</v>
      </c>
      <c r="N311" s="3">
        <v>0</v>
      </c>
      <c r="O311" s="2">
        <v>82</v>
      </c>
      <c r="P311">
        <v>1</v>
      </c>
      <c r="Q311" t="s">
        <v>17</v>
      </c>
      <c r="R311" s="4">
        <v>27.68</v>
      </c>
      <c r="S311" s="4">
        <v>0</v>
      </c>
      <c r="T311" t="s">
        <v>37</v>
      </c>
      <c r="U311" s="4">
        <v>6.59</v>
      </c>
      <c r="V311" s="4">
        <v>3.2189999999999999</v>
      </c>
      <c r="W311" s="4">
        <v>27.68</v>
      </c>
    </row>
    <row r="312" spans="1:23" ht="15" customHeight="1" x14ac:dyDescent="0.25">
      <c r="A312">
        <v>1892</v>
      </c>
      <c r="B312" s="1">
        <v>45706.833333333343</v>
      </c>
      <c r="C312">
        <v>20</v>
      </c>
      <c r="D312" t="s">
        <v>59</v>
      </c>
      <c r="E312">
        <v>2</v>
      </c>
      <c r="F312" t="s">
        <v>32</v>
      </c>
      <c r="G312" t="s">
        <v>33</v>
      </c>
      <c r="H312" t="s">
        <v>52</v>
      </c>
      <c r="I312" t="s">
        <v>13</v>
      </c>
      <c r="J312" t="s">
        <v>21</v>
      </c>
      <c r="K312" s="2">
        <v>9800</v>
      </c>
      <c r="L312" s="3">
        <v>9</v>
      </c>
      <c r="M312" s="3">
        <v>82.5</v>
      </c>
      <c r="N312" s="3">
        <v>0</v>
      </c>
      <c r="O312" s="2"/>
      <c r="P312">
        <v>1</v>
      </c>
      <c r="Q312" t="s">
        <v>17</v>
      </c>
      <c r="R312" s="4">
        <v>102.61</v>
      </c>
      <c r="S312" s="4">
        <v>0</v>
      </c>
      <c r="T312" t="s">
        <v>37</v>
      </c>
      <c r="U312" s="4">
        <v>23.72</v>
      </c>
      <c r="V312" s="4">
        <v>10.47</v>
      </c>
      <c r="W312" s="4">
        <v>102.61</v>
      </c>
    </row>
    <row r="313" spans="1:23" ht="15" customHeight="1" x14ac:dyDescent="0.25">
      <c r="A313">
        <v>1524</v>
      </c>
      <c r="B313" s="1">
        <v>45706.833333333343</v>
      </c>
      <c r="C313">
        <v>20</v>
      </c>
      <c r="D313" t="s">
        <v>59</v>
      </c>
      <c r="E313">
        <v>2</v>
      </c>
      <c r="F313" t="s">
        <v>32</v>
      </c>
      <c r="G313" t="s">
        <v>33</v>
      </c>
      <c r="H313" t="s">
        <v>49</v>
      </c>
      <c r="I313" t="s">
        <v>27</v>
      </c>
      <c r="J313" t="s">
        <v>18</v>
      </c>
      <c r="K313" s="2">
        <v>26000</v>
      </c>
      <c r="L313" s="3">
        <v>10.5</v>
      </c>
      <c r="M313" s="3">
        <v>70.3</v>
      </c>
      <c r="N313" s="3">
        <v>0</v>
      </c>
      <c r="O313" s="2">
        <v>173</v>
      </c>
      <c r="P313">
        <v>1</v>
      </c>
      <c r="Q313" t="s">
        <v>17</v>
      </c>
      <c r="R313" s="4">
        <v>250.66</v>
      </c>
      <c r="S313" s="4">
        <v>0</v>
      </c>
      <c r="T313" t="s">
        <v>37</v>
      </c>
      <c r="U313" s="4">
        <v>58.43</v>
      </c>
      <c r="V313" s="4">
        <v>9.641</v>
      </c>
      <c r="W313" s="4">
        <v>250.66</v>
      </c>
    </row>
    <row r="314" spans="1:23" ht="15" customHeight="1" x14ac:dyDescent="0.25">
      <c r="A314">
        <v>1893</v>
      </c>
      <c r="B314" s="1">
        <v>45710</v>
      </c>
      <c r="C314">
        <v>0</v>
      </c>
      <c r="D314" t="s">
        <v>60</v>
      </c>
      <c r="E314">
        <v>2</v>
      </c>
      <c r="F314" t="s">
        <v>32</v>
      </c>
      <c r="G314" t="s">
        <v>36</v>
      </c>
      <c r="H314" t="s">
        <v>52</v>
      </c>
      <c r="I314" t="s">
        <v>13</v>
      </c>
      <c r="J314" t="s">
        <v>21</v>
      </c>
      <c r="K314" s="2">
        <v>9800</v>
      </c>
      <c r="L314" s="3">
        <v>7.5</v>
      </c>
      <c r="M314" s="3">
        <v>92</v>
      </c>
      <c r="N314" s="3">
        <v>0</v>
      </c>
      <c r="O314" s="2">
        <v>284</v>
      </c>
      <c r="P314">
        <v>1</v>
      </c>
      <c r="Q314" t="s">
        <v>17</v>
      </c>
      <c r="R314" s="4">
        <v>98.57</v>
      </c>
      <c r="S314" s="4">
        <v>0</v>
      </c>
      <c r="T314" t="s">
        <v>31</v>
      </c>
      <c r="U314" s="4">
        <v>9.02</v>
      </c>
      <c r="V314" s="4">
        <v>10.058</v>
      </c>
      <c r="W314" s="4">
        <v>98.57</v>
      </c>
    </row>
    <row r="315" spans="1:23" ht="15" customHeight="1" x14ac:dyDescent="0.25">
      <c r="A315">
        <v>1157</v>
      </c>
      <c r="B315" s="1">
        <v>45710</v>
      </c>
      <c r="C315">
        <v>0</v>
      </c>
      <c r="D315" t="s">
        <v>60</v>
      </c>
      <c r="E315">
        <v>2</v>
      </c>
      <c r="F315" t="s">
        <v>32</v>
      </c>
      <c r="G315" t="s">
        <v>36</v>
      </c>
      <c r="H315" t="s">
        <v>51</v>
      </c>
      <c r="I315" t="s">
        <v>25</v>
      </c>
      <c r="J315" t="s">
        <v>15</v>
      </c>
      <c r="K315" s="2">
        <v>17400</v>
      </c>
      <c r="L315" s="3">
        <v>7.2</v>
      </c>
      <c r="M315" s="3">
        <v>88.7</v>
      </c>
      <c r="N315" s="3">
        <v>0</v>
      </c>
      <c r="O315" s="2">
        <v>305</v>
      </c>
      <c r="P315">
        <v>1</v>
      </c>
      <c r="Q315" t="s">
        <v>17</v>
      </c>
      <c r="R315" s="4">
        <v>74.63</v>
      </c>
      <c r="S315" s="4">
        <v>0</v>
      </c>
      <c r="T315" t="s">
        <v>31</v>
      </c>
      <c r="U315" s="4">
        <v>6.72</v>
      </c>
      <c r="V315" s="4">
        <v>4.2889999999999997</v>
      </c>
      <c r="W315" s="4">
        <v>74.63</v>
      </c>
    </row>
    <row r="316" spans="1:23" ht="15" customHeight="1" x14ac:dyDescent="0.25">
      <c r="A316">
        <v>53</v>
      </c>
      <c r="B316" s="1">
        <v>45710</v>
      </c>
      <c r="C316">
        <v>0</v>
      </c>
      <c r="D316" t="s">
        <v>60</v>
      </c>
      <c r="E316">
        <v>2</v>
      </c>
      <c r="F316" t="s">
        <v>32</v>
      </c>
      <c r="G316" t="s">
        <v>36</v>
      </c>
      <c r="H316" t="s">
        <v>53</v>
      </c>
      <c r="I316" t="s">
        <v>19</v>
      </c>
      <c r="J316" t="s">
        <v>26</v>
      </c>
      <c r="K316" s="2">
        <v>12500</v>
      </c>
      <c r="L316" s="3">
        <v>1.7</v>
      </c>
      <c r="M316" s="3">
        <v>73.3</v>
      </c>
      <c r="N316" s="3">
        <v>0</v>
      </c>
      <c r="O316" s="2">
        <v>72</v>
      </c>
      <c r="P316">
        <v>0</v>
      </c>
      <c r="Q316" t="s">
        <v>14</v>
      </c>
      <c r="R316" s="4">
        <v>27.23</v>
      </c>
      <c r="S316" s="4">
        <v>0</v>
      </c>
      <c r="T316" t="s">
        <v>31</v>
      </c>
      <c r="U316" s="4">
        <v>2.38</v>
      </c>
      <c r="V316" s="4">
        <v>2.1779999999999999</v>
      </c>
      <c r="W316" s="4">
        <v>27.23</v>
      </c>
    </row>
    <row r="317" spans="1:23" ht="15" customHeight="1" x14ac:dyDescent="0.25">
      <c r="A317">
        <v>421</v>
      </c>
      <c r="B317" s="1">
        <v>45710</v>
      </c>
      <c r="C317">
        <v>0</v>
      </c>
      <c r="D317" t="s">
        <v>60</v>
      </c>
      <c r="E317">
        <v>2</v>
      </c>
      <c r="F317" t="s">
        <v>32</v>
      </c>
      <c r="G317" t="s">
        <v>36</v>
      </c>
      <c r="H317" t="s">
        <v>54</v>
      </c>
      <c r="I317" t="s">
        <v>16</v>
      </c>
      <c r="J317" t="s">
        <v>24</v>
      </c>
      <c r="K317" s="2">
        <v>8600</v>
      </c>
      <c r="L317" s="3">
        <v>7.5</v>
      </c>
      <c r="M317" s="3">
        <v>90.5</v>
      </c>
      <c r="N317" s="3">
        <v>0</v>
      </c>
      <c r="O317" s="2">
        <v>0</v>
      </c>
      <c r="P317">
        <v>0</v>
      </c>
      <c r="Q317" t="s">
        <v>14</v>
      </c>
      <c r="R317" s="4">
        <v>12.45</v>
      </c>
      <c r="S317" s="4">
        <v>0</v>
      </c>
      <c r="T317" t="s">
        <v>31</v>
      </c>
      <c r="U317" s="4">
        <v>1.1000000000000001</v>
      </c>
      <c r="V317" s="4">
        <v>1.448</v>
      </c>
      <c r="W317" s="4">
        <v>12.45</v>
      </c>
    </row>
    <row r="318" spans="1:23" ht="15" customHeight="1" x14ac:dyDescent="0.25">
      <c r="A318">
        <v>789</v>
      </c>
      <c r="B318" s="1">
        <v>45710</v>
      </c>
      <c r="C318">
        <v>0</v>
      </c>
      <c r="D318" t="s">
        <v>60</v>
      </c>
      <c r="E318">
        <v>2</v>
      </c>
      <c r="F318" t="s">
        <v>32</v>
      </c>
      <c r="G318" t="s">
        <v>36</v>
      </c>
      <c r="H318" t="s">
        <v>50</v>
      </c>
      <c r="I318" t="s">
        <v>22</v>
      </c>
      <c r="J318" t="s">
        <v>12</v>
      </c>
      <c r="K318" s="2">
        <v>21000</v>
      </c>
      <c r="L318" s="3">
        <v>6.7</v>
      </c>
      <c r="M318" s="3">
        <v>70</v>
      </c>
      <c r="N318" s="3">
        <v>0</v>
      </c>
      <c r="O318" s="2">
        <v>251</v>
      </c>
      <c r="P318">
        <v>1</v>
      </c>
      <c r="Q318" t="s">
        <v>17</v>
      </c>
      <c r="R318" s="4">
        <v>172.91</v>
      </c>
      <c r="S318" s="4">
        <v>0</v>
      </c>
      <c r="T318" t="s">
        <v>31</v>
      </c>
      <c r="U318" s="4">
        <v>15.8</v>
      </c>
      <c r="V318" s="4">
        <v>8.234</v>
      </c>
      <c r="W318" s="4">
        <v>172.91</v>
      </c>
    </row>
    <row r="319" spans="1:23" ht="15" customHeight="1" x14ac:dyDescent="0.25">
      <c r="A319">
        <v>1525</v>
      </c>
      <c r="B319" s="1">
        <v>45710</v>
      </c>
      <c r="C319">
        <v>0</v>
      </c>
      <c r="D319" t="s">
        <v>60</v>
      </c>
      <c r="E319">
        <v>2</v>
      </c>
      <c r="F319" t="s">
        <v>32</v>
      </c>
      <c r="G319" t="s">
        <v>36</v>
      </c>
      <c r="H319" t="s">
        <v>49</v>
      </c>
      <c r="I319" t="s">
        <v>27</v>
      </c>
      <c r="J319" t="s">
        <v>18</v>
      </c>
      <c r="K319" s="2">
        <v>26000</v>
      </c>
      <c r="L319" s="3">
        <v>3</v>
      </c>
      <c r="M319" s="3">
        <v>79.599999999999994</v>
      </c>
      <c r="N319" s="3">
        <v>0</v>
      </c>
      <c r="O319" s="2">
        <v>12</v>
      </c>
      <c r="P319">
        <v>1</v>
      </c>
      <c r="Q319" t="s">
        <v>17</v>
      </c>
      <c r="R319" s="4">
        <v>97.14</v>
      </c>
      <c r="S319" s="4">
        <v>0</v>
      </c>
      <c r="T319" t="s">
        <v>31</v>
      </c>
      <c r="U319" s="4">
        <v>8.7200000000000006</v>
      </c>
      <c r="V319" s="4">
        <v>3.7360000000000002</v>
      </c>
      <c r="W319" s="4">
        <v>97.14</v>
      </c>
    </row>
    <row r="320" spans="1:23" ht="15" customHeight="1" x14ac:dyDescent="0.25">
      <c r="A320">
        <v>1894</v>
      </c>
      <c r="B320" s="1">
        <v>45710.333333333343</v>
      </c>
      <c r="C320">
        <v>8</v>
      </c>
      <c r="D320" t="s">
        <v>60</v>
      </c>
      <c r="E320">
        <v>2</v>
      </c>
      <c r="F320" t="s">
        <v>32</v>
      </c>
      <c r="G320" t="s">
        <v>36</v>
      </c>
      <c r="H320" t="s">
        <v>52</v>
      </c>
      <c r="I320" t="s">
        <v>13</v>
      </c>
      <c r="J320" t="s">
        <v>21</v>
      </c>
      <c r="K320" s="2">
        <v>9800</v>
      </c>
      <c r="L320" s="3">
        <v>11</v>
      </c>
      <c r="M320" s="3">
        <v>84.6</v>
      </c>
      <c r="N320" s="3">
        <v>9</v>
      </c>
      <c r="O320" s="2">
        <v>103</v>
      </c>
      <c r="P320">
        <v>1</v>
      </c>
      <c r="Q320" t="s">
        <v>17</v>
      </c>
      <c r="R320" s="4">
        <v>47.9</v>
      </c>
      <c r="S320" s="4">
        <v>0</v>
      </c>
      <c r="T320" t="s">
        <v>31</v>
      </c>
      <c r="U320" s="4">
        <v>4.41</v>
      </c>
      <c r="V320" s="4">
        <v>4.8879999999999999</v>
      </c>
      <c r="W320" s="4">
        <v>47.9</v>
      </c>
    </row>
    <row r="321" spans="1:23" ht="15" customHeight="1" x14ac:dyDescent="0.25">
      <c r="A321">
        <v>54</v>
      </c>
      <c r="B321" s="1">
        <v>45710.333333333343</v>
      </c>
      <c r="C321">
        <v>8</v>
      </c>
      <c r="D321" t="s">
        <v>60</v>
      </c>
      <c r="E321">
        <v>2</v>
      </c>
      <c r="F321" t="s">
        <v>32</v>
      </c>
      <c r="G321" t="s">
        <v>36</v>
      </c>
      <c r="H321" t="s">
        <v>53</v>
      </c>
      <c r="I321" t="s">
        <v>19</v>
      </c>
      <c r="J321" t="s">
        <v>26</v>
      </c>
      <c r="K321" s="2">
        <v>12500</v>
      </c>
      <c r="L321" s="3">
        <v>3</v>
      </c>
      <c r="M321" s="3">
        <v>64.2</v>
      </c>
      <c r="N321" s="3">
        <v>69.099999999999994</v>
      </c>
      <c r="O321" s="2">
        <v>0</v>
      </c>
      <c r="P321">
        <v>0</v>
      </c>
      <c r="Q321" t="s">
        <v>14</v>
      </c>
      <c r="R321" s="4">
        <v>23.95</v>
      </c>
      <c r="S321" s="4">
        <v>10.77</v>
      </c>
      <c r="T321" t="s">
        <v>31</v>
      </c>
      <c r="U321" s="4">
        <v>1.18</v>
      </c>
      <c r="V321" s="4">
        <v>1.9159999999999999</v>
      </c>
      <c r="W321" s="4">
        <v>13.18</v>
      </c>
    </row>
    <row r="322" spans="1:23" ht="15" customHeight="1" x14ac:dyDescent="0.25">
      <c r="A322">
        <v>790</v>
      </c>
      <c r="B322" s="1">
        <v>45710.333333333343</v>
      </c>
      <c r="C322">
        <v>8</v>
      </c>
      <c r="D322" t="s">
        <v>60</v>
      </c>
      <c r="E322">
        <v>2</v>
      </c>
      <c r="F322" t="s">
        <v>32</v>
      </c>
      <c r="G322" t="s">
        <v>36</v>
      </c>
      <c r="H322" t="s">
        <v>50</v>
      </c>
      <c r="I322" t="s">
        <v>22</v>
      </c>
      <c r="J322" t="s">
        <v>12</v>
      </c>
      <c r="K322" s="2">
        <v>21000</v>
      </c>
      <c r="L322" s="3">
        <v>10.4</v>
      </c>
      <c r="M322" s="3">
        <v>68.5</v>
      </c>
      <c r="N322" s="3">
        <v>70</v>
      </c>
      <c r="O322" s="2">
        <v>423</v>
      </c>
      <c r="P322">
        <v>1</v>
      </c>
      <c r="Q322" t="s">
        <v>17</v>
      </c>
      <c r="R322" s="4">
        <v>285.94</v>
      </c>
      <c r="S322" s="4">
        <v>15.18</v>
      </c>
      <c r="T322" t="s">
        <v>31</v>
      </c>
      <c r="U322" s="4">
        <v>24.77</v>
      </c>
      <c r="V322" s="4">
        <v>13.616</v>
      </c>
      <c r="W322" s="4">
        <v>270.76</v>
      </c>
    </row>
    <row r="323" spans="1:23" ht="15" customHeight="1" x14ac:dyDescent="0.25">
      <c r="A323">
        <v>1158</v>
      </c>
      <c r="B323" s="1">
        <v>45710.333333333343</v>
      </c>
      <c r="C323">
        <v>8</v>
      </c>
      <c r="D323" t="s">
        <v>60</v>
      </c>
      <c r="E323">
        <v>2</v>
      </c>
      <c r="F323" t="s">
        <v>32</v>
      </c>
      <c r="G323" t="s">
        <v>36</v>
      </c>
      <c r="H323" t="s">
        <v>51</v>
      </c>
      <c r="I323" t="s">
        <v>25</v>
      </c>
      <c r="J323" t="s">
        <v>15</v>
      </c>
      <c r="K323" s="2">
        <v>17400</v>
      </c>
      <c r="L323" s="3">
        <v>11.6</v>
      </c>
      <c r="M323" s="3">
        <v>87</v>
      </c>
      <c r="N323" s="3">
        <v>25.7</v>
      </c>
      <c r="O323" s="2">
        <v>72</v>
      </c>
      <c r="P323">
        <v>1</v>
      </c>
      <c r="Q323" t="s">
        <v>17</v>
      </c>
      <c r="R323" s="4">
        <v>59.39</v>
      </c>
      <c r="S323" s="4">
        <v>3.28</v>
      </c>
      <c r="T323" t="s">
        <v>31</v>
      </c>
      <c r="U323" s="4">
        <v>5.07</v>
      </c>
      <c r="V323" s="4">
        <v>3.4129999999999998</v>
      </c>
      <c r="W323" s="4">
        <v>56.11</v>
      </c>
    </row>
    <row r="324" spans="1:23" ht="15" customHeight="1" x14ac:dyDescent="0.25">
      <c r="A324">
        <v>422</v>
      </c>
      <c r="B324" s="1">
        <v>45710.333333333343</v>
      </c>
      <c r="C324">
        <v>8</v>
      </c>
      <c r="D324" t="s">
        <v>60</v>
      </c>
      <c r="E324">
        <v>2</v>
      </c>
      <c r="F324" t="s">
        <v>32</v>
      </c>
      <c r="G324" t="s">
        <v>36</v>
      </c>
      <c r="H324" t="s">
        <v>54</v>
      </c>
      <c r="I324" t="s">
        <v>16</v>
      </c>
      <c r="J324" t="s">
        <v>24</v>
      </c>
      <c r="K324" s="2">
        <v>8600</v>
      </c>
      <c r="L324" s="3">
        <v>8.6</v>
      </c>
      <c r="M324" s="3">
        <v>99</v>
      </c>
      <c r="N324" s="3">
        <v>2.2999999999999998</v>
      </c>
      <c r="O324" s="2">
        <v>0</v>
      </c>
      <c r="P324">
        <v>0</v>
      </c>
      <c r="Q324" t="s">
        <v>14</v>
      </c>
      <c r="R324" s="4">
        <v>13.08</v>
      </c>
      <c r="S324" s="4">
        <v>0.16</v>
      </c>
      <c r="T324" t="s">
        <v>31</v>
      </c>
      <c r="U324" s="4">
        <v>1.1599999999999999</v>
      </c>
      <c r="V324" s="4">
        <v>1.5209999999999999</v>
      </c>
      <c r="W324" s="4">
        <v>12.92</v>
      </c>
    </row>
    <row r="325" spans="1:23" ht="15" customHeight="1" x14ac:dyDescent="0.25">
      <c r="A325">
        <v>1526</v>
      </c>
      <c r="B325" s="1">
        <v>45710.333333333343</v>
      </c>
      <c r="C325">
        <v>8</v>
      </c>
      <c r="D325" t="s">
        <v>60</v>
      </c>
      <c r="E325">
        <v>2</v>
      </c>
      <c r="F325" t="s">
        <v>32</v>
      </c>
      <c r="G325" t="s">
        <v>36</v>
      </c>
      <c r="H325" t="s">
        <v>49</v>
      </c>
      <c r="I325" t="s">
        <v>27</v>
      </c>
      <c r="J325" t="s">
        <v>18</v>
      </c>
      <c r="K325" s="2">
        <v>26000</v>
      </c>
      <c r="L325" s="3">
        <v>8.6999999999999993</v>
      </c>
      <c r="M325" s="3">
        <v>65.8</v>
      </c>
      <c r="N325" s="3">
        <v>51.6</v>
      </c>
      <c r="O325" s="2">
        <v>73</v>
      </c>
      <c r="P325">
        <v>1</v>
      </c>
      <c r="Q325" t="s">
        <v>17</v>
      </c>
      <c r="R325" s="4">
        <v>130.19</v>
      </c>
      <c r="S325" s="4">
        <v>13.25</v>
      </c>
      <c r="T325" t="s">
        <v>31</v>
      </c>
      <c r="U325" s="4">
        <v>10.9</v>
      </c>
      <c r="V325" s="4">
        <v>5.0069999999999997</v>
      </c>
      <c r="W325" s="4">
        <v>116.94</v>
      </c>
    </row>
    <row r="326" spans="1:23" ht="15" customHeight="1" x14ac:dyDescent="0.25">
      <c r="A326">
        <v>1527</v>
      </c>
      <c r="B326" s="1">
        <v>45710.583333333343</v>
      </c>
      <c r="C326">
        <v>14</v>
      </c>
      <c r="D326" t="s">
        <v>60</v>
      </c>
      <c r="E326">
        <v>2</v>
      </c>
      <c r="F326" t="s">
        <v>32</v>
      </c>
      <c r="G326" t="s">
        <v>36</v>
      </c>
      <c r="H326" t="s">
        <v>49</v>
      </c>
      <c r="I326" t="s">
        <v>27</v>
      </c>
      <c r="J326" t="s">
        <v>18</v>
      </c>
      <c r="K326" s="2">
        <v>26000</v>
      </c>
      <c r="L326" s="3">
        <v>12.9</v>
      </c>
      <c r="M326" s="3">
        <v>74.3</v>
      </c>
      <c r="N326" s="3">
        <v>492.4</v>
      </c>
      <c r="O326" s="2">
        <v>64</v>
      </c>
      <c r="P326">
        <v>1</v>
      </c>
      <c r="Q326" t="s">
        <v>17</v>
      </c>
      <c r="R326" s="4">
        <v>85.48</v>
      </c>
      <c r="S326" s="4">
        <v>136.27000000000001</v>
      </c>
      <c r="T326" t="s">
        <v>31</v>
      </c>
      <c r="U326" s="4">
        <v>-1.88</v>
      </c>
      <c r="V326" s="4">
        <v>3.2879999999999998</v>
      </c>
      <c r="W326" s="4">
        <v>0</v>
      </c>
    </row>
    <row r="327" spans="1:23" ht="15" customHeight="1" x14ac:dyDescent="0.25">
      <c r="A327">
        <v>55</v>
      </c>
      <c r="B327" s="1">
        <v>45710.583333333343</v>
      </c>
      <c r="C327">
        <v>14</v>
      </c>
      <c r="D327" t="s">
        <v>60</v>
      </c>
      <c r="E327">
        <v>2</v>
      </c>
      <c r="F327" t="s">
        <v>32</v>
      </c>
      <c r="G327" t="s">
        <v>36</v>
      </c>
      <c r="H327" t="s">
        <v>53</v>
      </c>
      <c r="I327" t="s">
        <v>19</v>
      </c>
      <c r="J327" t="s">
        <v>26</v>
      </c>
      <c r="K327" s="2">
        <v>12500</v>
      </c>
      <c r="L327" s="3"/>
      <c r="M327" s="3">
        <v>70.8</v>
      </c>
      <c r="N327" s="3">
        <v>376.1</v>
      </c>
      <c r="O327" s="2">
        <v>3</v>
      </c>
      <c r="P327">
        <v>0</v>
      </c>
      <c r="Q327" t="s">
        <v>14</v>
      </c>
      <c r="R327" s="4">
        <v>15.92</v>
      </c>
      <c r="S327" s="4">
        <v>54.83</v>
      </c>
      <c r="T327" t="s">
        <v>31</v>
      </c>
      <c r="U327" s="4">
        <v>-1.41</v>
      </c>
      <c r="V327" s="4">
        <v>1.274</v>
      </c>
      <c r="W327" s="4">
        <v>0</v>
      </c>
    </row>
    <row r="328" spans="1:23" ht="15" customHeight="1" x14ac:dyDescent="0.25">
      <c r="A328">
        <v>1895</v>
      </c>
      <c r="B328" s="1">
        <v>45710.583333333343</v>
      </c>
      <c r="C328">
        <v>14</v>
      </c>
      <c r="D328" t="s">
        <v>60</v>
      </c>
      <c r="E328">
        <v>2</v>
      </c>
      <c r="F328" t="s">
        <v>32</v>
      </c>
      <c r="G328" t="s">
        <v>36</v>
      </c>
      <c r="H328" t="s">
        <v>52</v>
      </c>
      <c r="I328" t="s">
        <v>13</v>
      </c>
      <c r="J328" t="s">
        <v>21</v>
      </c>
      <c r="K328" s="2">
        <v>9800</v>
      </c>
      <c r="L328" s="3"/>
      <c r="M328" s="3">
        <v>90.3</v>
      </c>
      <c r="N328" s="3">
        <v>320.10000000000002</v>
      </c>
      <c r="O328" s="2">
        <v>138</v>
      </c>
      <c r="P328">
        <v>1</v>
      </c>
      <c r="Q328" t="s">
        <v>23</v>
      </c>
      <c r="R328" s="4">
        <v>27.65</v>
      </c>
      <c r="S328" s="4">
        <v>0</v>
      </c>
      <c r="T328" t="s">
        <v>31</v>
      </c>
      <c r="U328" s="4">
        <v>2.56</v>
      </c>
      <c r="V328" s="4">
        <v>2.8210000000000002</v>
      </c>
      <c r="W328" s="4">
        <v>27.65</v>
      </c>
    </row>
    <row r="329" spans="1:23" ht="15" customHeight="1" x14ac:dyDescent="0.25">
      <c r="A329">
        <v>1159</v>
      </c>
      <c r="B329" s="1">
        <v>45710.583333333343</v>
      </c>
      <c r="C329">
        <v>14</v>
      </c>
      <c r="D329" t="s">
        <v>60</v>
      </c>
      <c r="E329">
        <v>2</v>
      </c>
      <c r="F329" t="s">
        <v>32</v>
      </c>
      <c r="G329" t="s">
        <v>36</v>
      </c>
      <c r="H329" t="s">
        <v>51</v>
      </c>
      <c r="I329" t="s">
        <v>25</v>
      </c>
      <c r="J329" t="s">
        <v>15</v>
      </c>
      <c r="K329" s="2">
        <v>17400</v>
      </c>
      <c r="L329" s="3">
        <v>17.3</v>
      </c>
      <c r="M329" s="3">
        <v>92.1</v>
      </c>
      <c r="N329" s="3">
        <v>209.9</v>
      </c>
      <c r="O329" s="2">
        <v>1556</v>
      </c>
      <c r="P329">
        <v>0</v>
      </c>
      <c r="Q329" t="s">
        <v>14</v>
      </c>
      <c r="R329" s="4">
        <v>231.36</v>
      </c>
      <c r="S329" s="4">
        <v>26.95</v>
      </c>
      <c r="T329" t="s">
        <v>31</v>
      </c>
      <c r="U329" s="4">
        <v>18.93</v>
      </c>
      <c r="V329" s="4">
        <v>13.297000000000001</v>
      </c>
      <c r="W329" s="4">
        <v>204.41</v>
      </c>
    </row>
    <row r="330" spans="1:23" ht="15" customHeight="1" x14ac:dyDescent="0.25">
      <c r="A330">
        <v>423</v>
      </c>
      <c r="B330" s="1">
        <v>45710.583333333343</v>
      </c>
      <c r="C330">
        <v>14</v>
      </c>
      <c r="D330" t="s">
        <v>60</v>
      </c>
      <c r="E330">
        <v>2</v>
      </c>
      <c r="F330" t="s">
        <v>32</v>
      </c>
      <c r="G330" t="s">
        <v>36</v>
      </c>
      <c r="H330" t="s">
        <v>54</v>
      </c>
      <c r="I330" t="s">
        <v>16</v>
      </c>
      <c r="J330" t="s">
        <v>24</v>
      </c>
      <c r="K330" s="2">
        <v>8600</v>
      </c>
      <c r="L330" s="3">
        <v>11.7</v>
      </c>
      <c r="M330" s="3">
        <v>93</v>
      </c>
      <c r="N330" s="3">
        <v>424.5</v>
      </c>
      <c r="O330" s="2">
        <v>10</v>
      </c>
      <c r="P330">
        <v>0</v>
      </c>
      <c r="Q330" t="s">
        <v>14</v>
      </c>
      <c r="R330" s="4">
        <v>7.85</v>
      </c>
      <c r="S330" s="4">
        <v>32.94</v>
      </c>
      <c r="T330" t="s">
        <v>31</v>
      </c>
      <c r="U330" s="4">
        <v>-0.92</v>
      </c>
      <c r="V330" s="4">
        <v>0.91300000000000003</v>
      </c>
      <c r="W330" s="4">
        <v>0</v>
      </c>
    </row>
    <row r="331" spans="1:23" ht="15" customHeight="1" x14ac:dyDescent="0.25">
      <c r="A331">
        <v>791</v>
      </c>
      <c r="B331" s="1">
        <v>45710.583333333343</v>
      </c>
      <c r="C331">
        <v>14</v>
      </c>
      <c r="D331" t="s">
        <v>60</v>
      </c>
      <c r="E331">
        <v>2</v>
      </c>
      <c r="F331" t="s">
        <v>32</v>
      </c>
      <c r="G331" t="s">
        <v>36</v>
      </c>
      <c r="H331" t="s">
        <v>50</v>
      </c>
      <c r="I331" t="s">
        <v>22</v>
      </c>
      <c r="J331" t="s">
        <v>12</v>
      </c>
      <c r="K331" s="2">
        <v>21000</v>
      </c>
      <c r="L331" s="3">
        <v>18</v>
      </c>
      <c r="M331" s="3">
        <v>65.7</v>
      </c>
      <c r="N331" s="3">
        <v>417</v>
      </c>
      <c r="O331" s="2">
        <v>401</v>
      </c>
      <c r="P331">
        <v>0</v>
      </c>
      <c r="Q331" t="s">
        <v>14</v>
      </c>
      <c r="R331" s="4">
        <v>192.1</v>
      </c>
      <c r="S331" s="4">
        <v>80.75</v>
      </c>
      <c r="T331" t="s">
        <v>31</v>
      </c>
      <c r="U331" s="4">
        <v>10.53</v>
      </c>
      <c r="V331" s="4">
        <v>9.1479999999999997</v>
      </c>
      <c r="W331" s="4">
        <v>111.35</v>
      </c>
    </row>
    <row r="332" spans="1:23" ht="15" customHeight="1" x14ac:dyDescent="0.25">
      <c r="A332">
        <v>1528</v>
      </c>
      <c r="B332" s="1">
        <v>45710.833333333343</v>
      </c>
      <c r="C332">
        <v>20</v>
      </c>
      <c r="D332" t="s">
        <v>60</v>
      </c>
      <c r="E332">
        <v>2</v>
      </c>
      <c r="F332" t="s">
        <v>32</v>
      </c>
      <c r="G332" t="s">
        <v>36</v>
      </c>
      <c r="H332" t="s">
        <v>49</v>
      </c>
      <c r="I332" t="s">
        <v>27</v>
      </c>
      <c r="J332" t="s">
        <v>18</v>
      </c>
      <c r="K332" s="2">
        <v>26000</v>
      </c>
      <c r="L332" s="3">
        <v>8.3000000000000007</v>
      </c>
      <c r="M332" s="3">
        <v>80.3</v>
      </c>
      <c r="N332" s="3">
        <v>0</v>
      </c>
      <c r="O332" s="2">
        <v>57</v>
      </c>
      <c r="P332">
        <v>1</v>
      </c>
      <c r="Q332" t="s">
        <v>17</v>
      </c>
      <c r="R332" s="4">
        <v>149.85</v>
      </c>
      <c r="S332" s="4">
        <v>0</v>
      </c>
      <c r="T332" t="s">
        <v>31</v>
      </c>
      <c r="U332" s="4">
        <v>13.8</v>
      </c>
      <c r="V332" s="4">
        <v>5.7629999999999999</v>
      </c>
      <c r="W332" s="4">
        <v>149.85</v>
      </c>
    </row>
    <row r="333" spans="1:23" ht="15" customHeight="1" x14ac:dyDescent="0.25">
      <c r="A333">
        <v>1160</v>
      </c>
      <c r="B333" s="1">
        <v>45710.833333333343</v>
      </c>
      <c r="C333">
        <v>20</v>
      </c>
      <c r="D333" t="s">
        <v>60</v>
      </c>
      <c r="E333">
        <v>2</v>
      </c>
      <c r="F333" t="s">
        <v>32</v>
      </c>
      <c r="G333" t="s">
        <v>36</v>
      </c>
      <c r="H333" t="s">
        <v>51</v>
      </c>
      <c r="I333" t="s">
        <v>25</v>
      </c>
      <c r="J333" t="s">
        <v>15</v>
      </c>
      <c r="K333" s="2">
        <v>17400</v>
      </c>
      <c r="L333" s="3">
        <v>12.6</v>
      </c>
      <c r="M333" s="3">
        <v>75.2</v>
      </c>
      <c r="N333" s="3">
        <v>0</v>
      </c>
      <c r="O333" s="2">
        <v>1619</v>
      </c>
      <c r="P333">
        <v>1</v>
      </c>
      <c r="Q333" t="s">
        <v>17</v>
      </c>
      <c r="R333" s="4">
        <v>318.38</v>
      </c>
      <c r="S333" s="4">
        <v>0</v>
      </c>
      <c r="T333" t="s">
        <v>31</v>
      </c>
      <c r="U333" s="4">
        <v>28.88</v>
      </c>
      <c r="V333" s="4">
        <v>18.297999999999998</v>
      </c>
      <c r="W333" s="4">
        <v>318.38</v>
      </c>
    </row>
    <row r="334" spans="1:23" ht="15" customHeight="1" x14ac:dyDescent="0.25">
      <c r="A334">
        <v>424</v>
      </c>
      <c r="B334" s="1">
        <v>45710.833333333343</v>
      </c>
      <c r="C334">
        <v>20</v>
      </c>
      <c r="D334" t="s">
        <v>60</v>
      </c>
      <c r="E334">
        <v>2</v>
      </c>
      <c r="F334" t="s">
        <v>32</v>
      </c>
      <c r="G334" t="s">
        <v>36</v>
      </c>
      <c r="H334" t="s">
        <v>54</v>
      </c>
      <c r="I334" t="s">
        <v>16</v>
      </c>
      <c r="J334" t="s">
        <v>24</v>
      </c>
      <c r="K334" s="2">
        <v>8600</v>
      </c>
      <c r="L334" s="3">
        <v>8.4</v>
      </c>
      <c r="M334" s="3">
        <v>99</v>
      </c>
      <c r="N334" s="3">
        <v>0</v>
      </c>
      <c r="O334" s="2">
        <v>0</v>
      </c>
      <c r="P334">
        <v>0</v>
      </c>
      <c r="Q334" t="s">
        <v>14</v>
      </c>
      <c r="R334" s="4">
        <v>12.89</v>
      </c>
      <c r="S334" s="4">
        <v>0</v>
      </c>
      <c r="T334" t="s">
        <v>31</v>
      </c>
      <c r="U334" s="4">
        <v>1.1299999999999999</v>
      </c>
      <c r="V334" s="4">
        <v>1.4990000000000001</v>
      </c>
      <c r="W334" s="4">
        <v>12.89</v>
      </c>
    </row>
    <row r="335" spans="1:23" ht="15" customHeight="1" x14ac:dyDescent="0.25">
      <c r="A335">
        <v>1896</v>
      </c>
      <c r="B335" s="1">
        <v>45710.833333333343</v>
      </c>
      <c r="C335">
        <v>20</v>
      </c>
      <c r="D335" t="s">
        <v>60</v>
      </c>
      <c r="E335">
        <v>2</v>
      </c>
      <c r="F335" t="s">
        <v>32</v>
      </c>
      <c r="G335" t="s">
        <v>36</v>
      </c>
      <c r="H335" t="s">
        <v>52</v>
      </c>
      <c r="I335" t="s">
        <v>13</v>
      </c>
      <c r="J335" t="s">
        <v>21</v>
      </c>
      <c r="K335" s="2">
        <v>9800</v>
      </c>
      <c r="L335" s="3">
        <v>12.4</v>
      </c>
      <c r="M335" s="3">
        <v>84.3</v>
      </c>
      <c r="N335" s="3">
        <v>0</v>
      </c>
      <c r="O335" s="2">
        <v>327</v>
      </c>
      <c r="P335">
        <v>1</v>
      </c>
      <c r="Q335" t="s">
        <v>17</v>
      </c>
      <c r="R335" s="4">
        <v>105.39</v>
      </c>
      <c r="S335" s="4">
        <v>0</v>
      </c>
      <c r="T335" t="s">
        <v>31</v>
      </c>
      <c r="U335" s="4">
        <v>9.66</v>
      </c>
      <c r="V335" s="4">
        <v>10.754</v>
      </c>
      <c r="W335" s="4">
        <v>105.39</v>
      </c>
    </row>
    <row r="336" spans="1:23" ht="15" customHeight="1" x14ac:dyDescent="0.25">
      <c r="A336">
        <v>792</v>
      </c>
      <c r="B336" s="1">
        <v>45710.833333333343</v>
      </c>
      <c r="C336">
        <v>20</v>
      </c>
      <c r="D336" t="s">
        <v>60</v>
      </c>
      <c r="E336">
        <v>2</v>
      </c>
      <c r="F336" t="s">
        <v>32</v>
      </c>
      <c r="G336" t="s">
        <v>36</v>
      </c>
      <c r="H336" t="s">
        <v>50</v>
      </c>
      <c r="I336" t="s">
        <v>22</v>
      </c>
      <c r="J336" t="s">
        <v>12</v>
      </c>
      <c r="K336" s="2">
        <v>21000</v>
      </c>
      <c r="L336" s="3">
        <v>13.5</v>
      </c>
      <c r="M336" s="3">
        <v>80.400000000000006</v>
      </c>
      <c r="N336" s="3">
        <v>0</v>
      </c>
      <c r="O336" s="2">
        <v>427</v>
      </c>
      <c r="P336">
        <v>1</v>
      </c>
      <c r="Q336" t="s">
        <v>17</v>
      </c>
      <c r="R336" s="4">
        <v>298.29000000000002</v>
      </c>
      <c r="S336" s="4">
        <v>0</v>
      </c>
      <c r="T336" t="s">
        <v>31</v>
      </c>
      <c r="U336" s="4">
        <v>27.65</v>
      </c>
      <c r="V336" s="4">
        <v>14.204000000000001</v>
      </c>
      <c r="W336" s="4">
        <v>298.29000000000002</v>
      </c>
    </row>
    <row r="337" spans="1:23" ht="15" customHeight="1" x14ac:dyDescent="0.25">
      <c r="A337">
        <v>56</v>
      </c>
      <c r="B337" s="1">
        <v>45710.833333333343</v>
      </c>
      <c r="C337">
        <v>20</v>
      </c>
      <c r="D337" t="s">
        <v>60</v>
      </c>
      <c r="E337">
        <v>2</v>
      </c>
      <c r="F337" t="s">
        <v>32</v>
      </c>
      <c r="G337" t="s">
        <v>36</v>
      </c>
      <c r="H337" t="s">
        <v>53</v>
      </c>
      <c r="I337" t="s">
        <v>19</v>
      </c>
      <c r="J337" t="s">
        <v>26</v>
      </c>
      <c r="K337" s="2">
        <v>12500</v>
      </c>
      <c r="L337" s="3">
        <v>7.5</v>
      </c>
      <c r="M337" s="3">
        <v>64.099999999999994</v>
      </c>
      <c r="N337" s="3">
        <v>0</v>
      </c>
      <c r="O337" s="2">
        <v>0</v>
      </c>
      <c r="P337">
        <v>0</v>
      </c>
      <c r="Q337" t="s">
        <v>14</v>
      </c>
      <c r="R337" s="4">
        <v>23.3</v>
      </c>
      <c r="S337" s="4">
        <v>0</v>
      </c>
      <c r="T337" t="s">
        <v>31</v>
      </c>
      <c r="U337" s="4">
        <v>2.12</v>
      </c>
      <c r="V337" s="4">
        <v>1.8640000000000001</v>
      </c>
      <c r="W337" s="4">
        <v>23.3</v>
      </c>
    </row>
    <row r="338" spans="1:23" ht="15" customHeight="1" x14ac:dyDescent="0.25">
      <c r="A338">
        <v>1897</v>
      </c>
      <c r="B338" s="1">
        <v>45714</v>
      </c>
      <c r="C338">
        <v>0</v>
      </c>
      <c r="D338" t="s">
        <v>48</v>
      </c>
      <c r="E338">
        <v>2</v>
      </c>
      <c r="F338" t="s">
        <v>32</v>
      </c>
      <c r="G338" t="s">
        <v>33</v>
      </c>
      <c r="H338" t="s">
        <v>52</v>
      </c>
      <c r="I338" t="s">
        <v>13</v>
      </c>
      <c r="J338" t="s">
        <v>21</v>
      </c>
      <c r="K338" s="2">
        <v>9800</v>
      </c>
      <c r="L338" s="3">
        <v>10</v>
      </c>
      <c r="M338" s="3"/>
      <c r="N338" s="3">
        <v>0</v>
      </c>
      <c r="O338" s="2">
        <v>329</v>
      </c>
      <c r="P338">
        <v>1</v>
      </c>
      <c r="Q338" t="s">
        <v>17</v>
      </c>
      <c r="R338" s="4">
        <v>92.98</v>
      </c>
      <c r="S338" s="4">
        <v>0</v>
      </c>
      <c r="T338" t="s">
        <v>31</v>
      </c>
      <c r="U338" s="4">
        <v>8.1999999999999993</v>
      </c>
      <c r="V338" s="4">
        <v>9.4879999999999995</v>
      </c>
      <c r="W338" s="4">
        <v>92.98</v>
      </c>
    </row>
    <row r="339" spans="1:23" ht="15" customHeight="1" x14ac:dyDescent="0.25">
      <c r="A339">
        <v>793</v>
      </c>
      <c r="B339" s="1">
        <v>45714</v>
      </c>
      <c r="C339">
        <v>0</v>
      </c>
      <c r="D339" t="s">
        <v>48</v>
      </c>
      <c r="E339">
        <v>2</v>
      </c>
      <c r="F339" t="s">
        <v>32</v>
      </c>
      <c r="G339" t="s">
        <v>33</v>
      </c>
      <c r="H339" t="s">
        <v>50</v>
      </c>
      <c r="I339" t="s">
        <v>22</v>
      </c>
      <c r="J339" t="s">
        <v>12</v>
      </c>
      <c r="K339" s="2">
        <v>21000</v>
      </c>
      <c r="L339" s="3">
        <v>6</v>
      </c>
      <c r="M339" s="3">
        <v>61.1</v>
      </c>
      <c r="N339" s="3">
        <v>0</v>
      </c>
      <c r="O339" s="2">
        <v>218</v>
      </c>
      <c r="P339">
        <v>1</v>
      </c>
      <c r="Q339" t="s">
        <v>17</v>
      </c>
      <c r="R339" s="4">
        <v>189.65</v>
      </c>
      <c r="S339" s="4">
        <v>0</v>
      </c>
      <c r="T339" t="s">
        <v>31</v>
      </c>
      <c r="U339" s="4">
        <v>17.18</v>
      </c>
      <c r="V339" s="4">
        <v>9.0310000000000006</v>
      </c>
      <c r="W339" s="4">
        <v>189.65</v>
      </c>
    </row>
    <row r="340" spans="1:23" ht="15" customHeight="1" x14ac:dyDescent="0.25">
      <c r="A340">
        <v>1161</v>
      </c>
      <c r="B340" s="1">
        <v>45714</v>
      </c>
      <c r="C340">
        <v>0</v>
      </c>
      <c r="D340" t="s">
        <v>48</v>
      </c>
      <c r="E340">
        <v>2</v>
      </c>
      <c r="F340" t="s">
        <v>32</v>
      </c>
      <c r="G340" t="s">
        <v>33</v>
      </c>
      <c r="H340" t="s">
        <v>51</v>
      </c>
      <c r="I340" t="s">
        <v>25</v>
      </c>
      <c r="J340" t="s">
        <v>15</v>
      </c>
      <c r="K340" s="2">
        <v>17400</v>
      </c>
      <c r="L340" s="3">
        <v>7.8</v>
      </c>
      <c r="M340" s="3">
        <v>85.7</v>
      </c>
      <c r="N340" s="3">
        <v>0</v>
      </c>
      <c r="O340" s="2">
        <v>112</v>
      </c>
      <c r="P340">
        <v>0</v>
      </c>
      <c r="Q340" t="s">
        <v>14</v>
      </c>
      <c r="R340" s="4">
        <v>47.9</v>
      </c>
      <c r="S340" s="4">
        <v>0</v>
      </c>
      <c r="T340" t="s">
        <v>31</v>
      </c>
      <c r="U340" s="4">
        <v>4.3499999999999996</v>
      </c>
      <c r="V340" s="4">
        <v>2.7530000000000001</v>
      </c>
      <c r="W340" s="4">
        <v>47.9</v>
      </c>
    </row>
    <row r="341" spans="1:23" ht="15" customHeight="1" x14ac:dyDescent="0.25">
      <c r="A341">
        <v>425</v>
      </c>
      <c r="B341" s="1">
        <v>45714</v>
      </c>
      <c r="C341">
        <v>0</v>
      </c>
      <c r="D341" t="s">
        <v>48</v>
      </c>
      <c r="E341">
        <v>2</v>
      </c>
      <c r="F341" t="s">
        <v>32</v>
      </c>
      <c r="G341" t="s">
        <v>33</v>
      </c>
      <c r="H341" t="s">
        <v>54</v>
      </c>
      <c r="I341" t="s">
        <v>16</v>
      </c>
      <c r="J341" t="s">
        <v>24</v>
      </c>
      <c r="K341" s="2">
        <v>8600</v>
      </c>
      <c r="L341" s="3">
        <v>7.5</v>
      </c>
      <c r="M341" s="3">
        <v>92.3</v>
      </c>
      <c r="N341" s="3">
        <v>0</v>
      </c>
      <c r="O341" s="2">
        <v>27</v>
      </c>
      <c r="P341">
        <v>1</v>
      </c>
      <c r="Q341" t="s">
        <v>17</v>
      </c>
      <c r="R341" s="4">
        <v>25.11</v>
      </c>
      <c r="S341" s="4">
        <v>0</v>
      </c>
      <c r="T341" t="s">
        <v>31</v>
      </c>
      <c r="U341" s="4">
        <v>2.2599999999999998</v>
      </c>
      <c r="V341" s="4">
        <v>2.92</v>
      </c>
      <c r="W341" s="4">
        <v>25.11</v>
      </c>
    </row>
    <row r="342" spans="1:23" ht="15" customHeight="1" x14ac:dyDescent="0.25">
      <c r="A342">
        <v>57</v>
      </c>
      <c r="B342" s="1">
        <v>45714</v>
      </c>
      <c r="C342">
        <v>0</v>
      </c>
      <c r="D342" t="s">
        <v>48</v>
      </c>
      <c r="E342">
        <v>2</v>
      </c>
      <c r="F342" t="s">
        <v>32</v>
      </c>
      <c r="G342" t="s">
        <v>33</v>
      </c>
      <c r="H342" t="s">
        <v>53</v>
      </c>
      <c r="I342" t="s">
        <v>19</v>
      </c>
      <c r="J342" t="s">
        <v>26</v>
      </c>
      <c r="K342" s="2">
        <v>12500</v>
      </c>
      <c r="L342" s="3">
        <v>1.9</v>
      </c>
      <c r="M342" s="3">
        <v>80</v>
      </c>
      <c r="N342" s="3">
        <v>0</v>
      </c>
      <c r="O342" s="2">
        <v>9</v>
      </c>
      <c r="P342">
        <v>0</v>
      </c>
      <c r="Q342" t="s">
        <v>14</v>
      </c>
      <c r="R342" s="4">
        <v>22.92</v>
      </c>
      <c r="S342" s="4">
        <v>0</v>
      </c>
      <c r="T342" t="s">
        <v>31</v>
      </c>
      <c r="U342" s="4">
        <v>2</v>
      </c>
      <c r="V342" s="4">
        <v>1.8340000000000001</v>
      </c>
      <c r="W342" s="4">
        <v>22.92</v>
      </c>
    </row>
    <row r="343" spans="1:23" ht="15" customHeight="1" x14ac:dyDescent="0.25">
      <c r="A343">
        <v>1529</v>
      </c>
      <c r="B343" s="1">
        <v>45714</v>
      </c>
      <c r="C343">
        <v>0</v>
      </c>
      <c r="D343" t="s">
        <v>48</v>
      </c>
      <c r="E343">
        <v>2</v>
      </c>
      <c r="F343" t="s">
        <v>32</v>
      </c>
      <c r="G343" t="s">
        <v>33</v>
      </c>
      <c r="H343" t="s">
        <v>49</v>
      </c>
      <c r="I343" t="s">
        <v>27</v>
      </c>
      <c r="J343" t="s">
        <v>18</v>
      </c>
      <c r="K343" s="2">
        <v>26000</v>
      </c>
      <c r="L343" s="3">
        <v>4.0999999999999996</v>
      </c>
      <c r="M343" s="3">
        <v>84.8</v>
      </c>
      <c r="N343" s="3">
        <v>0</v>
      </c>
      <c r="O343" s="2">
        <v>57</v>
      </c>
      <c r="P343">
        <v>1</v>
      </c>
      <c r="Q343" t="s">
        <v>17</v>
      </c>
      <c r="R343" s="4">
        <v>124.96</v>
      </c>
      <c r="S343" s="4">
        <v>0</v>
      </c>
      <c r="T343" t="s">
        <v>31</v>
      </c>
      <c r="U343" s="4">
        <v>11.3</v>
      </c>
      <c r="V343" s="4">
        <v>4.806</v>
      </c>
      <c r="W343" s="4">
        <v>124.96</v>
      </c>
    </row>
    <row r="344" spans="1:23" ht="15" customHeight="1" x14ac:dyDescent="0.25">
      <c r="A344">
        <v>1530</v>
      </c>
      <c r="B344" s="1">
        <v>45714.333333333343</v>
      </c>
      <c r="C344">
        <v>8</v>
      </c>
      <c r="D344" t="s">
        <v>48</v>
      </c>
      <c r="E344">
        <v>2</v>
      </c>
      <c r="F344" t="s">
        <v>32</v>
      </c>
      <c r="G344" t="s">
        <v>33</v>
      </c>
      <c r="H344" t="s">
        <v>49</v>
      </c>
      <c r="I344" t="s">
        <v>27</v>
      </c>
      <c r="J344" t="s">
        <v>18</v>
      </c>
      <c r="K344" s="2">
        <v>26000</v>
      </c>
      <c r="L344" s="3">
        <v>9.5</v>
      </c>
      <c r="M344" s="3">
        <v>76.2</v>
      </c>
      <c r="N344" s="3">
        <v>93.4</v>
      </c>
      <c r="O344" s="2">
        <v>150</v>
      </c>
      <c r="P344">
        <v>1</v>
      </c>
      <c r="Q344" t="s">
        <v>17</v>
      </c>
      <c r="R344" s="4">
        <v>267.52999999999997</v>
      </c>
      <c r="S344" s="4">
        <v>25.07</v>
      </c>
      <c r="T344" t="s">
        <v>34</v>
      </c>
      <c r="U344" s="4">
        <v>34.840000000000003</v>
      </c>
      <c r="V344" s="4">
        <v>10.29</v>
      </c>
      <c r="W344" s="4">
        <v>242.46</v>
      </c>
    </row>
    <row r="345" spans="1:23" ht="15" customHeight="1" x14ac:dyDescent="0.25">
      <c r="A345">
        <v>1898</v>
      </c>
      <c r="B345" s="1">
        <v>45714.333333333343</v>
      </c>
      <c r="C345">
        <v>8</v>
      </c>
      <c r="D345" t="s">
        <v>48</v>
      </c>
      <c r="E345">
        <v>2</v>
      </c>
      <c r="F345" t="s">
        <v>32</v>
      </c>
      <c r="G345" t="s">
        <v>33</v>
      </c>
      <c r="H345" t="s">
        <v>52</v>
      </c>
      <c r="I345" t="s">
        <v>13</v>
      </c>
      <c r="J345" t="s">
        <v>21</v>
      </c>
      <c r="K345" s="2">
        <v>9800</v>
      </c>
      <c r="L345" s="3">
        <v>8</v>
      </c>
      <c r="M345" s="3">
        <v>84.2</v>
      </c>
      <c r="N345" s="3">
        <v>100.8</v>
      </c>
      <c r="O345" s="2">
        <v>77</v>
      </c>
      <c r="P345">
        <v>1</v>
      </c>
      <c r="Q345" t="s">
        <v>17</v>
      </c>
      <c r="R345" s="4">
        <v>36.68</v>
      </c>
      <c r="S345" s="4">
        <v>0</v>
      </c>
      <c r="T345" t="s">
        <v>34</v>
      </c>
      <c r="U345" s="4">
        <v>5.2</v>
      </c>
      <c r="V345" s="4">
        <v>3.7429999999999999</v>
      </c>
      <c r="W345" s="4">
        <v>36.68</v>
      </c>
    </row>
    <row r="346" spans="1:23" ht="15" customHeight="1" x14ac:dyDescent="0.25">
      <c r="A346">
        <v>58</v>
      </c>
      <c r="B346" s="1">
        <v>45714.333333333343</v>
      </c>
      <c r="C346">
        <v>8</v>
      </c>
      <c r="D346" t="s">
        <v>48</v>
      </c>
      <c r="E346">
        <v>2</v>
      </c>
      <c r="F346" t="s">
        <v>32</v>
      </c>
      <c r="G346" t="s">
        <v>33</v>
      </c>
      <c r="H346" t="s">
        <v>53</v>
      </c>
      <c r="I346" t="s">
        <v>19</v>
      </c>
      <c r="J346" t="s">
        <v>26</v>
      </c>
      <c r="K346" s="2">
        <v>12500</v>
      </c>
      <c r="L346" s="3">
        <v>3.6</v>
      </c>
      <c r="M346" s="3">
        <v>79.099999999999994</v>
      </c>
      <c r="N346" s="3">
        <v>59.3</v>
      </c>
      <c r="O346" s="2">
        <v>377</v>
      </c>
      <c r="P346">
        <v>1</v>
      </c>
      <c r="Q346" t="s">
        <v>17</v>
      </c>
      <c r="R346" s="4">
        <v>103.32</v>
      </c>
      <c r="S346" s="4">
        <v>8.17</v>
      </c>
      <c r="T346" t="s">
        <v>34</v>
      </c>
      <c r="U346" s="4">
        <v>13.76</v>
      </c>
      <c r="V346" s="4">
        <v>8.266</v>
      </c>
      <c r="W346" s="4">
        <v>95.15</v>
      </c>
    </row>
    <row r="347" spans="1:23" ht="15" customHeight="1" x14ac:dyDescent="0.25">
      <c r="A347">
        <v>794</v>
      </c>
      <c r="B347" s="1">
        <v>45714.333333333343</v>
      </c>
      <c r="C347">
        <v>8</v>
      </c>
      <c r="D347" t="s">
        <v>48</v>
      </c>
      <c r="E347">
        <v>2</v>
      </c>
      <c r="F347" t="s">
        <v>32</v>
      </c>
      <c r="G347" t="s">
        <v>33</v>
      </c>
      <c r="H347" t="s">
        <v>50</v>
      </c>
      <c r="I347" t="s">
        <v>22</v>
      </c>
      <c r="J347" t="s">
        <v>12</v>
      </c>
      <c r="K347" s="2">
        <v>21000</v>
      </c>
      <c r="L347" s="3">
        <v>4.8</v>
      </c>
      <c r="M347" s="3">
        <v>91.3</v>
      </c>
      <c r="N347" s="3">
        <v>55.1</v>
      </c>
      <c r="O347" s="2">
        <v>433</v>
      </c>
      <c r="P347">
        <v>1</v>
      </c>
      <c r="Q347" t="s">
        <v>17</v>
      </c>
      <c r="R347" s="4">
        <v>318.94</v>
      </c>
      <c r="S347" s="4">
        <v>10.88</v>
      </c>
      <c r="T347" t="s">
        <v>34</v>
      </c>
      <c r="U347" s="4">
        <v>43.84</v>
      </c>
      <c r="V347" s="4">
        <v>15.188000000000001</v>
      </c>
      <c r="W347" s="4">
        <v>308.06</v>
      </c>
    </row>
    <row r="348" spans="1:23" ht="15" customHeight="1" x14ac:dyDescent="0.25">
      <c r="A348">
        <v>426</v>
      </c>
      <c r="B348" s="1">
        <v>45714.333333333343</v>
      </c>
      <c r="C348">
        <v>8</v>
      </c>
      <c r="D348" t="s">
        <v>48</v>
      </c>
      <c r="E348">
        <v>2</v>
      </c>
      <c r="F348" t="s">
        <v>32</v>
      </c>
      <c r="G348" t="s">
        <v>33</v>
      </c>
      <c r="H348" t="s">
        <v>54</v>
      </c>
      <c r="I348" t="s">
        <v>16</v>
      </c>
      <c r="J348" t="s">
        <v>24</v>
      </c>
      <c r="K348" s="2">
        <v>8600</v>
      </c>
      <c r="L348" s="3">
        <v>7.8</v>
      </c>
      <c r="M348" s="3">
        <v>96.7</v>
      </c>
      <c r="N348" s="3">
        <v>36</v>
      </c>
      <c r="O348" s="2">
        <v>847</v>
      </c>
      <c r="P348">
        <v>1</v>
      </c>
      <c r="Q348" t="s">
        <v>17</v>
      </c>
      <c r="R348" s="4">
        <v>118.49</v>
      </c>
      <c r="S348" s="4">
        <v>2.61</v>
      </c>
      <c r="T348" t="s">
        <v>34</v>
      </c>
      <c r="U348" s="4">
        <v>16.71</v>
      </c>
      <c r="V348" s="4">
        <v>13.778</v>
      </c>
      <c r="W348" s="4">
        <v>115.88</v>
      </c>
    </row>
    <row r="349" spans="1:23" ht="15" customHeight="1" x14ac:dyDescent="0.25">
      <c r="A349">
        <v>1162</v>
      </c>
      <c r="B349" s="1">
        <v>45714.333333333343</v>
      </c>
      <c r="C349">
        <v>8</v>
      </c>
      <c r="D349" t="s">
        <v>48</v>
      </c>
      <c r="E349">
        <v>2</v>
      </c>
      <c r="F349" t="s">
        <v>32</v>
      </c>
      <c r="G349" t="s">
        <v>33</v>
      </c>
      <c r="H349" t="s">
        <v>51</v>
      </c>
      <c r="I349" t="s">
        <v>25</v>
      </c>
      <c r="J349" t="s">
        <v>15</v>
      </c>
      <c r="K349" s="2">
        <v>17400</v>
      </c>
      <c r="L349" s="3">
        <v>12</v>
      </c>
      <c r="M349" s="3">
        <v>83.9</v>
      </c>
      <c r="N349" s="3">
        <v>29.6</v>
      </c>
      <c r="O349" s="2"/>
      <c r="P349">
        <v>0</v>
      </c>
      <c r="Q349" t="s">
        <v>14</v>
      </c>
      <c r="R349" s="4">
        <v>46.21</v>
      </c>
      <c r="S349" s="4">
        <v>3.9</v>
      </c>
      <c r="T349" t="s">
        <v>34</v>
      </c>
      <c r="U349" s="4">
        <v>6.26</v>
      </c>
      <c r="V349" s="4">
        <v>2.6560000000000001</v>
      </c>
      <c r="W349" s="4">
        <v>42.31</v>
      </c>
    </row>
    <row r="350" spans="1:23" ht="15" customHeight="1" x14ac:dyDescent="0.25">
      <c r="A350">
        <v>795</v>
      </c>
      <c r="B350" s="1">
        <v>45714.583333333343</v>
      </c>
      <c r="C350">
        <v>14</v>
      </c>
      <c r="D350" t="s">
        <v>48</v>
      </c>
      <c r="E350">
        <v>2</v>
      </c>
      <c r="F350" t="s">
        <v>32</v>
      </c>
      <c r="G350" t="s">
        <v>33</v>
      </c>
      <c r="H350" t="s">
        <v>50</v>
      </c>
      <c r="I350" t="s">
        <v>22</v>
      </c>
      <c r="J350" t="s">
        <v>12</v>
      </c>
      <c r="K350" s="2">
        <v>21000</v>
      </c>
      <c r="L350" s="3">
        <v>16.399999999999999</v>
      </c>
      <c r="M350" s="3">
        <v>68.3</v>
      </c>
      <c r="N350" s="3">
        <v>581.79999999999995</v>
      </c>
      <c r="O350" s="2">
        <v>350</v>
      </c>
      <c r="P350">
        <v>0</v>
      </c>
      <c r="Q350" t="s">
        <v>14</v>
      </c>
      <c r="R350" s="4">
        <v>186.31</v>
      </c>
      <c r="S350" s="4">
        <v>123.78</v>
      </c>
      <c r="T350" t="s">
        <v>34</v>
      </c>
      <c r="U350" s="4">
        <v>9.17</v>
      </c>
      <c r="V350" s="4">
        <v>8.8719999999999999</v>
      </c>
      <c r="W350" s="4">
        <v>62.53</v>
      </c>
    </row>
    <row r="351" spans="1:23" ht="15" customHeight="1" x14ac:dyDescent="0.25">
      <c r="A351">
        <v>1899</v>
      </c>
      <c r="B351" s="1">
        <v>45714.583333333343</v>
      </c>
      <c r="C351">
        <v>14</v>
      </c>
      <c r="D351" t="s">
        <v>48</v>
      </c>
      <c r="E351">
        <v>2</v>
      </c>
      <c r="F351" t="s">
        <v>32</v>
      </c>
      <c r="G351" t="s">
        <v>33</v>
      </c>
      <c r="H351" t="s">
        <v>52</v>
      </c>
      <c r="I351" t="s">
        <v>13</v>
      </c>
      <c r="J351" t="s">
        <v>21</v>
      </c>
      <c r="K351" s="2">
        <v>9800</v>
      </c>
      <c r="L351" s="3">
        <v>14.3</v>
      </c>
      <c r="M351" s="3">
        <v>93.5</v>
      </c>
      <c r="N351" s="3">
        <v>330.9</v>
      </c>
      <c r="O351" s="2">
        <v>63</v>
      </c>
      <c r="P351">
        <v>1</v>
      </c>
      <c r="Q351" t="s">
        <v>17</v>
      </c>
      <c r="R351" s="4">
        <v>18.82</v>
      </c>
      <c r="S351" s="4">
        <v>0</v>
      </c>
      <c r="T351" t="s">
        <v>34</v>
      </c>
      <c r="U351" s="4">
        <v>2.7</v>
      </c>
      <c r="V351" s="4">
        <v>1.92</v>
      </c>
      <c r="W351" s="4">
        <v>18.82</v>
      </c>
    </row>
    <row r="352" spans="1:23" ht="15" customHeight="1" x14ac:dyDescent="0.25">
      <c r="A352">
        <v>1163</v>
      </c>
      <c r="B352" s="1">
        <v>45714.583333333343</v>
      </c>
      <c r="C352">
        <v>14</v>
      </c>
      <c r="D352" t="s">
        <v>48</v>
      </c>
      <c r="E352">
        <v>2</v>
      </c>
      <c r="F352" t="s">
        <v>32</v>
      </c>
      <c r="G352" t="s">
        <v>33</v>
      </c>
      <c r="H352" t="s">
        <v>51</v>
      </c>
      <c r="I352" t="s">
        <v>25</v>
      </c>
      <c r="J352" t="s">
        <v>15</v>
      </c>
      <c r="K352" s="2">
        <v>17400</v>
      </c>
      <c r="L352" s="3">
        <v>16.3</v>
      </c>
      <c r="M352" s="3">
        <v>73</v>
      </c>
      <c r="N352" s="3">
        <v>592.70000000000005</v>
      </c>
      <c r="O352" s="2">
        <v>1394</v>
      </c>
      <c r="P352">
        <v>0</v>
      </c>
      <c r="Q352" t="s">
        <v>14</v>
      </c>
      <c r="R352" s="4">
        <v>203.26</v>
      </c>
      <c r="S352" s="4">
        <v>71.5</v>
      </c>
      <c r="T352" t="s">
        <v>34</v>
      </c>
      <c r="U352" s="4">
        <v>19.43</v>
      </c>
      <c r="V352" s="4">
        <v>11.682</v>
      </c>
      <c r="W352" s="4">
        <v>131.76</v>
      </c>
    </row>
    <row r="353" spans="1:23" ht="15" customHeight="1" x14ac:dyDescent="0.25">
      <c r="A353">
        <v>427</v>
      </c>
      <c r="B353" s="1">
        <v>45714.583333333343</v>
      </c>
      <c r="C353">
        <v>14</v>
      </c>
      <c r="D353" t="s">
        <v>48</v>
      </c>
      <c r="E353">
        <v>2</v>
      </c>
      <c r="F353" t="s">
        <v>32</v>
      </c>
      <c r="G353" t="s">
        <v>33</v>
      </c>
      <c r="H353" t="s">
        <v>54</v>
      </c>
      <c r="I353" t="s">
        <v>16</v>
      </c>
      <c r="J353" t="s">
        <v>24</v>
      </c>
      <c r="K353" s="2">
        <v>8600</v>
      </c>
      <c r="L353" s="3">
        <v>16.3</v>
      </c>
      <c r="M353" s="3">
        <v>99</v>
      </c>
      <c r="N353" s="3">
        <v>285</v>
      </c>
      <c r="O353" s="2">
        <v>864</v>
      </c>
      <c r="P353">
        <v>0</v>
      </c>
      <c r="Q353" t="s">
        <v>14</v>
      </c>
      <c r="R353" s="4">
        <v>80.38</v>
      </c>
      <c r="S353" s="4">
        <v>20.25</v>
      </c>
      <c r="T353" t="s">
        <v>34</v>
      </c>
      <c r="U353" s="4">
        <v>8.68</v>
      </c>
      <c r="V353" s="4">
        <v>9.3469999999999995</v>
      </c>
      <c r="W353" s="4">
        <v>60.13</v>
      </c>
    </row>
    <row r="354" spans="1:23" ht="15" customHeight="1" x14ac:dyDescent="0.25">
      <c r="A354">
        <v>59</v>
      </c>
      <c r="B354" s="1">
        <v>45714.583333333343</v>
      </c>
      <c r="C354">
        <v>14</v>
      </c>
      <c r="D354" t="s">
        <v>48</v>
      </c>
      <c r="E354">
        <v>2</v>
      </c>
      <c r="F354" t="s">
        <v>32</v>
      </c>
      <c r="G354" t="s">
        <v>33</v>
      </c>
      <c r="H354" t="s">
        <v>53</v>
      </c>
      <c r="I354" t="s">
        <v>19</v>
      </c>
      <c r="J354" t="s">
        <v>26</v>
      </c>
      <c r="K354" s="2">
        <v>12500</v>
      </c>
      <c r="L354" s="3">
        <v>13.7</v>
      </c>
      <c r="M354" s="3">
        <v>64.5</v>
      </c>
      <c r="N354" s="3">
        <v>329</v>
      </c>
      <c r="O354" s="2">
        <v>613</v>
      </c>
      <c r="P354">
        <v>1</v>
      </c>
      <c r="Q354" t="s">
        <v>17</v>
      </c>
      <c r="R354" s="4">
        <v>94.75</v>
      </c>
      <c r="S354" s="4">
        <v>46.3</v>
      </c>
      <c r="T354" t="s">
        <v>34</v>
      </c>
      <c r="U354" s="4">
        <v>7.14</v>
      </c>
      <c r="V354" s="4">
        <v>7.58</v>
      </c>
      <c r="W354" s="4">
        <v>48.45</v>
      </c>
    </row>
    <row r="355" spans="1:23" ht="15" customHeight="1" x14ac:dyDescent="0.25">
      <c r="A355">
        <v>1531</v>
      </c>
      <c r="B355" s="1">
        <v>45714.583333333343</v>
      </c>
      <c r="C355">
        <v>14</v>
      </c>
      <c r="D355" t="s">
        <v>48</v>
      </c>
      <c r="E355">
        <v>2</v>
      </c>
      <c r="F355" t="s">
        <v>32</v>
      </c>
      <c r="G355" t="s">
        <v>33</v>
      </c>
      <c r="H355" t="s">
        <v>49</v>
      </c>
      <c r="I355" t="s">
        <v>27</v>
      </c>
      <c r="J355" t="s">
        <v>18</v>
      </c>
      <c r="K355" s="2">
        <v>26000</v>
      </c>
      <c r="L355" s="3">
        <v>13.5</v>
      </c>
      <c r="M355" s="3">
        <v>67.3</v>
      </c>
      <c r="N355" s="3">
        <v>549.70000000000005</v>
      </c>
      <c r="O355" s="2">
        <v>163</v>
      </c>
      <c r="P355">
        <v>1</v>
      </c>
      <c r="Q355" t="s">
        <v>17</v>
      </c>
      <c r="R355" s="4">
        <v>165.99</v>
      </c>
      <c r="S355" s="4">
        <v>147.99</v>
      </c>
      <c r="T355" t="s">
        <v>34</v>
      </c>
      <c r="U355" s="4">
        <v>2.65</v>
      </c>
      <c r="V355" s="4">
        <v>6.3840000000000003</v>
      </c>
      <c r="W355" s="4">
        <v>18</v>
      </c>
    </row>
    <row r="356" spans="1:23" ht="15" customHeight="1" x14ac:dyDescent="0.25">
      <c r="A356">
        <v>1900</v>
      </c>
      <c r="B356" s="1">
        <v>45714.833333333343</v>
      </c>
      <c r="C356">
        <v>20</v>
      </c>
      <c r="D356" t="s">
        <v>48</v>
      </c>
      <c r="E356">
        <v>2</v>
      </c>
      <c r="F356" t="s">
        <v>32</v>
      </c>
      <c r="G356" t="s">
        <v>33</v>
      </c>
      <c r="H356" t="s">
        <v>52</v>
      </c>
      <c r="I356" t="s">
        <v>13</v>
      </c>
      <c r="J356" t="s">
        <v>21</v>
      </c>
      <c r="K356" s="2">
        <v>9800</v>
      </c>
      <c r="L356" s="3">
        <v>12</v>
      </c>
      <c r="M356" s="3">
        <v>78.3</v>
      </c>
      <c r="N356" s="3">
        <v>0</v>
      </c>
      <c r="O356" s="2">
        <v>289</v>
      </c>
      <c r="P356">
        <v>1</v>
      </c>
      <c r="Q356" t="s">
        <v>17</v>
      </c>
      <c r="R356" s="4">
        <v>96.32</v>
      </c>
      <c r="S356" s="4">
        <v>0</v>
      </c>
      <c r="T356" t="s">
        <v>37</v>
      </c>
      <c r="U356" s="4">
        <v>21.43</v>
      </c>
      <c r="V356" s="4">
        <v>9.8290000000000006</v>
      </c>
      <c r="W356" s="4">
        <v>96.32</v>
      </c>
    </row>
    <row r="357" spans="1:23" ht="15" customHeight="1" x14ac:dyDescent="0.25">
      <c r="A357">
        <v>428</v>
      </c>
      <c r="B357" s="1">
        <v>45714.833333333343</v>
      </c>
      <c r="C357">
        <v>20</v>
      </c>
      <c r="D357" t="s">
        <v>48</v>
      </c>
      <c r="E357">
        <v>2</v>
      </c>
      <c r="F357" t="s">
        <v>32</v>
      </c>
      <c r="G357" t="s">
        <v>33</v>
      </c>
      <c r="H357" t="s">
        <v>54</v>
      </c>
      <c r="I357" t="s">
        <v>16</v>
      </c>
      <c r="J357" t="s">
        <v>24</v>
      </c>
      <c r="K357" s="2">
        <v>8600</v>
      </c>
      <c r="L357" s="3">
        <v>12.3</v>
      </c>
      <c r="M357" s="3">
        <v>87.2</v>
      </c>
      <c r="N357" s="3">
        <v>0</v>
      </c>
      <c r="O357" s="2">
        <v>108</v>
      </c>
      <c r="P357">
        <v>1</v>
      </c>
      <c r="Q357" t="s">
        <v>17</v>
      </c>
      <c r="R357" s="4">
        <v>26.57</v>
      </c>
      <c r="S357" s="4">
        <v>0</v>
      </c>
      <c r="T357" t="s">
        <v>37</v>
      </c>
      <c r="U357" s="4">
        <v>5.87</v>
      </c>
      <c r="V357" s="4">
        <v>3.09</v>
      </c>
      <c r="W357" s="4">
        <v>26.57</v>
      </c>
    </row>
    <row r="358" spans="1:23" ht="15" customHeight="1" x14ac:dyDescent="0.25">
      <c r="A358">
        <v>60</v>
      </c>
      <c r="B358" s="1">
        <v>45714.833333333343</v>
      </c>
      <c r="C358">
        <v>20</v>
      </c>
      <c r="D358" t="s">
        <v>48</v>
      </c>
      <c r="E358">
        <v>2</v>
      </c>
      <c r="F358" t="s">
        <v>32</v>
      </c>
      <c r="G358" t="s">
        <v>33</v>
      </c>
      <c r="H358" t="s">
        <v>53</v>
      </c>
      <c r="I358" t="s">
        <v>19</v>
      </c>
      <c r="J358" t="s">
        <v>26</v>
      </c>
      <c r="K358" s="2">
        <v>12500</v>
      </c>
      <c r="L358" s="3">
        <v>8.8000000000000007</v>
      </c>
      <c r="M358" s="3">
        <v>82.8</v>
      </c>
      <c r="N358" s="3">
        <v>0</v>
      </c>
      <c r="O358" s="2">
        <v>57</v>
      </c>
      <c r="P358">
        <v>1</v>
      </c>
      <c r="Q358" t="s">
        <v>17</v>
      </c>
      <c r="R358" s="4">
        <v>40.85</v>
      </c>
      <c r="S358" s="4">
        <v>0</v>
      </c>
      <c r="T358" t="s">
        <v>37</v>
      </c>
      <c r="U358" s="4">
        <v>9.3000000000000007</v>
      </c>
      <c r="V358" s="4">
        <v>3.2679999999999998</v>
      </c>
      <c r="W358" s="4">
        <v>40.85</v>
      </c>
    </row>
    <row r="359" spans="1:23" ht="15" customHeight="1" x14ac:dyDescent="0.25">
      <c r="A359">
        <v>796</v>
      </c>
      <c r="B359" s="1">
        <v>45714.833333333343</v>
      </c>
      <c r="C359">
        <v>20</v>
      </c>
      <c r="D359" t="s">
        <v>48</v>
      </c>
      <c r="E359">
        <v>2</v>
      </c>
      <c r="F359" t="s">
        <v>32</v>
      </c>
      <c r="G359" t="s">
        <v>33</v>
      </c>
      <c r="H359" t="s">
        <v>50</v>
      </c>
      <c r="I359" t="s">
        <v>22</v>
      </c>
      <c r="J359" t="s">
        <v>12</v>
      </c>
      <c r="K359" s="2">
        <v>21000</v>
      </c>
      <c r="L359" s="3">
        <v>15.2</v>
      </c>
      <c r="M359" s="3">
        <v>61.3</v>
      </c>
      <c r="N359" s="3">
        <v>0</v>
      </c>
      <c r="O359" s="2">
        <v>397</v>
      </c>
      <c r="P359">
        <v>1</v>
      </c>
      <c r="Q359" t="s">
        <v>23</v>
      </c>
      <c r="R359" s="4">
        <v>285.48</v>
      </c>
      <c r="S359" s="4">
        <v>0</v>
      </c>
      <c r="T359" t="s">
        <v>37</v>
      </c>
      <c r="U359" s="4"/>
      <c r="V359" s="4">
        <v>13.593999999999999</v>
      </c>
      <c r="W359" s="4">
        <v>285.48</v>
      </c>
    </row>
    <row r="360" spans="1:23" ht="15" customHeight="1" x14ac:dyDescent="0.25">
      <c r="A360">
        <v>1532</v>
      </c>
      <c r="B360" s="1">
        <v>45714.833333333343</v>
      </c>
      <c r="C360">
        <v>20</v>
      </c>
      <c r="D360" t="s">
        <v>48</v>
      </c>
      <c r="E360">
        <v>2</v>
      </c>
      <c r="F360" t="s">
        <v>32</v>
      </c>
      <c r="G360" t="s">
        <v>33</v>
      </c>
      <c r="H360" t="s">
        <v>49</v>
      </c>
      <c r="I360" t="s">
        <v>27</v>
      </c>
      <c r="J360" t="s">
        <v>18</v>
      </c>
      <c r="K360" s="2">
        <v>26000</v>
      </c>
      <c r="L360" s="3">
        <v>10.3</v>
      </c>
      <c r="M360" s="3">
        <v>68.400000000000006</v>
      </c>
      <c r="N360" s="3">
        <v>0</v>
      </c>
      <c r="O360" s="2">
        <v>185</v>
      </c>
      <c r="P360">
        <v>1</v>
      </c>
      <c r="Q360" t="s">
        <v>17</v>
      </c>
      <c r="R360" s="4">
        <v>252.33</v>
      </c>
      <c r="S360" s="4">
        <v>0</v>
      </c>
      <c r="T360" t="s">
        <v>37</v>
      </c>
      <c r="U360" s="4">
        <v>56.52</v>
      </c>
      <c r="V360" s="4">
        <v>9.7050000000000001</v>
      </c>
      <c r="W360" s="4">
        <v>252.33</v>
      </c>
    </row>
    <row r="361" spans="1:23" ht="15" customHeight="1" x14ac:dyDescent="0.25">
      <c r="A361">
        <v>1164</v>
      </c>
      <c r="B361" s="1">
        <v>45714.833333333343</v>
      </c>
      <c r="C361">
        <v>20</v>
      </c>
      <c r="D361" t="s">
        <v>48</v>
      </c>
      <c r="E361">
        <v>2</v>
      </c>
      <c r="F361" t="s">
        <v>32</v>
      </c>
      <c r="G361" t="s">
        <v>33</v>
      </c>
      <c r="H361" t="s">
        <v>51</v>
      </c>
      <c r="I361" t="s">
        <v>25</v>
      </c>
      <c r="J361" t="s">
        <v>15</v>
      </c>
      <c r="K361" s="2">
        <v>17400</v>
      </c>
      <c r="L361" s="3">
        <v>12.3</v>
      </c>
      <c r="M361" s="3">
        <v>85.3</v>
      </c>
      <c r="N361" s="3">
        <v>0</v>
      </c>
      <c r="O361" s="2">
        <v>1382</v>
      </c>
      <c r="P361">
        <v>1</v>
      </c>
      <c r="Q361" t="s">
        <v>17</v>
      </c>
      <c r="R361" s="4">
        <v>292.14</v>
      </c>
      <c r="S361" s="4">
        <v>0</v>
      </c>
      <c r="T361" t="s">
        <v>37</v>
      </c>
      <c r="U361" s="4">
        <v>66.05</v>
      </c>
      <c r="V361" s="4">
        <v>16.79</v>
      </c>
      <c r="W361" s="4">
        <v>292.14</v>
      </c>
    </row>
    <row r="362" spans="1:23" ht="15" customHeight="1" x14ac:dyDescent="0.25">
      <c r="A362">
        <v>429</v>
      </c>
      <c r="B362" s="1">
        <v>45718</v>
      </c>
      <c r="C362">
        <v>0</v>
      </c>
      <c r="D362" t="s">
        <v>55</v>
      </c>
      <c r="E362">
        <v>3</v>
      </c>
      <c r="F362" t="s">
        <v>35</v>
      </c>
      <c r="G362" t="s">
        <v>36</v>
      </c>
      <c r="H362" t="s">
        <v>54</v>
      </c>
      <c r="I362" t="s">
        <v>16</v>
      </c>
      <c r="J362" t="s">
        <v>24</v>
      </c>
      <c r="K362" s="2">
        <v>8600</v>
      </c>
      <c r="L362" s="3">
        <v>3.9</v>
      </c>
      <c r="M362" s="3">
        <v>99</v>
      </c>
      <c r="N362" s="3">
        <v>0</v>
      </c>
      <c r="O362" s="2">
        <v>13</v>
      </c>
      <c r="P362">
        <v>0</v>
      </c>
      <c r="Q362" t="s">
        <v>14</v>
      </c>
      <c r="R362" s="4">
        <v>12.56</v>
      </c>
      <c r="S362" s="4">
        <v>0</v>
      </c>
      <c r="T362" t="s">
        <v>31</v>
      </c>
      <c r="U362" s="4">
        <v>1.07</v>
      </c>
      <c r="V362" s="4">
        <v>1.46</v>
      </c>
      <c r="W362" s="4">
        <v>12.56</v>
      </c>
    </row>
    <row r="363" spans="1:23" ht="15" customHeight="1" x14ac:dyDescent="0.25">
      <c r="A363">
        <v>61</v>
      </c>
      <c r="B363" s="1">
        <v>45718</v>
      </c>
      <c r="C363">
        <v>0</v>
      </c>
      <c r="D363" t="s">
        <v>55</v>
      </c>
      <c r="E363">
        <v>3</v>
      </c>
      <c r="F363" t="s">
        <v>35</v>
      </c>
      <c r="G363" t="s">
        <v>36</v>
      </c>
      <c r="H363" t="s">
        <v>53</v>
      </c>
      <c r="I363" t="s">
        <v>19</v>
      </c>
      <c r="J363" t="s">
        <v>26</v>
      </c>
      <c r="K363" s="2">
        <v>12500</v>
      </c>
      <c r="L363" s="3">
        <v>3.5</v>
      </c>
      <c r="M363" s="3">
        <v>72.099999999999994</v>
      </c>
      <c r="N363" s="3">
        <v>0</v>
      </c>
      <c r="O363" s="2">
        <v>47</v>
      </c>
      <c r="P363">
        <v>0</v>
      </c>
      <c r="Q363" t="s">
        <v>14</v>
      </c>
      <c r="R363" s="4">
        <v>26.78</v>
      </c>
      <c r="S363" s="4">
        <v>0</v>
      </c>
      <c r="T363" t="s">
        <v>31</v>
      </c>
      <c r="U363" s="4">
        <v>2.39</v>
      </c>
      <c r="V363" s="4">
        <v>2.1419999999999999</v>
      </c>
      <c r="W363" s="4">
        <v>26.78</v>
      </c>
    </row>
    <row r="364" spans="1:23" ht="15" customHeight="1" x14ac:dyDescent="0.25">
      <c r="A364">
        <v>1901</v>
      </c>
      <c r="B364" s="1">
        <v>45718</v>
      </c>
      <c r="C364">
        <v>0</v>
      </c>
      <c r="D364" t="s">
        <v>55</v>
      </c>
      <c r="E364">
        <v>3</v>
      </c>
      <c r="F364" t="s">
        <v>35</v>
      </c>
      <c r="G364" t="s">
        <v>36</v>
      </c>
      <c r="H364" t="s">
        <v>52</v>
      </c>
      <c r="I364" t="s">
        <v>13</v>
      </c>
      <c r="J364" t="s">
        <v>21</v>
      </c>
      <c r="K364" s="2">
        <v>9800</v>
      </c>
      <c r="L364" s="3">
        <v>7.8</v>
      </c>
      <c r="M364" s="3">
        <v>89.1</v>
      </c>
      <c r="N364" s="3">
        <v>0</v>
      </c>
      <c r="O364" s="2">
        <v>289</v>
      </c>
      <c r="P364">
        <v>1</v>
      </c>
      <c r="Q364" t="s">
        <v>17</v>
      </c>
      <c r="R364" s="4">
        <v>95.95</v>
      </c>
      <c r="S364" s="4">
        <v>0</v>
      </c>
      <c r="T364" t="s">
        <v>31</v>
      </c>
      <c r="U364" s="4">
        <v>8.7200000000000006</v>
      </c>
      <c r="V364" s="4">
        <v>9.7910000000000004</v>
      </c>
      <c r="W364" s="4">
        <v>95.95</v>
      </c>
    </row>
    <row r="365" spans="1:23" ht="15" customHeight="1" x14ac:dyDescent="0.25">
      <c r="A365">
        <v>797</v>
      </c>
      <c r="B365" s="1">
        <v>45718</v>
      </c>
      <c r="C365">
        <v>0</v>
      </c>
      <c r="D365" t="s">
        <v>55</v>
      </c>
      <c r="E365">
        <v>3</v>
      </c>
      <c r="F365" t="s">
        <v>35</v>
      </c>
      <c r="G365" t="s">
        <v>36</v>
      </c>
      <c r="H365" t="s">
        <v>50</v>
      </c>
      <c r="I365" t="s">
        <v>22</v>
      </c>
      <c r="J365" t="s">
        <v>12</v>
      </c>
      <c r="K365" s="2">
        <v>21000</v>
      </c>
      <c r="L365" s="3">
        <v>8.9</v>
      </c>
      <c r="M365" s="3">
        <v>70.5</v>
      </c>
      <c r="N365" s="3">
        <v>0</v>
      </c>
      <c r="O365" s="2">
        <v>198</v>
      </c>
      <c r="P365">
        <v>1</v>
      </c>
      <c r="Q365" t="s">
        <v>17</v>
      </c>
      <c r="R365" s="4">
        <v>174.28</v>
      </c>
      <c r="S365" s="4">
        <v>0</v>
      </c>
      <c r="T365" t="s">
        <v>31</v>
      </c>
      <c r="U365" s="4">
        <v>15.89</v>
      </c>
      <c r="V365" s="4">
        <v>8.2989999999999995</v>
      </c>
      <c r="W365" s="4">
        <v>174.28</v>
      </c>
    </row>
    <row r="366" spans="1:23" ht="15" customHeight="1" x14ac:dyDescent="0.25">
      <c r="A366">
        <v>1533</v>
      </c>
      <c r="B366" s="1">
        <v>45718</v>
      </c>
      <c r="C366">
        <v>0</v>
      </c>
      <c r="D366" t="s">
        <v>55</v>
      </c>
      <c r="E366">
        <v>3</v>
      </c>
      <c r="F366" t="s">
        <v>35</v>
      </c>
      <c r="G366" t="s">
        <v>36</v>
      </c>
      <c r="H366" t="s">
        <v>49</v>
      </c>
      <c r="I366" t="s">
        <v>27</v>
      </c>
      <c r="J366" t="s">
        <v>18</v>
      </c>
      <c r="K366" s="2">
        <v>26000</v>
      </c>
      <c r="L366" s="3">
        <v>3.9</v>
      </c>
      <c r="M366" s="3">
        <v>80</v>
      </c>
      <c r="N366" s="3">
        <v>0</v>
      </c>
      <c r="O366" s="2">
        <v>14</v>
      </c>
      <c r="P366">
        <v>1</v>
      </c>
      <c r="Q366" t="s">
        <v>17</v>
      </c>
      <c r="R366" s="4">
        <v>91.58</v>
      </c>
      <c r="S366" s="4">
        <v>0</v>
      </c>
      <c r="T366" t="s">
        <v>31</v>
      </c>
      <c r="U366" s="4">
        <v>8.2799999999999994</v>
      </c>
      <c r="V366" s="4">
        <v>3.5219999999999998</v>
      </c>
      <c r="W366" s="4">
        <v>91.58</v>
      </c>
    </row>
    <row r="367" spans="1:23" ht="15" customHeight="1" x14ac:dyDescent="0.25">
      <c r="A367">
        <v>1165</v>
      </c>
      <c r="B367" s="1">
        <v>45718</v>
      </c>
      <c r="C367">
        <v>0</v>
      </c>
      <c r="D367" t="s">
        <v>55</v>
      </c>
      <c r="E367">
        <v>3</v>
      </c>
      <c r="F367" t="s">
        <v>35</v>
      </c>
      <c r="G367" t="s">
        <v>36</v>
      </c>
      <c r="H367" t="s">
        <v>51</v>
      </c>
      <c r="I367" t="s">
        <v>25</v>
      </c>
      <c r="J367" t="s">
        <v>15</v>
      </c>
      <c r="K367" s="2">
        <v>17400</v>
      </c>
      <c r="L367" s="3">
        <v>12.5</v>
      </c>
      <c r="M367" s="3">
        <v>65.099999999999994</v>
      </c>
      <c r="N367" s="3">
        <v>0</v>
      </c>
      <c r="O367" s="2">
        <v>143</v>
      </c>
      <c r="P367">
        <v>1</v>
      </c>
      <c r="Q367" t="s">
        <v>17</v>
      </c>
      <c r="R367" s="4">
        <v>60.95</v>
      </c>
      <c r="S367" s="4">
        <v>0</v>
      </c>
      <c r="T367" t="s">
        <v>31</v>
      </c>
      <c r="U367" s="4">
        <v>5.44</v>
      </c>
      <c r="V367" s="4">
        <v>3.5030000000000001</v>
      </c>
      <c r="W367" s="4">
        <v>60.95</v>
      </c>
    </row>
    <row r="368" spans="1:23" ht="15" customHeight="1" x14ac:dyDescent="0.25">
      <c r="A368">
        <v>1902</v>
      </c>
      <c r="B368" s="1">
        <v>45718.333333333343</v>
      </c>
      <c r="C368">
        <v>8</v>
      </c>
      <c r="D368" t="s">
        <v>55</v>
      </c>
      <c r="E368">
        <v>3</v>
      </c>
      <c r="F368" t="s">
        <v>35</v>
      </c>
      <c r="G368" t="s">
        <v>36</v>
      </c>
      <c r="H368" t="s">
        <v>52</v>
      </c>
      <c r="I368" t="s">
        <v>13</v>
      </c>
      <c r="J368" t="s">
        <v>21</v>
      </c>
      <c r="K368" s="2">
        <v>9800</v>
      </c>
      <c r="L368" s="3">
        <v>13.2</v>
      </c>
      <c r="M368" s="3">
        <v>90.2</v>
      </c>
      <c r="N368" s="3">
        <v>75.400000000000006</v>
      </c>
      <c r="O368" s="2">
        <v>83</v>
      </c>
      <c r="P368">
        <v>1</v>
      </c>
      <c r="Q368" t="s">
        <v>17</v>
      </c>
      <c r="R368" s="4">
        <v>47.45</v>
      </c>
      <c r="S368" s="4">
        <v>0</v>
      </c>
      <c r="T368" t="s">
        <v>31</v>
      </c>
      <c r="U368" s="4">
        <v>4.33</v>
      </c>
      <c r="V368" s="4">
        <v>4.8419999999999996</v>
      </c>
      <c r="W368" s="4">
        <v>47.45</v>
      </c>
    </row>
    <row r="369" spans="1:23" ht="15" customHeight="1" x14ac:dyDescent="0.25">
      <c r="A369">
        <v>430</v>
      </c>
      <c r="B369" s="1">
        <v>45718.333333333343</v>
      </c>
      <c r="C369">
        <v>8</v>
      </c>
      <c r="D369" t="s">
        <v>55</v>
      </c>
      <c r="E369">
        <v>3</v>
      </c>
      <c r="F369" t="s">
        <v>35</v>
      </c>
      <c r="G369" t="s">
        <v>36</v>
      </c>
      <c r="H369" t="s">
        <v>54</v>
      </c>
      <c r="I369" t="s">
        <v>16</v>
      </c>
      <c r="J369" t="s">
        <v>24</v>
      </c>
      <c r="K369" s="2">
        <v>8600</v>
      </c>
      <c r="L369" s="3">
        <v>8.1999999999999993</v>
      </c>
      <c r="M369" s="3">
        <v>96.1</v>
      </c>
      <c r="N369" s="3">
        <v>44.2</v>
      </c>
      <c r="O369" s="2">
        <v>0</v>
      </c>
      <c r="P369">
        <v>0</v>
      </c>
      <c r="Q369" t="s">
        <v>14</v>
      </c>
      <c r="R369" s="4">
        <v>12.72</v>
      </c>
      <c r="S369" s="4">
        <v>3.83</v>
      </c>
      <c r="T369" t="s">
        <v>31</v>
      </c>
      <c r="U369" s="4">
        <v>0.81</v>
      </c>
      <c r="V369" s="4">
        <v>1.4790000000000001</v>
      </c>
      <c r="W369" s="4">
        <v>8.89</v>
      </c>
    </row>
    <row r="370" spans="1:23" ht="15" customHeight="1" x14ac:dyDescent="0.25">
      <c r="A370">
        <v>798</v>
      </c>
      <c r="B370" s="1">
        <v>45718.333333333343</v>
      </c>
      <c r="C370">
        <v>8</v>
      </c>
      <c r="D370" t="s">
        <v>55</v>
      </c>
      <c r="E370">
        <v>3</v>
      </c>
      <c r="F370" t="s">
        <v>35</v>
      </c>
      <c r="G370" t="s">
        <v>36</v>
      </c>
      <c r="H370" t="s">
        <v>50</v>
      </c>
      <c r="I370" t="s">
        <v>22</v>
      </c>
      <c r="J370" t="s">
        <v>12</v>
      </c>
      <c r="K370" s="2">
        <v>21000</v>
      </c>
      <c r="L370" s="3">
        <v>9.8000000000000007</v>
      </c>
      <c r="M370" s="3">
        <v>83.2</v>
      </c>
      <c r="N370" s="3">
        <v>72.2</v>
      </c>
      <c r="O370" s="2">
        <v>418</v>
      </c>
      <c r="P370">
        <v>1</v>
      </c>
      <c r="Q370" t="s">
        <v>17</v>
      </c>
      <c r="R370" s="4">
        <v>297.64</v>
      </c>
      <c r="S370" s="4">
        <v>13.47</v>
      </c>
      <c r="T370" t="s">
        <v>31</v>
      </c>
      <c r="U370" s="4">
        <v>25.01</v>
      </c>
      <c r="V370" s="4">
        <v>14.173</v>
      </c>
      <c r="W370" s="4">
        <v>284.17</v>
      </c>
    </row>
    <row r="371" spans="1:23" ht="15" customHeight="1" x14ac:dyDescent="0.25">
      <c r="A371">
        <v>62</v>
      </c>
      <c r="B371" s="1">
        <v>45718.333333333343</v>
      </c>
      <c r="C371">
        <v>8</v>
      </c>
      <c r="D371" t="s">
        <v>55</v>
      </c>
      <c r="E371">
        <v>3</v>
      </c>
      <c r="F371" t="s">
        <v>35</v>
      </c>
      <c r="G371" t="s">
        <v>36</v>
      </c>
      <c r="H371" t="s">
        <v>53</v>
      </c>
      <c r="I371" t="s">
        <v>19</v>
      </c>
      <c r="J371" t="s">
        <v>26</v>
      </c>
      <c r="K371" s="2">
        <v>12500</v>
      </c>
      <c r="L371" s="3">
        <v>5.0999999999999996</v>
      </c>
      <c r="M371" s="3">
        <v>75</v>
      </c>
      <c r="N371" s="3">
        <v>60.7</v>
      </c>
      <c r="O371" s="2">
        <v>0</v>
      </c>
      <c r="P371">
        <v>0</v>
      </c>
      <c r="Q371" t="s">
        <v>14</v>
      </c>
      <c r="R371" s="4">
        <v>23.4</v>
      </c>
      <c r="S371" s="4">
        <v>9.4499999999999993</v>
      </c>
      <c r="T371" t="s">
        <v>31</v>
      </c>
      <c r="U371" s="4">
        <v>1.23</v>
      </c>
      <c r="V371" s="4">
        <v>1.8720000000000001</v>
      </c>
      <c r="W371" s="4">
        <v>13.95</v>
      </c>
    </row>
    <row r="372" spans="1:23" ht="15" customHeight="1" x14ac:dyDescent="0.25">
      <c r="A372">
        <v>1166</v>
      </c>
      <c r="B372" s="1">
        <v>45718.333333333343</v>
      </c>
      <c r="C372">
        <v>8</v>
      </c>
      <c r="D372" t="s">
        <v>55</v>
      </c>
      <c r="E372">
        <v>3</v>
      </c>
      <c r="F372" t="s">
        <v>35</v>
      </c>
      <c r="G372" t="s">
        <v>36</v>
      </c>
      <c r="H372" t="s">
        <v>51</v>
      </c>
      <c r="I372" t="s">
        <v>25</v>
      </c>
      <c r="J372" t="s">
        <v>15</v>
      </c>
      <c r="K372" s="2">
        <v>17400</v>
      </c>
      <c r="L372" s="3">
        <v>10</v>
      </c>
      <c r="M372" s="3">
        <v>82.3</v>
      </c>
      <c r="N372" s="3">
        <v>91.9</v>
      </c>
      <c r="O372" s="2">
        <v>54</v>
      </c>
      <c r="P372">
        <v>1</v>
      </c>
      <c r="Q372" t="s">
        <v>17</v>
      </c>
      <c r="R372" s="4">
        <v>64.03</v>
      </c>
      <c r="S372" s="4">
        <v>10.5</v>
      </c>
      <c r="T372" t="s">
        <v>31</v>
      </c>
      <c r="U372" s="4">
        <v>4.82</v>
      </c>
      <c r="V372" s="4">
        <v>3.68</v>
      </c>
      <c r="W372" s="4">
        <v>53.53</v>
      </c>
    </row>
    <row r="373" spans="1:23" ht="15" customHeight="1" x14ac:dyDescent="0.25">
      <c r="A373">
        <v>1534</v>
      </c>
      <c r="B373" s="1">
        <v>45718.333333333343</v>
      </c>
      <c r="C373">
        <v>8</v>
      </c>
      <c r="D373" t="s">
        <v>55</v>
      </c>
      <c r="E373">
        <v>3</v>
      </c>
      <c r="F373" t="s">
        <v>35</v>
      </c>
      <c r="G373" t="s">
        <v>36</v>
      </c>
      <c r="H373" t="s">
        <v>49</v>
      </c>
      <c r="I373" t="s">
        <v>27</v>
      </c>
      <c r="J373" t="s">
        <v>18</v>
      </c>
      <c r="K373" s="2">
        <v>26000</v>
      </c>
      <c r="L373" s="3">
        <v>4.4000000000000004</v>
      </c>
      <c r="M373" s="3">
        <v>88.5</v>
      </c>
      <c r="N373" s="3">
        <v>73.900000000000006</v>
      </c>
      <c r="O373" s="2">
        <v>72</v>
      </c>
      <c r="P373">
        <v>1</v>
      </c>
      <c r="Q373" t="s">
        <v>17</v>
      </c>
      <c r="R373" s="4">
        <v>146.13999999999999</v>
      </c>
      <c r="S373" s="4">
        <v>20.76</v>
      </c>
      <c r="T373" t="s">
        <v>31</v>
      </c>
      <c r="U373" s="4">
        <v>11.36</v>
      </c>
      <c r="V373" s="4">
        <v>5.6210000000000004</v>
      </c>
      <c r="W373" s="4">
        <v>125.38</v>
      </c>
    </row>
    <row r="374" spans="1:23" ht="15" customHeight="1" x14ac:dyDescent="0.25">
      <c r="A374">
        <v>1903</v>
      </c>
      <c r="B374" s="1">
        <v>45718.583333333343</v>
      </c>
      <c r="C374">
        <v>14</v>
      </c>
      <c r="D374" t="s">
        <v>55</v>
      </c>
      <c r="E374">
        <v>3</v>
      </c>
      <c r="F374" t="s">
        <v>35</v>
      </c>
      <c r="G374" t="s">
        <v>36</v>
      </c>
      <c r="H374" t="s">
        <v>52</v>
      </c>
      <c r="I374" t="s">
        <v>13</v>
      </c>
      <c r="J374" t="s">
        <v>21</v>
      </c>
      <c r="K374" s="2">
        <v>9800</v>
      </c>
      <c r="L374" s="3">
        <v>18.100000000000001</v>
      </c>
      <c r="M374" s="3">
        <v>88.4</v>
      </c>
      <c r="N374" s="3">
        <v>426.7</v>
      </c>
      <c r="O374" s="2">
        <v>104</v>
      </c>
      <c r="P374">
        <v>0</v>
      </c>
      <c r="Q374" t="s">
        <v>14</v>
      </c>
      <c r="R374" s="4">
        <v>23.62</v>
      </c>
      <c r="S374" s="4">
        <v>0</v>
      </c>
      <c r="T374" t="s">
        <v>31</v>
      </c>
      <c r="U374" s="4">
        <v>2.13</v>
      </c>
      <c r="V374" s="4">
        <v>2.41</v>
      </c>
      <c r="W374" s="4">
        <v>23.62</v>
      </c>
    </row>
    <row r="375" spans="1:23" ht="15" customHeight="1" x14ac:dyDescent="0.25">
      <c r="A375">
        <v>63</v>
      </c>
      <c r="B375" s="1">
        <v>45718.583333333343</v>
      </c>
      <c r="C375">
        <v>14</v>
      </c>
      <c r="D375" t="s">
        <v>55</v>
      </c>
      <c r="E375">
        <v>3</v>
      </c>
      <c r="F375" t="s">
        <v>35</v>
      </c>
      <c r="G375" t="s">
        <v>36</v>
      </c>
      <c r="H375" t="s">
        <v>53</v>
      </c>
      <c r="I375" t="s">
        <v>19</v>
      </c>
      <c r="J375" t="s">
        <v>26</v>
      </c>
      <c r="K375" s="2">
        <v>12500</v>
      </c>
      <c r="L375" s="3">
        <v>17.5</v>
      </c>
      <c r="M375" s="3">
        <v>62.1</v>
      </c>
      <c r="N375" s="3">
        <v>467.1</v>
      </c>
      <c r="O375" s="2">
        <v>0</v>
      </c>
      <c r="P375">
        <v>0</v>
      </c>
      <c r="Q375" t="s">
        <v>14</v>
      </c>
      <c r="R375" s="4">
        <v>16.05</v>
      </c>
      <c r="S375" s="4">
        <v>77.86</v>
      </c>
      <c r="T375" t="s">
        <v>31</v>
      </c>
      <c r="U375" s="4">
        <v>-2.2000000000000002</v>
      </c>
      <c r="V375" s="4">
        <v>1.284</v>
      </c>
      <c r="W375" s="4">
        <v>0</v>
      </c>
    </row>
    <row r="376" spans="1:23" ht="15" customHeight="1" x14ac:dyDescent="0.25">
      <c r="A376">
        <v>431</v>
      </c>
      <c r="B376" s="1">
        <v>45718.583333333343</v>
      </c>
      <c r="C376">
        <v>14</v>
      </c>
      <c r="D376" t="s">
        <v>55</v>
      </c>
      <c r="E376">
        <v>3</v>
      </c>
      <c r="F376" t="s">
        <v>35</v>
      </c>
      <c r="G376" t="s">
        <v>36</v>
      </c>
      <c r="H376" t="s">
        <v>54</v>
      </c>
      <c r="I376" t="s">
        <v>16</v>
      </c>
      <c r="J376" t="s">
        <v>24</v>
      </c>
      <c r="K376" s="2">
        <v>8600</v>
      </c>
      <c r="L376" s="3">
        <v>13.7</v>
      </c>
      <c r="M376" s="3">
        <v>85</v>
      </c>
      <c r="N376" s="3">
        <v>345</v>
      </c>
      <c r="O376" s="2">
        <v>0</v>
      </c>
      <c r="P376">
        <v>0</v>
      </c>
      <c r="Q376" t="s">
        <v>14</v>
      </c>
      <c r="R376" s="4">
        <v>8.1999999999999993</v>
      </c>
      <c r="S376" s="4">
        <v>27.35</v>
      </c>
      <c r="T376" t="s">
        <v>31</v>
      </c>
      <c r="U376" s="4">
        <v>-0.67</v>
      </c>
      <c r="V376" s="4">
        <v>0.95299999999999996</v>
      </c>
      <c r="W376" s="4">
        <v>0</v>
      </c>
    </row>
    <row r="377" spans="1:23" ht="15" customHeight="1" x14ac:dyDescent="0.25">
      <c r="A377">
        <v>799</v>
      </c>
      <c r="B377" s="1">
        <v>45718.583333333343</v>
      </c>
      <c r="C377">
        <v>14</v>
      </c>
      <c r="D377" t="s">
        <v>55</v>
      </c>
      <c r="E377">
        <v>3</v>
      </c>
      <c r="F377" t="s">
        <v>35</v>
      </c>
      <c r="G377" t="s">
        <v>36</v>
      </c>
      <c r="H377" t="s">
        <v>50</v>
      </c>
      <c r="I377" t="s">
        <v>22</v>
      </c>
      <c r="J377" t="s">
        <v>12</v>
      </c>
      <c r="K377" s="2">
        <v>21000</v>
      </c>
      <c r="L377" s="3">
        <v>16.8</v>
      </c>
      <c r="M377" s="3">
        <v>74.400000000000006</v>
      </c>
      <c r="N377" s="3">
        <v>409</v>
      </c>
      <c r="O377" s="2">
        <v>418</v>
      </c>
      <c r="P377">
        <v>0</v>
      </c>
      <c r="Q377" t="s">
        <v>14</v>
      </c>
      <c r="R377" s="4">
        <v>199.22</v>
      </c>
      <c r="S377" s="4">
        <v>79.989999999999995</v>
      </c>
      <c r="T377" t="s">
        <v>31</v>
      </c>
      <c r="U377" s="4">
        <v>10.61</v>
      </c>
      <c r="V377" s="4">
        <v>9.4870000000000001</v>
      </c>
      <c r="W377" s="4">
        <v>119.23</v>
      </c>
    </row>
    <row r="378" spans="1:23" ht="15" customHeight="1" x14ac:dyDescent="0.25">
      <c r="A378">
        <v>1535</v>
      </c>
      <c r="B378" s="1">
        <v>45718.583333333343</v>
      </c>
      <c r="C378">
        <v>14</v>
      </c>
      <c r="D378" t="s">
        <v>55</v>
      </c>
      <c r="E378">
        <v>3</v>
      </c>
      <c r="F378" t="s">
        <v>35</v>
      </c>
      <c r="G378" t="s">
        <v>36</v>
      </c>
      <c r="H378" t="s">
        <v>49</v>
      </c>
      <c r="I378" t="s">
        <v>27</v>
      </c>
      <c r="J378" t="s">
        <v>18</v>
      </c>
      <c r="K378" s="2">
        <v>26000</v>
      </c>
      <c r="L378" s="3">
        <v>14.5</v>
      </c>
      <c r="M378" s="3">
        <v>78.599999999999994</v>
      </c>
      <c r="N378" s="3">
        <v>422.2</v>
      </c>
      <c r="O378" s="2">
        <v>75</v>
      </c>
      <c r="P378">
        <v>1</v>
      </c>
      <c r="Q378" t="s">
        <v>23</v>
      </c>
      <c r="R378" s="4">
        <v>83.4</v>
      </c>
      <c r="S378" s="4">
        <v>114.21</v>
      </c>
      <c r="T378" t="s">
        <v>31</v>
      </c>
      <c r="U378" s="4">
        <v>-1.08</v>
      </c>
      <c r="V378" s="4">
        <v>3.2080000000000002</v>
      </c>
      <c r="W378" s="4">
        <v>0</v>
      </c>
    </row>
    <row r="379" spans="1:23" ht="15" customHeight="1" x14ac:dyDescent="0.25">
      <c r="A379">
        <v>1167</v>
      </c>
      <c r="B379" s="1">
        <v>45718.583333333343</v>
      </c>
      <c r="C379">
        <v>14</v>
      </c>
      <c r="D379" t="s">
        <v>55</v>
      </c>
      <c r="E379">
        <v>3</v>
      </c>
      <c r="F379" t="s">
        <v>35</v>
      </c>
      <c r="G379" t="s">
        <v>36</v>
      </c>
      <c r="H379" t="s">
        <v>51</v>
      </c>
      <c r="I379" t="s">
        <v>25</v>
      </c>
      <c r="J379" t="s">
        <v>15</v>
      </c>
      <c r="K379" s="2">
        <v>17400</v>
      </c>
      <c r="L379" s="3"/>
      <c r="M379" s="3">
        <v>86.7</v>
      </c>
      <c r="N379" s="3">
        <v>352.3</v>
      </c>
      <c r="O379" s="2">
        <v>1549</v>
      </c>
      <c r="P379">
        <v>0</v>
      </c>
      <c r="Q379" t="s">
        <v>14</v>
      </c>
      <c r="R379" s="4">
        <v>228.23</v>
      </c>
      <c r="S379" s="4">
        <v>42.88</v>
      </c>
      <c r="T379" t="s">
        <v>31</v>
      </c>
      <c r="U379" s="4">
        <v>16.68</v>
      </c>
      <c r="V379" s="4">
        <v>13.117000000000001</v>
      </c>
      <c r="W379" s="4">
        <v>185.35</v>
      </c>
    </row>
    <row r="380" spans="1:23" ht="15" customHeight="1" x14ac:dyDescent="0.25">
      <c r="A380">
        <v>64</v>
      </c>
      <c r="B380" s="1">
        <v>45718.833333333343</v>
      </c>
      <c r="C380">
        <v>20</v>
      </c>
      <c r="D380" t="s">
        <v>55</v>
      </c>
      <c r="E380">
        <v>3</v>
      </c>
      <c r="F380" t="s">
        <v>35</v>
      </c>
      <c r="G380" t="s">
        <v>36</v>
      </c>
      <c r="H380" t="s">
        <v>53</v>
      </c>
      <c r="I380" t="s">
        <v>19</v>
      </c>
      <c r="J380" t="s">
        <v>26</v>
      </c>
      <c r="K380" s="2">
        <v>12500</v>
      </c>
      <c r="L380" s="3">
        <v>10.6</v>
      </c>
      <c r="M380" s="3">
        <v>72.8</v>
      </c>
      <c r="N380" s="3">
        <v>0</v>
      </c>
      <c r="O380" s="2">
        <v>52</v>
      </c>
      <c r="P380">
        <v>0</v>
      </c>
      <c r="Q380" t="s">
        <v>14</v>
      </c>
      <c r="R380" s="4">
        <v>27.55</v>
      </c>
      <c r="S380" s="4">
        <v>0</v>
      </c>
      <c r="T380" t="s">
        <v>31</v>
      </c>
      <c r="U380" s="4">
        <v>2.5</v>
      </c>
      <c r="V380" s="4">
        <v>2.2040000000000002</v>
      </c>
      <c r="W380" s="4">
        <v>27.55</v>
      </c>
    </row>
    <row r="381" spans="1:23" ht="15" customHeight="1" x14ac:dyDescent="0.25">
      <c r="A381">
        <v>1536</v>
      </c>
      <c r="B381" s="1">
        <v>45718.833333333343</v>
      </c>
      <c r="C381">
        <v>20</v>
      </c>
      <c r="D381" t="s">
        <v>55</v>
      </c>
      <c r="E381">
        <v>3</v>
      </c>
      <c r="F381" t="s">
        <v>35</v>
      </c>
      <c r="G381" t="s">
        <v>36</v>
      </c>
      <c r="H381" t="s">
        <v>49</v>
      </c>
      <c r="I381" t="s">
        <v>27</v>
      </c>
      <c r="J381" t="s">
        <v>18</v>
      </c>
      <c r="K381" s="2">
        <v>26000</v>
      </c>
      <c r="L381" s="3">
        <v>9.3000000000000007</v>
      </c>
      <c r="M381" s="3">
        <v>79.5</v>
      </c>
      <c r="N381" s="3">
        <v>0</v>
      </c>
      <c r="O381" s="2">
        <v>72</v>
      </c>
      <c r="P381">
        <v>1</v>
      </c>
      <c r="Q381" t="s">
        <v>17</v>
      </c>
      <c r="R381" s="4">
        <v>144.07</v>
      </c>
      <c r="S381" s="4">
        <v>0</v>
      </c>
      <c r="T381" t="s">
        <v>31</v>
      </c>
      <c r="U381" s="4">
        <v>13.33</v>
      </c>
      <c r="V381" s="4">
        <v>5.5410000000000004</v>
      </c>
      <c r="W381" s="4">
        <v>144.07</v>
      </c>
    </row>
    <row r="382" spans="1:23" ht="15" customHeight="1" x14ac:dyDescent="0.25">
      <c r="A382">
        <v>432</v>
      </c>
      <c r="B382" s="1">
        <v>45718.833333333343</v>
      </c>
      <c r="C382">
        <v>20</v>
      </c>
      <c r="D382" t="s">
        <v>55</v>
      </c>
      <c r="E382">
        <v>3</v>
      </c>
      <c r="F382" t="s">
        <v>35</v>
      </c>
      <c r="G382" t="s">
        <v>36</v>
      </c>
      <c r="H382" t="s">
        <v>54</v>
      </c>
      <c r="I382" t="s">
        <v>16</v>
      </c>
      <c r="J382" t="s">
        <v>24</v>
      </c>
      <c r="K382" s="2">
        <v>8600</v>
      </c>
      <c r="L382" s="3">
        <v>7.6</v>
      </c>
      <c r="M382" s="3">
        <v>99</v>
      </c>
      <c r="N382" s="3">
        <v>0</v>
      </c>
      <c r="O382" s="2">
        <v>0</v>
      </c>
      <c r="P382">
        <v>0</v>
      </c>
      <c r="Q382" t="s">
        <v>14</v>
      </c>
      <c r="R382" s="4">
        <v>12.05</v>
      </c>
      <c r="S382" s="4">
        <v>0</v>
      </c>
      <c r="T382" t="s">
        <v>31</v>
      </c>
      <c r="U382" s="4">
        <v>1.1000000000000001</v>
      </c>
      <c r="V382" s="4">
        <v>1.401</v>
      </c>
      <c r="W382" s="4">
        <v>12.05</v>
      </c>
    </row>
    <row r="383" spans="1:23" ht="15" customHeight="1" x14ac:dyDescent="0.25">
      <c r="A383">
        <v>1168</v>
      </c>
      <c r="B383" s="1">
        <v>45718.833333333343</v>
      </c>
      <c r="C383">
        <v>20</v>
      </c>
      <c r="D383" t="s">
        <v>55</v>
      </c>
      <c r="E383">
        <v>3</v>
      </c>
      <c r="F383" t="s">
        <v>35</v>
      </c>
      <c r="G383" t="s">
        <v>36</v>
      </c>
      <c r="H383" t="s">
        <v>51</v>
      </c>
      <c r="I383" t="s">
        <v>25</v>
      </c>
      <c r="J383" t="s">
        <v>15</v>
      </c>
      <c r="K383" s="2">
        <v>17400</v>
      </c>
      <c r="L383" s="3">
        <v>17.399999999999999</v>
      </c>
      <c r="M383" s="3">
        <v>82.6</v>
      </c>
      <c r="N383" s="3">
        <v>0</v>
      </c>
      <c r="O383" s="2">
        <v>1687</v>
      </c>
      <c r="P383">
        <v>0</v>
      </c>
      <c r="Q383" t="s">
        <v>14</v>
      </c>
      <c r="R383" s="4">
        <v>308.32</v>
      </c>
      <c r="S383" s="4">
        <v>0</v>
      </c>
      <c r="T383" t="s">
        <v>31</v>
      </c>
      <c r="U383" s="4">
        <v>27.78</v>
      </c>
      <c r="V383" s="4">
        <v>17.72</v>
      </c>
      <c r="W383" s="4">
        <v>308.32</v>
      </c>
    </row>
    <row r="384" spans="1:23" ht="15" customHeight="1" x14ac:dyDescent="0.25">
      <c r="A384">
        <v>800</v>
      </c>
      <c r="B384" s="1">
        <v>45718.833333333343</v>
      </c>
      <c r="C384">
        <v>20</v>
      </c>
      <c r="D384" t="s">
        <v>55</v>
      </c>
      <c r="E384">
        <v>3</v>
      </c>
      <c r="F384" t="s">
        <v>35</v>
      </c>
      <c r="G384" t="s">
        <v>36</v>
      </c>
      <c r="H384" t="s">
        <v>50</v>
      </c>
      <c r="I384" t="s">
        <v>22</v>
      </c>
      <c r="J384" t="s">
        <v>12</v>
      </c>
      <c r="K384" s="2">
        <v>21000</v>
      </c>
      <c r="L384" s="3">
        <v>14.2</v>
      </c>
      <c r="M384" s="3">
        <v>64.900000000000006</v>
      </c>
      <c r="N384" s="3">
        <v>0</v>
      </c>
      <c r="O384" s="2">
        <v>382</v>
      </c>
      <c r="P384">
        <v>1</v>
      </c>
      <c r="Q384" t="s">
        <v>17</v>
      </c>
      <c r="R384" s="4">
        <v>273.38</v>
      </c>
      <c r="S384" s="4">
        <v>0</v>
      </c>
      <c r="T384" t="s">
        <v>31</v>
      </c>
      <c r="U384" s="4">
        <v>23.84</v>
      </c>
      <c r="V384" s="4">
        <v>13.018000000000001</v>
      </c>
      <c r="W384" s="4">
        <v>273.38</v>
      </c>
    </row>
    <row r="385" spans="1:23" ht="15" customHeight="1" x14ac:dyDescent="0.25">
      <c r="A385">
        <v>1904</v>
      </c>
      <c r="B385" s="1">
        <v>45718.833333333343</v>
      </c>
      <c r="C385">
        <v>20</v>
      </c>
      <c r="D385" t="s">
        <v>55</v>
      </c>
      <c r="E385">
        <v>3</v>
      </c>
      <c r="F385" t="s">
        <v>35</v>
      </c>
      <c r="G385" t="s">
        <v>36</v>
      </c>
      <c r="H385" t="s">
        <v>52</v>
      </c>
      <c r="I385" t="s">
        <v>13</v>
      </c>
      <c r="J385" t="s">
        <v>21</v>
      </c>
      <c r="K385" s="2">
        <v>9800</v>
      </c>
      <c r="L385" s="3">
        <v>12.1</v>
      </c>
      <c r="M385" s="3">
        <v>90.3</v>
      </c>
      <c r="N385" s="3">
        <v>0</v>
      </c>
      <c r="O385" s="2">
        <v>315</v>
      </c>
      <c r="P385">
        <v>1</v>
      </c>
      <c r="Q385" t="s">
        <v>17</v>
      </c>
      <c r="R385" s="4">
        <v>97.28</v>
      </c>
      <c r="S385" s="4">
        <v>0</v>
      </c>
      <c r="T385" t="s">
        <v>31</v>
      </c>
      <c r="U385" s="4">
        <v>8.57</v>
      </c>
      <c r="V385" s="4">
        <v>9.9269999999999996</v>
      </c>
      <c r="W385" s="4">
        <v>97.28</v>
      </c>
    </row>
    <row r="386" spans="1:23" ht="15" customHeight="1" x14ac:dyDescent="0.25">
      <c r="A386">
        <v>1537</v>
      </c>
      <c r="B386" s="1">
        <v>45722</v>
      </c>
      <c r="C386">
        <v>0</v>
      </c>
      <c r="D386" t="s">
        <v>56</v>
      </c>
      <c r="E386">
        <v>3</v>
      </c>
      <c r="F386" t="s">
        <v>35</v>
      </c>
      <c r="G386" t="s">
        <v>33</v>
      </c>
      <c r="H386" t="s">
        <v>49</v>
      </c>
      <c r="I386" t="s">
        <v>27</v>
      </c>
      <c r="J386" t="s">
        <v>18</v>
      </c>
      <c r="K386" s="2">
        <v>26000</v>
      </c>
      <c r="L386" s="3">
        <v>4</v>
      </c>
      <c r="M386" s="3">
        <v>87.4</v>
      </c>
      <c r="N386" s="3">
        <v>0</v>
      </c>
      <c r="O386" s="2">
        <v>55</v>
      </c>
      <c r="P386">
        <v>1</v>
      </c>
      <c r="Q386" t="s">
        <v>17</v>
      </c>
      <c r="R386" s="4">
        <v>120.77</v>
      </c>
      <c r="S386" s="4">
        <v>0</v>
      </c>
      <c r="T386" t="s">
        <v>31</v>
      </c>
      <c r="U386" s="4">
        <v>10.56</v>
      </c>
      <c r="V386" s="4">
        <v>4.6449999999999996</v>
      </c>
      <c r="W386" s="4">
        <v>120.77</v>
      </c>
    </row>
    <row r="387" spans="1:23" ht="15" customHeight="1" x14ac:dyDescent="0.25">
      <c r="A387">
        <v>1905</v>
      </c>
      <c r="B387" s="1">
        <v>45722</v>
      </c>
      <c r="C387">
        <v>0</v>
      </c>
      <c r="D387" t="s">
        <v>56</v>
      </c>
      <c r="E387">
        <v>3</v>
      </c>
      <c r="F387" t="s">
        <v>35</v>
      </c>
      <c r="G387" t="s">
        <v>33</v>
      </c>
      <c r="H387" t="s">
        <v>52</v>
      </c>
      <c r="I387" t="s">
        <v>13</v>
      </c>
      <c r="J387" t="s">
        <v>21</v>
      </c>
      <c r="K387" s="2">
        <v>9800</v>
      </c>
      <c r="L387" s="3">
        <v>8.4</v>
      </c>
      <c r="M387" s="3">
        <v>74.3</v>
      </c>
      <c r="N387" s="3">
        <v>0</v>
      </c>
      <c r="O387" s="2">
        <v>322</v>
      </c>
      <c r="P387">
        <v>1</v>
      </c>
      <c r="Q387" t="s">
        <v>17</v>
      </c>
      <c r="R387" s="4">
        <v>99.61</v>
      </c>
      <c r="S387" s="4">
        <v>0</v>
      </c>
      <c r="T387" t="s">
        <v>31</v>
      </c>
      <c r="U387" s="4">
        <v>8.99</v>
      </c>
      <c r="V387" s="4">
        <v>10.164</v>
      </c>
      <c r="W387" s="4">
        <v>99.61</v>
      </c>
    </row>
    <row r="388" spans="1:23" ht="15" customHeight="1" x14ac:dyDescent="0.25">
      <c r="A388">
        <v>65</v>
      </c>
      <c r="B388" s="1">
        <v>45722</v>
      </c>
      <c r="C388">
        <v>0</v>
      </c>
      <c r="D388" t="s">
        <v>56</v>
      </c>
      <c r="E388">
        <v>3</v>
      </c>
      <c r="F388" t="s">
        <v>35</v>
      </c>
      <c r="G388" t="s">
        <v>33</v>
      </c>
      <c r="H388" t="s">
        <v>53</v>
      </c>
      <c r="I388" t="s">
        <v>19</v>
      </c>
      <c r="J388" t="s">
        <v>26</v>
      </c>
      <c r="K388" s="2">
        <v>12500</v>
      </c>
      <c r="L388" s="3">
        <v>7.3</v>
      </c>
      <c r="M388" s="3">
        <v>59.3</v>
      </c>
      <c r="N388" s="3">
        <v>0</v>
      </c>
      <c r="O388" s="2">
        <v>0</v>
      </c>
      <c r="P388">
        <v>0</v>
      </c>
      <c r="Q388" t="s">
        <v>14</v>
      </c>
      <c r="R388" s="4">
        <v>22.9</v>
      </c>
      <c r="S388" s="4">
        <v>0</v>
      </c>
      <c r="T388" t="s">
        <v>31</v>
      </c>
      <c r="U388" s="4"/>
      <c r="V388" s="4">
        <v>1.8320000000000001</v>
      </c>
      <c r="W388" s="4">
        <v>22.9</v>
      </c>
    </row>
    <row r="389" spans="1:23" ht="15" customHeight="1" x14ac:dyDescent="0.25">
      <c r="A389">
        <v>801</v>
      </c>
      <c r="B389" s="1">
        <v>45722</v>
      </c>
      <c r="C389">
        <v>0</v>
      </c>
      <c r="D389" t="s">
        <v>56</v>
      </c>
      <c r="E389">
        <v>3</v>
      </c>
      <c r="F389" t="s">
        <v>35</v>
      </c>
      <c r="G389" t="s">
        <v>33</v>
      </c>
      <c r="H389" t="s">
        <v>50</v>
      </c>
      <c r="I389" t="s">
        <v>22</v>
      </c>
      <c r="J389" t="s">
        <v>12</v>
      </c>
      <c r="K389" s="2">
        <v>21000</v>
      </c>
      <c r="L389" s="3">
        <v>8.9</v>
      </c>
      <c r="M389" s="3">
        <v>78.2</v>
      </c>
      <c r="N389" s="3">
        <v>0</v>
      </c>
      <c r="O389" s="2">
        <v>193</v>
      </c>
      <c r="P389">
        <v>1</v>
      </c>
      <c r="Q389" t="s">
        <v>17</v>
      </c>
      <c r="R389" s="4">
        <v>176.1</v>
      </c>
      <c r="S389" s="4">
        <v>0</v>
      </c>
      <c r="T389" t="s">
        <v>31</v>
      </c>
      <c r="U389" s="4">
        <v>15.48</v>
      </c>
      <c r="V389" s="4">
        <v>8.3859999999999992</v>
      </c>
      <c r="W389" s="4">
        <v>176.1</v>
      </c>
    </row>
    <row r="390" spans="1:23" ht="15" customHeight="1" x14ac:dyDescent="0.25">
      <c r="A390">
        <v>1169</v>
      </c>
      <c r="B390" s="1">
        <v>45722</v>
      </c>
      <c r="C390">
        <v>0</v>
      </c>
      <c r="D390" t="s">
        <v>56</v>
      </c>
      <c r="E390">
        <v>3</v>
      </c>
      <c r="F390" t="s">
        <v>35</v>
      </c>
      <c r="G390" t="s">
        <v>33</v>
      </c>
      <c r="H390" t="s">
        <v>51</v>
      </c>
      <c r="I390" t="s">
        <v>25</v>
      </c>
      <c r="J390" t="s">
        <v>15</v>
      </c>
      <c r="K390" s="2">
        <v>17400</v>
      </c>
      <c r="L390" s="3">
        <v>10.8</v>
      </c>
      <c r="M390" s="3">
        <v>92.6</v>
      </c>
      <c r="N390" s="3">
        <v>0</v>
      </c>
      <c r="O390" s="2">
        <v>65</v>
      </c>
      <c r="P390">
        <v>0</v>
      </c>
      <c r="Q390" t="s">
        <v>14</v>
      </c>
      <c r="R390" s="4">
        <v>46.16</v>
      </c>
      <c r="S390" s="4">
        <v>0</v>
      </c>
      <c r="T390" t="s">
        <v>31</v>
      </c>
      <c r="U390" s="4">
        <v>4.17</v>
      </c>
      <c r="V390" s="4">
        <v>2.653</v>
      </c>
      <c r="W390" s="4">
        <v>46.16</v>
      </c>
    </row>
    <row r="391" spans="1:23" ht="15" customHeight="1" x14ac:dyDescent="0.25">
      <c r="A391">
        <v>433</v>
      </c>
      <c r="B391" s="1">
        <v>45722</v>
      </c>
      <c r="C391">
        <v>0</v>
      </c>
      <c r="D391" t="s">
        <v>56</v>
      </c>
      <c r="E391">
        <v>3</v>
      </c>
      <c r="F391" t="s">
        <v>35</v>
      </c>
      <c r="G391" t="s">
        <v>33</v>
      </c>
      <c r="H391" t="s">
        <v>54</v>
      </c>
      <c r="I391" t="s">
        <v>16</v>
      </c>
      <c r="J391" t="s">
        <v>24</v>
      </c>
      <c r="K391" s="2">
        <v>8600</v>
      </c>
      <c r="L391" s="3">
        <v>7.7</v>
      </c>
      <c r="M391" s="3">
        <v>85.8</v>
      </c>
      <c r="N391" s="3">
        <v>0</v>
      </c>
      <c r="O391" s="2">
        <v>76</v>
      </c>
      <c r="P391">
        <v>1</v>
      </c>
      <c r="Q391" t="s">
        <v>17</v>
      </c>
      <c r="R391" s="4">
        <v>26.92</v>
      </c>
      <c r="S391" s="4">
        <v>0</v>
      </c>
      <c r="T391" t="s">
        <v>31</v>
      </c>
      <c r="U391" s="4">
        <v>2.4</v>
      </c>
      <c r="V391" s="4">
        <v>3.13</v>
      </c>
      <c r="W391" s="4">
        <v>26.92</v>
      </c>
    </row>
    <row r="392" spans="1:23" ht="15" customHeight="1" x14ac:dyDescent="0.25">
      <c r="A392">
        <v>1538</v>
      </c>
      <c r="B392" s="1">
        <v>45722.333333333343</v>
      </c>
      <c r="C392">
        <v>8</v>
      </c>
      <c r="D392" t="s">
        <v>56</v>
      </c>
      <c r="E392">
        <v>3</v>
      </c>
      <c r="F392" t="s">
        <v>35</v>
      </c>
      <c r="G392" t="s">
        <v>33</v>
      </c>
      <c r="H392" t="s">
        <v>49</v>
      </c>
      <c r="I392" t="s">
        <v>27</v>
      </c>
      <c r="J392" t="s">
        <v>18</v>
      </c>
      <c r="K392" s="2">
        <v>26000</v>
      </c>
      <c r="L392" s="3">
        <v>7.6</v>
      </c>
      <c r="M392" s="3">
        <v>79.400000000000006</v>
      </c>
      <c r="N392" s="3">
        <v>69.400000000000006</v>
      </c>
      <c r="O392" s="2">
        <v>157</v>
      </c>
      <c r="P392">
        <v>1</v>
      </c>
      <c r="Q392" t="s">
        <v>17</v>
      </c>
      <c r="R392" s="4">
        <v>248.91</v>
      </c>
      <c r="S392" s="4">
        <v>17.89</v>
      </c>
      <c r="T392" t="s">
        <v>34</v>
      </c>
      <c r="U392" s="4">
        <v>32.6</v>
      </c>
      <c r="V392" s="4">
        <v>9.5730000000000004</v>
      </c>
      <c r="W392" s="4">
        <v>231.02</v>
      </c>
    </row>
    <row r="393" spans="1:23" ht="15" customHeight="1" x14ac:dyDescent="0.25">
      <c r="A393">
        <v>1170</v>
      </c>
      <c r="B393" s="1">
        <v>45722.333333333343</v>
      </c>
      <c r="C393">
        <v>8</v>
      </c>
      <c r="D393" t="s">
        <v>56</v>
      </c>
      <c r="E393">
        <v>3</v>
      </c>
      <c r="F393" t="s">
        <v>35</v>
      </c>
      <c r="G393" t="s">
        <v>33</v>
      </c>
      <c r="H393" t="s">
        <v>51</v>
      </c>
      <c r="I393" t="s">
        <v>25</v>
      </c>
      <c r="J393" t="s">
        <v>15</v>
      </c>
      <c r="K393" s="2">
        <v>17400</v>
      </c>
      <c r="L393" s="3">
        <v>13</v>
      </c>
      <c r="M393" s="3">
        <v>94.6</v>
      </c>
      <c r="N393" s="3">
        <v>50.9</v>
      </c>
      <c r="O393" s="2">
        <v>19</v>
      </c>
      <c r="P393">
        <v>0</v>
      </c>
      <c r="Q393" t="s">
        <v>14</v>
      </c>
      <c r="R393" s="4">
        <v>48.96</v>
      </c>
      <c r="S393" s="4">
        <v>6.81</v>
      </c>
      <c r="T393" t="s">
        <v>34</v>
      </c>
      <c r="U393" s="4">
        <v>6.06</v>
      </c>
      <c r="V393" s="4">
        <v>2.8140000000000001</v>
      </c>
      <c r="W393" s="4">
        <v>42.15</v>
      </c>
    </row>
    <row r="394" spans="1:23" ht="15" customHeight="1" x14ac:dyDescent="0.25">
      <c r="A394">
        <v>1906</v>
      </c>
      <c r="B394" s="1">
        <v>45722.333333333343</v>
      </c>
      <c r="C394">
        <v>8</v>
      </c>
      <c r="D394" t="s">
        <v>56</v>
      </c>
      <c r="E394">
        <v>3</v>
      </c>
      <c r="F394" t="s">
        <v>35</v>
      </c>
      <c r="G394" t="s">
        <v>33</v>
      </c>
      <c r="H394" t="s">
        <v>52</v>
      </c>
      <c r="I394" t="s">
        <v>13</v>
      </c>
      <c r="J394" t="s">
        <v>21</v>
      </c>
      <c r="K394" s="2">
        <v>9800</v>
      </c>
      <c r="L394" s="3">
        <v>9.9</v>
      </c>
      <c r="M394" s="3">
        <v>75.3</v>
      </c>
      <c r="N394" s="3">
        <v>139.1</v>
      </c>
      <c r="O394" s="2">
        <v>74</v>
      </c>
      <c r="P394">
        <v>1</v>
      </c>
      <c r="Q394" t="s">
        <v>17</v>
      </c>
      <c r="R394" s="4">
        <v>23.32</v>
      </c>
      <c r="S394" s="4">
        <v>0</v>
      </c>
      <c r="T394" t="s">
        <v>34</v>
      </c>
      <c r="U394" s="4">
        <v>3.46</v>
      </c>
      <c r="V394" s="4">
        <v>2.38</v>
      </c>
      <c r="W394" s="4">
        <v>23.32</v>
      </c>
    </row>
    <row r="395" spans="1:23" ht="15" customHeight="1" x14ac:dyDescent="0.25">
      <c r="A395">
        <v>802</v>
      </c>
      <c r="B395" s="1">
        <v>45722.333333333343</v>
      </c>
      <c r="C395">
        <v>8</v>
      </c>
      <c r="D395" t="s">
        <v>56</v>
      </c>
      <c r="E395">
        <v>3</v>
      </c>
      <c r="F395" t="s">
        <v>35</v>
      </c>
      <c r="G395" t="s">
        <v>33</v>
      </c>
      <c r="H395" t="s">
        <v>50</v>
      </c>
      <c r="I395" t="s">
        <v>22</v>
      </c>
      <c r="J395" t="s">
        <v>12</v>
      </c>
      <c r="K395" s="2">
        <v>21000</v>
      </c>
      <c r="L395" s="3">
        <v>10.1</v>
      </c>
      <c r="M395" s="3">
        <v>77.5</v>
      </c>
      <c r="N395" s="3">
        <v>85.7</v>
      </c>
      <c r="O395" s="2">
        <v>433</v>
      </c>
      <c r="P395">
        <v>1</v>
      </c>
      <c r="Q395" t="s">
        <v>17</v>
      </c>
      <c r="R395" s="4">
        <v>279.44</v>
      </c>
      <c r="S395" s="4">
        <v>15.46</v>
      </c>
      <c r="T395" t="s">
        <v>34</v>
      </c>
      <c r="U395" s="4">
        <v>38.299999999999997</v>
      </c>
      <c r="V395" s="4">
        <v>13.307</v>
      </c>
      <c r="W395" s="4">
        <v>263.98</v>
      </c>
    </row>
    <row r="396" spans="1:23" ht="15" customHeight="1" x14ac:dyDescent="0.25">
      <c r="A396">
        <v>66</v>
      </c>
      <c r="B396" s="1">
        <v>45722.333333333343</v>
      </c>
      <c r="C396">
        <v>8</v>
      </c>
      <c r="D396" t="s">
        <v>56</v>
      </c>
      <c r="E396">
        <v>3</v>
      </c>
      <c r="F396" t="s">
        <v>35</v>
      </c>
      <c r="G396" t="s">
        <v>33</v>
      </c>
      <c r="H396" t="s">
        <v>53</v>
      </c>
      <c r="I396" t="s">
        <v>19</v>
      </c>
      <c r="J396" t="s">
        <v>26</v>
      </c>
      <c r="K396" s="2">
        <v>12500</v>
      </c>
      <c r="L396" s="3"/>
      <c r="M396" s="3">
        <v>79</v>
      </c>
      <c r="N396" s="3">
        <v>71.3</v>
      </c>
      <c r="O396" s="2">
        <v>345</v>
      </c>
      <c r="P396">
        <v>1</v>
      </c>
      <c r="Q396" t="s">
        <v>17</v>
      </c>
      <c r="R396" s="4">
        <v>106.92</v>
      </c>
      <c r="S396" s="4">
        <v>10.73</v>
      </c>
      <c r="T396" t="s">
        <v>34</v>
      </c>
      <c r="U396" s="4">
        <v>13.81</v>
      </c>
      <c r="V396" s="4">
        <v>8.5540000000000003</v>
      </c>
      <c r="W396" s="4">
        <v>96.19</v>
      </c>
    </row>
    <row r="397" spans="1:23" ht="15" customHeight="1" x14ac:dyDescent="0.25">
      <c r="A397">
        <v>434</v>
      </c>
      <c r="B397" s="1">
        <v>45722.333333333343</v>
      </c>
      <c r="C397">
        <v>8</v>
      </c>
      <c r="D397" t="s">
        <v>56</v>
      </c>
      <c r="E397">
        <v>3</v>
      </c>
      <c r="F397" t="s">
        <v>35</v>
      </c>
      <c r="G397" t="s">
        <v>33</v>
      </c>
      <c r="H397" t="s">
        <v>54</v>
      </c>
      <c r="I397" t="s">
        <v>16</v>
      </c>
      <c r="J397" t="s">
        <v>24</v>
      </c>
      <c r="K397" s="2">
        <v>8600</v>
      </c>
      <c r="L397" s="3">
        <v>11.6</v>
      </c>
      <c r="M397" s="3">
        <v>85.1</v>
      </c>
      <c r="N397" s="3">
        <v>65.099999999999994</v>
      </c>
      <c r="O397" s="2">
        <v>757</v>
      </c>
      <c r="P397">
        <v>1</v>
      </c>
      <c r="Q397" t="s">
        <v>17</v>
      </c>
      <c r="R397" s="4">
        <v>111.96</v>
      </c>
      <c r="S397" s="4">
        <v>5.28</v>
      </c>
      <c r="T397" t="s">
        <v>34</v>
      </c>
      <c r="U397" s="4">
        <v>15.29</v>
      </c>
      <c r="V397" s="4">
        <v>13.019</v>
      </c>
      <c r="W397" s="4">
        <v>106.68</v>
      </c>
    </row>
    <row r="398" spans="1:23" ht="15" customHeight="1" x14ac:dyDescent="0.25">
      <c r="A398">
        <v>435</v>
      </c>
      <c r="B398" s="1">
        <v>45722.583333333343</v>
      </c>
      <c r="C398">
        <v>14</v>
      </c>
      <c r="D398" t="s">
        <v>56</v>
      </c>
      <c r="E398">
        <v>3</v>
      </c>
      <c r="F398" t="s">
        <v>35</v>
      </c>
      <c r="G398" t="s">
        <v>33</v>
      </c>
      <c r="H398" t="s">
        <v>54</v>
      </c>
      <c r="I398" t="s">
        <v>16</v>
      </c>
      <c r="J398" t="s">
        <v>24</v>
      </c>
      <c r="K398" s="2">
        <v>8600</v>
      </c>
      <c r="L398" s="3">
        <v>13.7</v>
      </c>
      <c r="M398" s="3">
        <v>96.4</v>
      </c>
      <c r="N398" s="3">
        <v>299.8</v>
      </c>
      <c r="O398" s="2"/>
      <c r="P398">
        <v>1</v>
      </c>
      <c r="Q398" t="s">
        <v>17</v>
      </c>
      <c r="R398" s="4">
        <v>86.83</v>
      </c>
      <c r="S398" s="4">
        <v>21.98</v>
      </c>
      <c r="T398" t="s">
        <v>34</v>
      </c>
      <c r="U398" s="4">
        <v>9.4</v>
      </c>
      <c r="V398" s="4">
        <v>10.097</v>
      </c>
      <c r="W398" s="4">
        <v>64.849999999999994</v>
      </c>
    </row>
    <row r="399" spans="1:23" ht="15" customHeight="1" x14ac:dyDescent="0.25">
      <c r="A399">
        <v>1171</v>
      </c>
      <c r="B399" s="1">
        <v>45722.583333333343</v>
      </c>
      <c r="C399">
        <v>14</v>
      </c>
      <c r="D399" t="s">
        <v>56</v>
      </c>
      <c r="E399">
        <v>3</v>
      </c>
      <c r="F399" t="s">
        <v>35</v>
      </c>
      <c r="G399" t="s">
        <v>33</v>
      </c>
      <c r="H399" t="s">
        <v>51</v>
      </c>
      <c r="I399" t="s">
        <v>25</v>
      </c>
      <c r="J399" t="s">
        <v>15</v>
      </c>
      <c r="K399" s="2">
        <v>17400</v>
      </c>
      <c r="L399" s="3">
        <v>16.3</v>
      </c>
      <c r="M399" s="3">
        <v>75.5</v>
      </c>
      <c r="N399" s="3">
        <v>510.7</v>
      </c>
      <c r="O399" s="2">
        <v>1398</v>
      </c>
      <c r="P399">
        <v>0</v>
      </c>
      <c r="Q399" t="s">
        <v>14</v>
      </c>
      <c r="R399" s="4">
        <v>190.64</v>
      </c>
      <c r="S399" s="4">
        <v>66.459999999999994</v>
      </c>
      <c r="T399" t="s">
        <v>34</v>
      </c>
      <c r="U399" s="4">
        <v>17.47</v>
      </c>
      <c r="V399" s="4">
        <v>10.956</v>
      </c>
      <c r="W399" s="4">
        <v>124.18</v>
      </c>
    </row>
    <row r="400" spans="1:23" ht="15" customHeight="1" x14ac:dyDescent="0.25">
      <c r="A400">
        <v>803</v>
      </c>
      <c r="B400" s="1">
        <v>45722.583333333343</v>
      </c>
      <c r="C400">
        <v>14</v>
      </c>
      <c r="D400" t="s">
        <v>56</v>
      </c>
      <c r="E400">
        <v>3</v>
      </c>
      <c r="F400" t="s">
        <v>35</v>
      </c>
      <c r="G400" t="s">
        <v>33</v>
      </c>
      <c r="H400" t="s">
        <v>50</v>
      </c>
      <c r="I400" t="s">
        <v>22</v>
      </c>
      <c r="J400" t="s">
        <v>12</v>
      </c>
      <c r="K400" s="2">
        <v>21000</v>
      </c>
      <c r="L400" s="3">
        <v>20.5</v>
      </c>
      <c r="M400" s="3">
        <v>70.099999999999994</v>
      </c>
      <c r="N400" s="3">
        <v>424.4</v>
      </c>
      <c r="O400" s="2">
        <v>389</v>
      </c>
      <c r="P400">
        <v>0</v>
      </c>
      <c r="Q400" t="s">
        <v>14</v>
      </c>
      <c r="R400" s="4">
        <v>187.7</v>
      </c>
      <c r="S400" s="4">
        <v>90.14</v>
      </c>
      <c r="T400" t="s">
        <v>34</v>
      </c>
      <c r="U400" s="4">
        <v>13.64</v>
      </c>
      <c r="V400" s="4">
        <v>8.9380000000000006</v>
      </c>
      <c r="W400" s="4">
        <v>97.56</v>
      </c>
    </row>
    <row r="401" spans="1:23" ht="15" customHeight="1" x14ac:dyDescent="0.25">
      <c r="A401">
        <v>67</v>
      </c>
      <c r="B401" s="1">
        <v>45722.583333333343</v>
      </c>
      <c r="C401">
        <v>14</v>
      </c>
      <c r="D401" t="s">
        <v>56</v>
      </c>
      <c r="E401">
        <v>3</v>
      </c>
      <c r="F401" t="s">
        <v>35</v>
      </c>
      <c r="G401" t="s">
        <v>33</v>
      </c>
      <c r="H401" t="s">
        <v>53</v>
      </c>
      <c r="I401" t="s">
        <v>19</v>
      </c>
      <c r="J401" t="s">
        <v>26</v>
      </c>
      <c r="K401" s="2">
        <v>12500</v>
      </c>
      <c r="L401" s="3">
        <v>14.7</v>
      </c>
      <c r="M401" s="3">
        <v>67.5</v>
      </c>
      <c r="N401" s="3">
        <v>431.7</v>
      </c>
      <c r="O401" s="2">
        <v>616</v>
      </c>
      <c r="P401">
        <v>1</v>
      </c>
      <c r="Q401" t="s">
        <v>23</v>
      </c>
      <c r="R401" s="4">
        <v>110.02</v>
      </c>
      <c r="S401" s="4">
        <v>63.09</v>
      </c>
      <c r="T401" t="s">
        <v>34</v>
      </c>
      <c r="U401" s="4">
        <v>6.87</v>
      </c>
      <c r="V401" s="4">
        <v>8.8019999999999996</v>
      </c>
      <c r="W401" s="4">
        <v>46.93</v>
      </c>
    </row>
    <row r="402" spans="1:23" ht="15" customHeight="1" x14ac:dyDescent="0.25">
      <c r="A402">
        <v>1907</v>
      </c>
      <c r="B402" s="1">
        <v>45722.583333333343</v>
      </c>
      <c r="C402">
        <v>14</v>
      </c>
      <c r="D402" t="s">
        <v>56</v>
      </c>
      <c r="E402">
        <v>3</v>
      </c>
      <c r="F402" t="s">
        <v>35</v>
      </c>
      <c r="G402" t="s">
        <v>33</v>
      </c>
      <c r="H402" t="s">
        <v>52</v>
      </c>
      <c r="I402" t="s">
        <v>13</v>
      </c>
      <c r="J402" t="s">
        <v>21</v>
      </c>
      <c r="K402" s="2">
        <v>9800</v>
      </c>
      <c r="L402" s="3">
        <v>15.5</v>
      </c>
      <c r="M402" s="3">
        <v>88.1</v>
      </c>
      <c r="N402" s="3">
        <v>507.4</v>
      </c>
      <c r="O402" s="2">
        <v>94</v>
      </c>
      <c r="P402">
        <v>1</v>
      </c>
      <c r="Q402" t="s">
        <v>23</v>
      </c>
      <c r="R402" s="4">
        <v>19.170000000000002</v>
      </c>
      <c r="S402" s="4">
        <v>0</v>
      </c>
      <c r="T402" t="s">
        <v>34</v>
      </c>
      <c r="U402" s="4">
        <v>2.73</v>
      </c>
      <c r="V402" s="4">
        <v>1.956</v>
      </c>
      <c r="W402" s="4">
        <v>19.170000000000002</v>
      </c>
    </row>
    <row r="403" spans="1:23" ht="15" customHeight="1" x14ac:dyDescent="0.25">
      <c r="A403">
        <v>1539</v>
      </c>
      <c r="B403" s="1">
        <v>45722.583333333343</v>
      </c>
      <c r="C403">
        <v>14</v>
      </c>
      <c r="D403" t="s">
        <v>56</v>
      </c>
      <c r="E403">
        <v>3</v>
      </c>
      <c r="F403" t="s">
        <v>35</v>
      </c>
      <c r="G403" t="s">
        <v>33</v>
      </c>
      <c r="H403" t="s">
        <v>49</v>
      </c>
      <c r="I403" t="s">
        <v>27</v>
      </c>
      <c r="J403" t="s">
        <v>18</v>
      </c>
      <c r="K403" s="2">
        <v>26000</v>
      </c>
      <c r="L403" s="3">
        <v>14.7</v>
      </c>
      <c r="M403" s="3">
        <v>76.7</v>
      </c>
      <c r="N403" s="3">
        <v>330.1</v>
      </c>
      <c r="O403" s="2">
        <v>188</v>
      </c>
      <c r="P403">
        <v>1</v>
      </c>
      <c r="Q403" t="s">
        <v>23</v>
      </c>
      <c r="R403" s="4">
        <v>151.19999999999999</v>
      </c>
      <c r="S403" s="4">
        <v>92.39</v>
      </c>
      <c r="T403" t="s">
        <v>34</v>
      </c>
      <c r="U403" s="4">
        <v>8.52</v>
      </c>
      <c r="V403" s="4">
        <v>5.8150000000000004</v>
      </c>
      <c r="W403" s="4">
        <v>58.81</v>
      </c>
    </row>
    <row r="404" spans="1:23" ht="15" customHeight="1" x14ac:dyDescent="0.25">
      <c r="A404">
        <v>436</v>
      </c>
      <c r="B404" s="1">
        <v>45722.833333333343</v>
      </c>
      <c r="C404">
        <v>20</v>
      </c>
      <c r="D404" t="s">
        <v>56</v>
      </c>
      <c r="E404">
        <v>3</v>
      </c>
      <c r="F404" t="s">
        <v>35</v>
      </c>
      <c r="G404" t="s">
        <v>33</v>
      </c>
      <c r="H404" t="s">
        <v>54</v>
      </c>
      <c r="I404" t="s">
        <v>16</v>
      </c>
      <c r="J404" t="s">
        <v>24</v>
      </c>
      <c r="K404" s="2">
        <v>8600</v>
      </c>
      <c r="L404" s="3">
        <v>9.4</v>
      </c>
      <c r="M404" s="3">
        <v>99</v>
      </c>
      <c r="N404" s="3">
        <v>0</v>
      </c>
      <c r="O404" s="2">
        <v>66</v>
      </c>
      <c r="P404">
        <v>1</v>
      </c>
      <c r="Q404" t="s">
        <v>17</v>
      </c>
      <c r="R404" s="4"/>
      <c r="S404" s="4">
        <v>0</v>
      </c>
      <c r="T404" t="s">
        <v>37</v>
      </c>
      <c r="U404" s="4">
        <v>5.82</v>
      </c>
      <c r="V404" s="4"/>
      <c r="W404" s="4"/>
    </row>
    <row r="405" spans="1:23" ht="15" customHeight="1" x14ac:dyDescent="0.25">
      <c r="A405">
        <v>1908</v>
      </c>
      <c r="B405" s="1">
        <v>45722.833333333343</v>
      </c>
      <c r="C405">
        <v>20</v>
      </c>
      <c r="D405" t="s">
        <v>56</v>
      </c>
      <c r="E405">
        <v>3</v>
      </c>
      <c r="F405" t="s">
        <v>35</v>
      </c>
      <c r="G405" t="s">
        <v>33</v>
      </c>
      <c r="H405" t="s">
        <v>52</v>
      </c>
      <c r="I405" t="s">
        <v>13</v>
      </c>
      <c r="J405" t="s">
        <v>21</v>
      </c>
      <c r="K405" s="2">
        <v>9800</v>
      </c>
      <c r="L405" s="3"/>
      <c r="M405" s="3">
        <v>90.7</v>
      </c>
      <c r="N405" s="3">
        <v>0</v>
      </c>
      <c r="O405" s="2">
        <v>298</v>
      </c>
      <c r="P405">
        <v>1</v>
      </c>
      <c r="Q405" t="s">
        <v>17</v>
      </c>
      <c r="R405" s="4">
        <v>97.01</v>
      </c>
      <c r="S405" s="4">
        <v>0</v>
      </c>
      <c r="T405" t="s">
        <v>37</v>
      </c>
      <c r="U405" s="4">
        <v>21.15</v>
      </c>
      <c r="V405" s="4">
        <v>9.8989999999999991</v>
      </c>
      <c r="W405" s="4">
        <v>97.01</v>
      </c>
    </row>
    <row r="406" spans="1:23" ht="15" customHeight="1" x14ac:dyDescent="0.25">
      <c r="A406">
        <v>1540</v>
      </c>
      <c r="B406" s="1">
        <v>45722.833333333343</v>
      </c>
      <c r="C406">
        <v>20</v>
      </c>
      <c r="D406" t="s">
        <v>56</v>
      </c>
      <c r="E406">
        <v>3</v>
      </c>
      <c r="F406" t="s">
        <v>35</v>
      </c>
      <c r="G406" t="s">
        <v>33</v>
      </c>
      <c r="H406" t="s">
        <v>49</v>
      </c>
      <c r="I406" t="s">
        <v>27</v>
      </c>
      <c r="J406" t="s">
        <v>18</v>
      </c>
      <c r="K406" s="2">
        <v>26000</v>
      </c>
      <c r="L406" s="3">
        <v>9.1</v>
      </c>
      <c r="M406" s="3">
        <v>75.599999999999994</v>
      </c>
      <c r="N406" s="3">
        <v>0</v>
      </c>
      <c r="O406" s="2">
        <v>158</v>
      </c>
      <c r="P406">
        <v>1</v>
      </c>
      <c r="Q406" t="s">
        <v>17</v>
      </c>
      <c r="R406" s="4">
        <v>265.27999999999997</v>
      </c>
      <c r="S406" s="4">
        <v>0</v>
      </c>
      <c r="T406" t="s">
        <v>37</v>
      </c>
      <c r="U406" s="4">
        <v>58.41</v>
      </c>
      <c r="V406" s="4">
        <v>10.202999999999999</v>
      </c>
      <c r="W406" s="4">
        <v>265.27999999999997</v>
      </c>
    </row>
    <row r="407" spans="1:23" ht="15" customHeight="1" x14ac:dyDescent="0.25">
      <c r="A407">
        <v>68</v>
      </c>
      <c r="B407" s="1">
        <v>45722.833333333343</v>
      </c>
      <c r="C407">
        <v>20</v>
      </c>
      <c r="D407" t="s">
        <v>56</v>
      </c>
      <c r="E407">
        <v>3</v>
      </c>
      <c r="F407" t="s">
        <v>35</v>
      </c>
      <c r="G407" t="s">
        <v>33</v>
      </c>
      <c r="H407" t="s">
        <v>53</v>
      </c>
      <c r="I407" t="s">
        <v>19</v>
      </c>
      <c r="J407" t="s">
        <v>26</v>
      </c>
      <c r="K407" s="2">
        <v>12500</v>
      </c>
      <c r="L407" s="3">
        <v>9</v>
      </c>
      <c r="M407" s="3">
        <v>86.6</v>
      </c>
      <c r="N407" s="3">
        <v>0</v>
      </c>
      <c r="O407" s="2">
        <v>90</v>
      </c>
      <c r="P407">
        <v>1</v>
      </c>
      <c r="Q407" t="s">
        <v>17</v>
      </c>
      <c r="R407" s="4">
        <v>46.77</v>
      </c>
      <c r="S407" s="4">
        <v>0</v>
      </c>
      <c r="T407" t="s">
        <v>37</v>
      </c>
      <c r="U407" s="4">
        <v>10.02</v>
      </c>
      <c r="V407" s="4">
        <v>3.742</v>
      </c>
      <c r="W407" s="4">
        <v>46.77</v>
      </c>
    </row>
    <row r="408" spans="1:23" ht="15" customHeight="1" x14ac:dyDescent="0.25">
      <c r="A408">
        <v>1172</v>
      </c>
      <c r="B408" s="1">
        <v>45722.833333333343</v>
      </c>
      <c r="C408">
        <v>20</v>
      </c>
      <c r="D408" t="s">
        <v>56</v>
      </c>
      <c r="E408">
        <v>3</v>
      </c>
      <c r="F408" t="s">
        <v>35</v>
      </c>
      <c r="G408" t="s">
        <v>33</v>
      </c>
      <c r="H408" t="s">
        <v>51</v>
      </c>
      <c r="I408" t="s">
        <v>25</v>
      </c>
      <c r="J408" t="s">
        <v>15</v>
      </c>
      <c r="K408" s="2">
        <v>17400</v>
      </c>
      <c r="L408" s="3">
        <v>12.9</v>
      </c>
      <c r="M408" s="3">
        <v>89.7</v>
      </c>
      <c r="N408" s="3">
        <v>0</v>
      </c>
      <c r="O408" s="2">
        <v>1339</v>
      </c>
      <c r="P408">
        <v>1</v>
      </c>
      <c r="Q408" t="s">
        <v>17</v>
      </c>
      <c r="R408" s="4">
        <v>287.66000000000003</v>
      </c>
      <c r="S408" s="4">
        <v>0</v>
      </c>
      <c r="T408" t="s">
        <v>37</v>
      </c>
      <c r="U408" s="4">
        <v>62.28</v>
      </c>
      <c r="V408" s="4">
        <v>16.532</v>
      </c>
      <c r="W408" s="4">
        <v>287.66000000000003</v>
      </c>
    </row>
    <row r="409" spans="1:23" ht="15" customHeight="1" x14ac:dyDescent="0.25">
      <c r="A409">
        <v>804</v>
      </c>
      <c r="B409" s="1">
        <v>45722.833333333343</v>
      </c>
      <c r="C409">
        <v>20</v>
      </c>
      <c r="D409" t="s">
        <v>56</v>
      </c>
      <c r="E409">
        <v>3</v>
      </c>
      <c r="F409" t="s">
        <v>35</v>
      </c>
      <c r="G409" t="s">
        <v>33</v>
      </c>
      <c r="H409" t="s">
        <v>50</v>
      </c>
      <c r="I409" t="s">
        <v>22</v>
      </c>
      <c r="J409" t="s">
        <v>12</v>
      </c>
      <c r="K409" s="2">
        <v>21000</v>
      </c>
      <c r="L409" s="3">
        <v>13.4</v>
      </c>
      <c r="M409" s="3">
        <v>59.1</v>
      </c>
      <c r="N409" s="3">
        <v>0</v>
      </c>
      <c r="O409" s="2">
        <v>432</v>
      </c>
      <c r="P409">
        <v>1</v>
      </c>
      <c r="Q409" t="s">
        <v>17</v>
      </c>
      <c r="R409" s="4">
        <v>282.99</v>
      </c>
      <c r="S409" s="4">
        <v>0</v>
      </c>
      <c r="T409" t="s">
        <v>37</v>
      </c>
      <c r="U409" s="4">
        <v>61.95</v>
      </c>
      <c r="V409" s="4">
        <v>13.476000000000001</v>
      </c>
      <c r="W409" s="4">
        <v>282.99</v>
      </c>
    </row>
    <row r="410" spans="1:23" ht="15" customHeight="1" x14ac:dyDescent="0.25">
      <c r="A410">
        <v>805</v>
      </c>
      <c r="B410" s="1">
        <v>45726</v>
      </c>
      <c r="C410">
        <v>0</v>
      </c>
      <c r="D410" t="s">
        <v>57</v>
      </c>
      <c r="E410">
        <v>3</v>
      </c>
      <c r="F410" t="s">
        <v>35</v>
      </c>
      <c r="G410" t="s">
        <v>33</v>
      </c>
      <c r="H410" t="s">
        <v>50</v>
      </c>
      <c r="I410" t="s">
        <v>22</v>
      </c>
      <c r="J410" t="s">
        <v>12</v>
      </c>
      <c r="K410" s="2">
        <v>21000</v>
      </c>
      <c r="L410" s="3">
        <v>9.6999999999999993</v>
      </c>
      <c r="M410" s="3">
        <v>74.2</v>
      </c>
      <c r="N410" s="3">
        <v>0</v>
      </c>
      <c r="O410" s="2">
        <v>218</v>
      </c>
      <c r="P410">
        <v>1</v>
      </c>
      <c r="Q410" t="s">
        <v>17</v>
      </c>
      <c r="R410" s="4">
        <v>192.95</v>
      </c>
      <c r="S410" s="4">
        <v>0</v>
      </c>
      <c r="T410" t="s">
        <v>31</v>
      </c>
      <c r="U410" s="4">
        <v>17.13</v>
      </c>
      <c r="V410" s="4">
        <v>9.1880000000000006</v>
      </c>
      <c r="W410" s="4">
        <v>192.95</v>
      </c>
    </row>
    <row r="411" spans="1:23" ht="15" customHeight="1" x14ac:dyDescent="0.25">
      <c r="A411">
        <v>1541</v>
      </c>
      <c r="B411" s="1">
        <v>45726</v>
      </c>
      <c r="C411">
        <v>0</v>
      </c>
      <c r="D411" t="s">
        <v>57</v>
      </c>
      <c r="E411">
        <v>3</v>
      </c>
      <c r="F411" t="s">
        <v>35</v>
      </c>
      <c r="G411" t="s">
        <v>33</v>
      </c>
      <c r="H411" t="s">
        <v>49</v>
      </c>
      <c r="I411" t="s">
        <v>27</v>
      </c>
      <c r="J411" t="s">
        <v>18</v>
      </c>
      <c r="K411" s="2">
        <v>26000</v>
      </c>
      <c r="L411" s="3">
        <v>8.1</v>
      </c>
      <c r="M411" s="3">
        <v>69</v>
      </c>
      <c r="N411" s="3">
        <v>0</v>
      </c>
      <c r="O411" s="2">
        <v>41</v>
      </c>
      <c r="P411">
        <v>1</v>
      </c>
      <c r="Q411" t="s">
        <v>17</v>
      </c>
      <c r="R411" s="4">
        <v>117.43</v>
      </c>
      <c r="S411" s="4">
        <v>0</v>
      </c>
      <c r="T411" t="s">
        <v>31</v>
      </c>
      <c r="U411" s="4">
        <v>10.37</v>
      </c>
      <c r="V411" s="4">
        <v>4.5170000000000003</v>
      </c>
      <c r="W411" s="4">
        <v>117.43</v>
      </c>
    </row>
    <row r="412" spans="1:23" ht="15" customHeight="1" x14ac:dyDescent="0.25">
      <c r="A412">
        <v>437</v>
      </c>
      <c r="B412" s="1">
        <v>45726</v>
      </c>
      <c r="C412">
        <v>0</v>
      </c>
      <c r="D412" t="s">
        <v>57</v>
      </c>
      <c r="E412">
        <v>3</v>
      </c>
      <c r="F412" t="s">
        <v>35</v>
      </c>
      <c r="G412" t="s">
        <v>33</v>
      </c>
      <c r="H412" t="s">
        <v>54</v>
      </c>
      <c r="I412" t="s">
        <v>16</v>
      </c>
      <c r="J412" t="s">
        <v>24</v>
      </c>
      <c r="K412" s="2">
        <v>8600</v>
      </c>
      <c r="L412" s="3">
        <v>9.5</v>
      </c>
      <c r="M412" s="3">
        <v>89.2</v>
      </c>
      <c r="N412" s="3"/>
      <c r="O412" s="2">
        <v>11</v>
      </c>
      <c r="P412">
        <v>1</v>
      </c>
      <c r="Q412" t="s">
        <v>17</v>
      </c>
      <c r="R412" s="4">
        <v>23.78</v>
      </c>
      <c r="S412" s="4">
        <v>0</v>
      </c>
      <c r="T412" t="s">
        <v>31</v>
      </c>
      <c r="U412" s="4">
        <v>2.0299999999999998</v>
      </c>
      <c r="V412" s="4">
        <v>2.7650000000000001</v>
      </c>
      <c r="W412" s="4">
        <v>23.78</v>
      </c>
    </row>
    <row r="413" spans="1:23" ht="15" customHeight="1" x14ac:dyDescent="0.25">
      <c r="A413">
        <v>1909</v>
      </c>
      <c r="B413" s="1">
        <v>45726</v>
      </c>
      <c r="C413">
        <v>0</v>
      </c>
      <c r="D413" t="s">
        <v>57</v>
      </c>
      <c r="E413">
        <v>3</v>
      </c>
      <c r="F413" t="s">
        <v>35</v>
      </c>
      <c r="G413" t="s">
        <v>33</v>
      </c>
      <c r="H413" t="s">
        <v>52</v>
      </c>
      <c r="I413" t="s">
        <v>13</v>
      </c>
      <c r="J413" t="s">
        <v>21</v>
      </c>
      <c r="K413" s="2">
        <v>9800</v>
      </c>
      <c r="L413" s="3">
        <v>8</v>
      </c>
      <c r="M413" s="3">
        <v>88</v>
      </c>
      <c r="N413" s="3">
        <v>0</v>
      </c>
      <c r="O413" s="2">
        <v>325</v>
      </c>
      <c r="P413">
        <v>1</v>
      </c>
      <c r="Q413" t="s">
        <v>17</v>
      </c>
      <c r="R413" s="4">
        <v>105.76</v>
      </c>
      <c r="S413" s="4">
        <v>0</v>
      </c>
      <c r="T413" t="s">
        <v>31</v>
      </c>
      <c r="U413" s="4">
        <v>9.3800000000000008</v>
      </c>
      <c r="V413" s="4">
        <v>10.792</v>
      </c>
      <c r="W413" s="4">
        <v>105.76</v>
      </c>
    </row>
    <row r="414" spans="1:23" ht="15" customHeight="1" x14ac:dyDescent="0.25">
      <c r="A414">
        <v>69</v>
      </c>
      <c r="B414" s="1">
        <v>45726</v>
      </c>
      <c r="C414">
        <v>0</v>
      </c>
      <c r="D414" t="s">
        <v>57</v>
      </c>
      <c r="E414">
        <v>3</v>
      </c>
      <c r="F414" t="s">
        <v>35</v>
      </c>
      <c r="G414" t="s">
        <v>33</v>
      </c>
      <c r="H414" t="s">
        <v>53</v>
      </c>
      <c r="I414" t="s">
        <v>19</v>
      </c>
      <c r="J414" t="s">
        <v>26</v>
      </c>
      <c r="K414" s="2">
        <v>12500</v>
      </c>
      <c r="L414" s="3">
        <v>4.8</v>
      </c>
      <c r="M414" s="3">
        <v>57.7</v>
      </c>
      <c r="N414" s="3">
        <v>0</v>
      </c>
      <c r="O414" s="2">
        <v>38</v>
      </c>
      <c r="P414">
        <v>0</v>
      </c>
      <c r="Q414" t="s">
        <v>14</v>
      </c>
      <c r="R414" s="4">
        <v>25.89</v>
      </c>
      <c r="S414" s="4">
        <v>0</v>
      </c>
      <c r="T414" t="s">
        <v>31</v>
      </c>
      <c r="U414" s="4">
        <v>2.27</v>
      </c>
      <c r="V414" s="4">
        <v>2.0710000000000002</v>
      </c>
      <c r="W414" s="4">
        <v>25.89</v>
      </c>
    </row>
    <row r="415" spans="1:23" ht="15" customHeight="1" x14ac:dyDescent="0.25">
      <c r="A415">
        <v>1173</v>
      </c>
      <c r="B415" s="1">
        <v>45726</v>
      </c>
      <c r="C415">
        <v>0</v>
      </c>
      <c r="D415" t="s">
        <v>57</v>
      </c>
      <c r="E415">
        <v>3</v>
      </c>
      <c r="F415" t="s">
        <v>35</v>
      </c>
      <c r="G415" t="s">
        <v>33</v>
      </c>
      <c r="H415" t="s">
        <v>51</v>
      </c>
      <c r="I415" t="s">
        <v>25</v>
      </c>
      <c r="J415" t="s">
        <v>15</v>
      </c>
      <c r="K415" s="2">
        <v>17400</v>
      </c>
      <c r="L415" s="3"/>
      <c r="M415" s="3">
        <v>87.6</v>
      </c>
      <c r="N415" s="3">
        <v>0</v>
      </c>
      <c r="O415" s="2">
        <v>0</v>
      </c>
      <c r="P415">
        <v>0</v>
      </c>
      <c r="Q415" t="s">
        <v>14</v>
      </c>
      <c r="R415" s="4">
        <v>51.41</v>
      </c>
      <c r="S415" s="4">
        <v>0</v>
      </c>
      <c r="T415" t="s">
        <v>31</v>
      </c>
      <c r="U415" s="4">
        <v>4.6900000000000004</v>
      </c>
      <c r="V415" s="4">
        <v>2.9550000000000001</v>
      </c>
      <c r="W415" s="4">
        <v>51.41</v>
      </c>
    </row>
    <row r="416" spans="1:23" ht="15" customHeight="1" x14ac:dyDescent="0.25">
      <c r="A416">
        <v>438</v>
      </c>
      <c r="B416" s="1">
        <v>45726.333333333343</v>
      </c>
      <c r="C416">
        <v>8</v>
      </c>
      <c r="D416" t="s">
        <v>57</v>
      </c>
      <c r="E416">
        <v>3</v>
      </c>
      <c r="F416" t="s">
        <v>35</v>
      </c>
      <c r="G416" t="s">
        <v>33</v>
      </c>
      <c r="H416" t="s">
        <v>54</v>
      </c>
      <c r="I416" t="s">
        <v>16</v>
      </c>
      <c r="J416" t="s">
        <v>24</v>
      </c>
      <c r="K416" s="2">
        <v>8600</v>
      </c>
      <c r="L416" s="3">
        <v>11.2</v>
      </c>
      <c r="M416" s="3">
        <v>98.2</v>
      </c>
      <c r="N416" s="3">
        <v>70.400000000000006</v>
      </c>
      <c r="O416" s="2">
        <v>838</v>
      </c>
      <c r="P416">
        <v>1</v>
      </c>
      <c r="Q416" t="s">
        <v>17</v>
      </c>
      <c r="R416" s="4">
        <v>117.39</v>
      </c>
      <c r="S416" s="4">
        <v>5.5</v>
      </c>
      <c r="T416" t="s">
        <v>34</v>
      </c>
      <c r="U416" s="4">
        <v>15.91</v>
      </c>
      <c r="V416" s="4">
        <v>13.65</v>
      </c>
      <c r="W416" s="4">
        <v>111.89</v>
      </c>
    </row>
    <row r="417" spans="1:23" ht="15" customHeight="1" x14ac:dyDescent="0.25">
      <c r="A417">
        <v>70</v>
      </c>
      <c r="B417" s="1">
        <v>45726.333333333343</v>
      </c>
      <c r="C417">
        <v>8</v>
      </c>
      <c r="D417" t="s">
        <v>57</v>
      </c>
      <c r="E417">
        <v>3</v>
      </c>
      <c r="F417" t="s">
        <v>35</v>
      </c>
      <c r="G417" t="s">
        <v>33</v>
      </c>
      <c r="H417" t="s">
        <v>53</v>
      </c>
      <c r="I417" t="s">
        <v>19</v>
      </c>
      <c r="J417" t="s">
        <v>26</v>
      </c>
      <c r="K417" s="2">
        <v>12500</v>
      </c>
      <c r="L417" s="3">
        <v>9.6</v>
      </c>
      <c r="M417" s="3">
        <v>77.099999999999994</v>
      </c>
      <c r="N417" s="3">
        <v>82.9</v>
      </c>
      <c r="O417" s="2">
        <v>349</v>
      </c>
      <c r="P417">
        <v>1</v>
      </c>
      <c r="Q417" t="s">
        <v>17</v>
      </c>
      <c r="R417" s="4">
        <v>101.96</v>
      </c>
      <c r="S417" s="4">
        <v>12.62</v>
      </c>
      <c r="T417" t="s">
        <v>34</v>
      </c>
      <c r="U417" s="4">
        <v>12.61</v>
      </c>
      <c r="V417" s="4">
        <v>8.157</v>
      </c>
      <c r="W417" s="4">
        <v>89.34</v>
      </c>
    </row>
    <row r="418" spans="1:23" ht="15" customHeight="1" x14ac:dyDescent="0.25">
      <c r="A418">
        <v>1910</v>
      </c>
      <c r="B418" s="1">
        <v>45726.333333333343</v>
      </c>
      <c r="C418">
        <v>8</v>
      </c>
      <c r="D418" t="s">
        <v>57</v>
      </c>
      <c r="E418">
        <v>3</v>
      </c>
      <c r="F418" t="s">
        <v>35</v>
      </c>
      <c r="G418" t="s">
        <v>33</v>
      </c>
      <c r="H418" t="s">
        <v>52</v>
      </c>
      <c r="I418" t="s">
        <v>13</v>
      </c>
      <c r="J418" t="s">
        <v>21</v>
      </c>
      <c r="K418" s="2">
        <v>9800</v>
      </c>
      <c r="L418" s="3">
        <v>13.6</v>
      </c>
      <c r="M418" s="3">
        <v>84.5</v>
      </c>
      <c r="N418" s="3">
        <v>103.9</v>
      </c>
      <c r="O418" s="2">
        <v>82</v>
      </c>
      <c r="P418">
        <v>1</v>
      </c>
      <c r="Q418" t="s">
        <v>17</v>
      </c>
      <c r="R418" s="4">
        <v>35.119999999999997</v>
      </c>
      <c r="S418" s="4">
        <v>0</v>
      </c>
      <c r="T418" t="s">
        <v>34</v>
      </c>
      <c r="U418" s="4">
        <v>5.32</v>
      </c>
      <c r="V418" s="4">
        <v>3.5840000000000001</v>
      </c>
      <c r="W418" s="4">
        <v>35.119999999999997</v>
      </c>
    </row>
    <row r="419" spans="1:23" ht="15" customHeight="1" x14ac:dyDescent="0.25">
      <c r="A419">
        <v>806</v>
      </c>
      <c r="B419" s="1">
        <v>45726.333333333343</v>
      </c>
      <c r="C419">
        <v>8</v>
      </c>
      <c r="D419" t="s">
        <v>57</v>
      </c>
      <c r="E419">
        <v>3</v>
      </c>
      <c r="F419" t="s">
        <v>35</v>
      </c>
      <c r="G419" t="s">
        <v>33</v>
      </c>
      <c r="H419" t="s">
        <v>50</v>
      </c>
      <c r="I419" t="s">
        <v>22</v>
      </c>
      <c r="J419" t="s">
        <v>12</v>
      </c>
      <c r="K419" s="2">
        <v>21000</v>
      </c>
      <c r="L419" s="3">
        <v>11.2</v>
      </c>
      <c r="M419" s="3">
        <v>66</v>
      </c>
      <c r="N419" s="3">
        <v>77.400000000000006</v>
      </c>
      <c r="O419" s="2">
        <v>396</v>
      </c>
      <c r="P419">
        <v>1</v>
      </c>
      <c r="Q419" t="s">
        <v>17</v>
      </c>
      <c r="R419" s="4">
        <v>281.05</v>
      </c>
      <c r="S419" s="4">
        <v>15.91</v>
      </c>
      <c r="T419" t="s">
        <v>34</v>
      </c>
      <c r="U419" s="4">
        <v>37.17</v>
      </c>
      <c r="V419" s="4">
        <v>13.382999999999999</v>
      </c>
      <c r="W419" s="4">
        <v>265.14</v>
      </c>
    </row>
    <row r="420" spans="1:23" ht="15" customHeight="1" x14ac:dyDescent="0.25">
      <c r="A420">
        <v>1174</v>
      </c>
      <c r="B420" s="1">
        <v>45726.333333333343</v>
      </c>
      <c r="C420">
        <v>8</v>
      </c>
      <c r="D420" t="s">
        <v>57</v>
      </c>
      <c r="E420">
        <v>3</v>
      </c>
      <c r="F420" t="s">
        <v>35</v>
      </c>
      <c r="G420" t="s">
        <v>33</v>
      </c>
      <c r="H420" t="s">
        <v>51</v>
      </c>
      <c r="I420" t="s">
        <v>25</v>
      </c>
      <c r="J420" t="s">
        <v>15</v>
      </c>
      <c r="K420" s="2">
        <v>17400</v>
      </c>
      <c r="L420" s="3">
        <v>12</v>
      </c>
      <c r="M420" s="3">
        <v>84.3</v>
      </c>
      <c r="N420" s="3">
        <v>126.1</v>
      </c>
      <c r="O420" s="2">
        <v>107</v>
      </c>
      <c r="P420">
        <v>0</v>
      </c>
      <c r="Q420" t="s">
        <v>14</v>
      </c>
      <c r="R420" s="4">
        <v>39.369999999999997</v>
      </c>
      <c r="S420" s="4">
        <v>15.59</v>
      </c>
      <c r="T420" t="s">
        <v>34</v>
      </c>
      <c r="U420" s="4">
        <v>3.54</v>
      </c>
      <c r="V420" s="4">
        <v>2.2629999999999999</v>
      </c>
      <c r="W420" s="4">
        <v>23.78</v>
      </c>
    </row>
    <row r="421" spans="1:23" ht="15" customHeight="1" x14ac:dyDescent="0.25">
      <c r="A421">
        <v>1542</v>
      </c>
      <c r="B421" s="1">
        <v>45726.333333333343</v>
      </c>
      <c r="C421">
        <v>8</v>
      </c>
      <c r="D421" t="s">
        <v>57</v>
      </c>
      <c r="E421">
        <v>3</v>
      </c>
      <c r="F421" t="s">
        <v>35</v>
      </c>
      <c r="G421" t="s">
        <v>33</v>
      </c>
      <c r="H421" t="s">
        <v>49</v>
      </c>
      <c r="I421" t="s">
        <v>27</v>
      </c>
      <c r="J421" t="s">
        <v>18</v>
      </c>
      <c r="K421" s="2">
        <v>26000</v>
      </c>
      <c r="L421" s="3">
        <v>8.9</v>
      </c>
      <c r="M421" s="3">
        <v>73.400000000000006</v>
      </c>
      <c r="N421" s="3">
        <v>122.6</v>
      </c>
      <c r="O421" s="2">
        <v>156</v>
      </c>
      <c r="P421">
        <v>1</v>
      </c>
      <c r="Q421" t="s">
        <v>17</v>
      </c>
      <c r="R421" s="4">
        <v>175.48</v>
      </c>
      <c r="S421" s="4">
        <v>34.68</v>
      </c>
      <c r="T421" t="s">
        <v>34</v>
      </c>
      <c r="U421" s="4">
        <v>20.079999999999998</v>
      </c>
      <c r="V421" s="4">
        <v>6.7489999999999997</v>
      </c>
      <c r="W421" s="4">
        <v>140.80000000000001</v>
      </c>
    </row>
    <row r="422" spans="1:23" ht="15" customHeight="1" x14ac:dyDescent="0.25">
      <c r="A422">
        <v>1911</v>
      </c>
      <c r="B422" s="1">
        <v>45726.583333333343</v>
      </c>
      <c r="C422">
        <v>14</v>
      </c>
      <c r="D422" t="s">
        <v>57</v>
      </c>
      <c r="E422">
        <v>3</v>
      </c>
      <c r="F422" t="s">
        <v>35</v>
      </c>
      <c r="G422" t="s">
        <v>33</v>
      </c>
      <c r="H422" t="s">
        <v>52</v>
      </c>
      <c r="I422" t="s">
        <v>13</v>
      </c>
      <c r="J422" t="s">
        <v>21</v>
      </c>
      <c r="K422" s="2">
        <v>9800</v>
      </c>
      <c r="L422" s="3">
        <v>13.7</v>
      </c>
      <c r="M422" s="3">
        <v>85.2</v>
      </c>
      <c r="N422" s="3">
        <v>364.2</v>
      </c>
      <c r="O422" s="2">
        <v>65</v>
      </c>
      <c r="P422">
        <v>1</v>
      </c>
      <c r="Q422" t="s">
        <v>17</v>
      </c>
      <c r="R422" s="4">
        <v>20.83</v>
      </c>
      <c r="S422" s="4">
        <v>0</v>
      </c>
      <c r="T422" t="s">
        <v>34</v>
      </c>
      <c r="U422" s="4">
        <v>2.86</v>
      </c>
      <c r="V422" s="4">
        <v>2.1259999999999999</v>
      </c>
      <c r="W422" s="4">
        <v>20.83</v>
      </c>
    </row>
    <row r="423" spans="1:23" ht="15" customHeight="1" x14ac:dyDescent="0.25">
      <c r="A423">
        <v>1175</v>
      </c>
      <c r="B423" s="1">
        <v>45726.583333333343</v>
      </c>
      <c r="C423">
        <v>14</v>
      </c>
      <c r="D423" t="s">
        <v>57</v>
      </c>
      <c r="E423">
        <v>3</v>
      </c>
      <c r="F423" t="s">
        <v>35</v>
      </c>
      <c r="G423" t="s">
        <v>33</v>
      </c>
      <c r="H423" t="s">
        <v>51</v>
      </c>
      <c r="I423" t="s">
        <v>25</v>
      </c>
      <c r="J423" t="s">
        <v>15</v>
      </c>
      <c r="K423" s="2">
        <v>17400</v>
      </c>
      <c r="L423" s="3">
        <v>20</v>
      </c>
      <c r="M423" s="3">
        <v>79.8</v>
      </c>
      <c r="N423" s="3">
        <v>395.4</v>
      </c>
      <c r="O423" s="2">
        <v>1329</v>
      </c>
      <c r="P423">
        <v>0</v>
      </c>
      <c r="Q423" t="s">
        <v>14</v>
      </c>
      <c r="R423" s="4">
        <v>192.2</v>
      </c>
      <c r="S423" s="4">
        <v>46.8</v>
      </c>
      <c r="T423" t="s">
        <v>34</v>
      </c>
      <c r="U423" s="4">
        <v>20.78</v>
      </c>
      <c r="V423" s="4">
        <v>11.045999999999999</v>
      </c>
      <c r="W423" s="4">
        <v>145.4</v>
      </c>
    </row>
    <row r="424" spans="1:23" ht="15" customHeight="1" x14ac:dyDescent="0.25">
      <c r="A424">
        <v>439</v>
      </c>
      <c r="B424" s="1">
        <v>45726.583333333343</v>
      </c>
      <c r="C424">
        <v>14</v>
      </c>
      <c r="D424" t="s">
        <v>57</v>
      </c>
      <c r="E424">
        <v>3</v>
      </c>
      <c r="F424" t="s">
        <v>35</v>
      </c>
      <c r="G424" t="s">
        <v>33</v>
      </c>
      <c r="H424" t="s">
        <v>54</v>
      </c>
      <c r="I424" t="s">
        <v>16</v>
      </c>
      <c r="J424" t="s">
        <v>24</v>
      </c>
      <c r="K424" s="2">
        <v>8600</v>
      </c>
      <c r="L424" s="3">
        <v>15</v>
      </c>
      <c r="M424" s="3">
        <v>77.7</v>
      </c>
      <c r="N424" s="3">
        <v>421.4</v>
      </c>
      <c r="O424" s="2">
        <v>835</v>
      </c>
      <c r="P424">
        <v>1</v>
      </c>
      <c r="Q424" t="s">
        <v>23</v>
      </c>
      <c r="R424" s="4">
        <v>82.23</v>
      </c>
      <c r="S424" s="4">
        <v>33.33</v>
      </c>
      <c r="T424" t="s">
        <v>34</v>
      </c>
      <c r="U424" s="4">
        <v>6.86</v>
      </c>
      <c r="V424" s="4">
        <v>9.5619999999999994</v>
      </c>
      <c r="W424" s="4">
        <v>48.9</v>
      </c>
    </row>
    <row r="425" spans="1:23" ht="15" customHeight="1" x14ac:dyDescent="0.25">
      <c r="A425">
        <v>1543</v>
      </c>
      <c r="B425" s="1">
        <v>45726.583333333343</v>
      </c>
      <c r="C425">
        <v>14</v>
      </c>
      <c r="D425" t="s">
        <v>57</v>
      </c>
      <c r="E425">
        <v>3</v>
      </c>
      <c r="F425" t="s">
        <v>35</v>
      </c>
      <c r="G425" t="s">
        <v>33</v>
      </c>
      <c r="H425" t="s">
        <v>49</v>
      </c>
      <c r="I425" t="s">
        <v>27</v>
      </c>
      <c r="J425" t="s">
        <v>18</v>
      </c>
      <c r="K425" s="2">
        <v>26000</v>
      </c>
      <c r="L425" s="3">
        <v>15.8</v>
      </c>
      <c r="M425" s="3">
        <v>63.1</v>
      </c>
      <c r="N425" s="3">
        <v>519.5</v>
      </c>
      <c r="O425" s="2">
        <v>162</v>
      </c>
      <c r="P425">
        <v>1</v>
      </c>
      <c r="Q425" t="s">
        <v>23</v>
      </c>
      <c r="R425" s="4">
        <v>153</v>
      </c>
      <c r="S425" s="4">
        <v>134.65</v>
      </c>
      <c r="T425" t="s">
        <v>34</v>
      </c>
      <c r="U425" s="4">
        <v>2.64</v>
      </c>
      <c r="V425" s="4">
        <v>5.8849999999999998</v>
      </c>
      <c r="W425" s="4">
        <v>18.350000000000001</v>
      </c>
    </row>
    <row r="426" spans="1:23" ht="15" customHeight="1" x14ac:dyDescent="0.25">
      <c r="A426">
        <v>807</v>
      </c>
      <c r="B426" s="1">
        <v>45726.583333333343</v>
      </c>
      <c r="C426">
        <v>14</v>
      </c>
      <c r="D426" t="s">
        <v>57</v>
      </c>
      <c r="E426">
        <v>3</v>
      </c>
      <c r="F426" t="s">
        <v>35</v>
      </c>
      <c r="G426" t="s">
        <v>33</v>
      </c>
      <c r="H426" t="s">
        <v>50</v>
      </c>
      <c r="I426" t="s">
        <v>22</v>
      </c>
      <c r="J426" t="s">
        <v>12</v>
      </c>
      <c r="K426" s="2">
        <v>21000</v>
      </c>
      <c r="L426" s="3">
        <v>19.399999999999999</v>
      </c>
      <c r="M426" s="3">
        <v>73.400000000000006</v>
      </c>
      <c r="N426" s="3">
        <v>417</v>
      </c>
      <c r="O426" s="2">
        <v>415</v>
      </c>
      <c r="P426">
        <v>0</v>
      </c>
      <c r="Q426" t="s">
        <v>14</v>
      </c>
      <c r="R426" s="4">
        <v>210.67</v>
      </c>
      <c r="S426" s="4">
        <v>94.97</v>
      </c>
      <c r="T426" t="s">
        <v>34</v>
      </c>
      <c r="U426" s="4">
        <v>16.04</v>
      </c>
      <c r="V426" s="4">
        <v>10.032</v>
      </c>
      <c r="W426" s="4">
        <v>115.7</v>
      </c>
    </row>
    <row r="427" spans="1:23" ht="15" customHeight="1" x14ac:dyDescent="0.25">
      <c r="A427">
        <v>71</v>
      </c>
      <c r="B427" s="1">
        <v>45726.583333333343</v>
      </c>
      <c r="C427">
        <v>14</v>
      </c>
      <c r="D427" t="s">
        <v>57</v>
      </c>
      <c r="E427">
        <v>3</v>
      </c>
      <c r="F427" t="s">
        <v>35</v>
      </c>
      <c r="G427" t="s">
        <v>33</v>
      </c>
      <c r="H427" t="s">
        <v>53</v>
      </c>
      <c r="I427" t="s">
        <v>19</v>
      </c>
      <c r="J427" t="s">
        <v>26</v>
      </c>
      <c r="K427" s="2">
        <v>12500</v>
      </c>
      <c r="L427" s="3">
        <v>15.4</v>
      </c>
      <c r="M427" s="3">
        <v>65.900000000000006</v>
      </c>
      <c r="N427" s="3">
        <v>558.20000000000005</v>
      </c>
      <c r="O427" s="2">
        <v>593</v>
      </c>
      <c r="P427">
        <v>1</v>
      </c>
      <c r="Q427" t="s">
        <v>23</v>
      </c>
      <c r="R427" s="4">
        <v>112.56</v>
      </c>
      <c r="S427" s="4">
        <v>82.73</v>
      </c>
      <c r="T427" t="s">
        <v>34</v>
      </c>
      <c r="U427" s="4">
        <v>4.22</v>
      </c>
      <c r="V427" s="4">
        <v>9.0050000000000008</v>
      </c>
      <c r="W427" s="4">
        <v>29.83</v>
      </c>
    </row>
    <row r="428" spans="1:23" ht="15" customHeight="1" x14ac:dyDescent="0.25">
      <c r="A428">
        <v>72</v>
      </c>
      <c r="B428" s="1">
        <v>45726.833333333343</v>
      </c>
      <c r="C428">
        <v>20</v>
      </c>
      <c r="D428" t="s">
        <v>57</v>
      </c>
      <c r="E428">
        <v>3</v>
      </c>
      <c r="F428" t="s">
        <v>35</v>
      </c>
      <c r="G428" t="s">
        <v>33</v>
      </c>
      <c r="H428" t="s">
        <v>53</v>
      </c>
      <c r="I428" t="s">
        <v>19</v>
      </c>
      <c r="J428" t="s">
        <v>26</v>
      </c>
      <c r="K428" s="2">
        <v>12500</v>
      </c>
      <c r="L428" s="3">
        <v>11</v>
      </c>
      <c r="M428" s="3">
        <v>58.6</v>
      </c>
      <c r="N428" s="3">
        <v>0</v>
      </c>
      <c r="O428" s="2">
        <v>83</v>
      </c>
      <c r="P428">
        <v>1</v>
      </c>
      <c r="Q428" t="s">
        <v>17</v>
      </c>
      <c r="R428" s="4">
        <v>42.81</v>
      </c>
      <c r="S428" s="4">
        <v>0</v>
      </c>
      <c r="T428" t="s">
        <v>37</v>
      </c>
      <c r="U428" s="4">
        <v>9.56</v>
      </c>
      <c r="V428" s="4">
        <v>3.4249999999999998</v>
      </c>
      <c r="W428" s="4">
        <v>42.81</v>
      </c>
    </row>
    <row r="429" spans="1:23" ht="15" customHeight="1" x14ac:dyDescent="0.25">
      <c r="A429">
        <v>1176</v>
      </c>
      <c r="B429" s="1">
        <v>45726.833333333343</v>
      </c>
      <c r="C429">
        <v>20</v>
      </c>
      <c r="D429" t="s">
        <v>57</v>
      </c>
      <c r="E429">
        <v>3</v>
      </c>
      <c r="F429" t="s">
        <v>35</v>
      </c>
      <c r="G429" t="s">
        <v>33</v>
      </c>
      <c r="H429" t="s">
        <v>51</v>
      </c>
      <c r="I429" t="s">
        <v>25</v>
      </c>
      <c r="J429" t="s">
        <v>15</v>
      </c>
      <c r="K429" s="2">
        <v>17400</v>
      </c>
      <c r="L429" s="3">
        <v>17.2</v>
      </c>
      <c r="M429" s="3"/>
      <c r="N429" s="3">
        <v>0</v>
      </c>
      <c r="O429" s="2">
        <v>1348</v>
      </c>
      <c r="P429">
        <v>0</v>
      </c>
      <c r="Q429" t="s">
        <v>14</v>
      </c>
      <c r="R429" s="4">
        <v>268.48</v>
      </c>
      <c r="S429" s="4">
        <v>0</v>
      </c>
      <c r="T429" t="s">
        <v>37</v>
      </c>
      <c r="U429" s="4">
        <v>58.07</v>
      </c>
      <c r="V429" s="4">
        <v>15.43</v>
      </c>
      <c r="W429" s="4">
        <v>268.48</v>
      </c>
    </row>
    <row r="430" spans="1:23" ht="15" customHeight="1" x14ac:dyDescent="0.25">
      <c r="A430">
        <v>1912</v>
      </c>
      <c r="B430" s="1">
        <v>45726.833333333343</v>
      </c>
      <c r="C430">
        <v>20</v>
      </c>
      <c r="D430" t="s">
        <v>57</v>
      </c>
      <c r="E430">
        <v>3</v>
      </c>
      <c r="F430" t="s">
        <v>35</v>
      </c>
      <c r="G430" t="s">
        <v>33</v>
      </c>
      <c r="H430" t="s">
        <v>52</v>
      </c>
      <c r="I430" t="s">
        <v>13</v>
      </c>
      <c r="J430" t="s">
        <v>21</v>
      </c>
      <c r="K430" s="2">
        <v>9800</v>
      </c>
      <c r="L430" s="3">
        <v>12.7</v>
      </c>
      <c r="M430" s="3">
        <v>85.5</v>
      </c>
      <c r="N430" s="3">
        <v>0</v>
      </c>
      <c r="O430" s="2">
        <v>317</v>
      </c>
      <c r="P430">
        <v>1</v>
      </c>
      <c r="Q430" t="s">
        <v>17</v>
      </c>
      <c r="R430" s="4">
        <v>100.11</v>
      </c>
      <c r="S430" s="4">
        <v>0</v>
      </c>
      <c r="T430" t="s">
        <v>37</v>
      </c>
      <c r="U430" s="4">
        <v>22.01</v>
      </c>
      <c r="V430" s="4">
        <v>10.215</v>
      </c>
      <c r="W430" s="4">
        <v>100.11</v>
      </c>
    </row>
    <row r="431" spans="1:23" ht="15" customHeight="1" x14ac:dyDescent="0.25">
      <c r="A431">
        <v>808</v>
      </c>
      <c r="B431" s="1">
        <v>45726.833333333343</v>
      </c>
      <c r="C431">
        <v>20</v>
      </c>
      <c r="D431" t="s">
        <v>57</v>
      </c>
      <c r="E431">
        <v>3</v>
      </c>
      <c r="F431" t="s">
        <v>35</v>
      </c>
      <c r="G431" t="s">
        <v>33</v>
      </c>
      <c r="H431" t="s">
        <v>50</v>
      </c>
      <c r="I431" t="s">
        <v>22</v>
      </c>
      <c r="J431" t="s">
        <v>12</v>
      </c>
      <c r="K431" s="2">
        <v>21000</v>
      </c>
      <c r="L431" s="3">
        <v>16.899999999999999</v>
      </c>
      <c r="M431" s="3">
        <v>67.3</v>
      </c>
      <c r="N431" s="3">
        <v>0</v>
      </c>
      <c r="O431" s="2">
        <v>402</v>
      </c>
      <c r="P431">
        <v>0</v>
      </c>
      <c r="Q431" t="s">
        <v>14</v>
      </c>
      <c r="R431" s="4">
        <v>286.24</v>
      </c>
      <c r="S431" s="4">
        <v>0</v>
      </c>
      <c r="T431" t="s">
        <v>37</v>
      </c>
      <c r="U431" s="4">
        <v>61.94</v>
      </c>
      <c r="V431" s="4">
        <v>13.63</v>
      </c>
      <c r="W431" s="4">
        <v>286.24</v>
      </c>
    </row>
    <row r="432" spans="1:23" ht="15" customHeight="1" x14ac:dyDescent="0.25">
      <c r="A432">
        <v>440</v>
      </c>
      <c r="B432" s="1">
        <v>45726.833333333343</v>
      </c>
      <c r="C432">
        <v>20</v>
      </c>
      <c r="D432" t="s">
        <v>57</v>
      </c>
      <c r="E432">
        <v>3</v>
      </c>
      <c r="F432" t="s">
        <v>35</v>
      </c>
      <c r="G432" t="s">
        <v>33</v>
      </c>
      <c r="H432" t="s">
        <v>54</v>
      </c>
      <c r="I432" t="s">
        <v>16</v>
      </c>
      <c r="J432" t="s">
        <v>24</v>
      </c>
      <c r="K432" s="2">
        <v>8600</v>
      </c>
      <c r="L432" s="3">
        <v>9.1999999999999993</v>
      </c>
      <c r="M432" s="3">
        <v>85.7</v>
      </c>
      <c r="N432" s="3">
        <v>0</v>
      </c>
      <c r="O432" s="2">
        <v>48</v>
      </c>
      <c r="P432">
        <v>1</v>
      </c>
      <c r="Q432" t="s">
        <v>17</v>
      </c>
      <c r="R432" s="4">
        <v>23.17</v>
      </c>
      <c r="S432" s="4">
        <v>0</v>
      </c>
      <c r="T432" t="s">
        <v>37</v>
      </c>
      <c r="U432" s="4">
        <v>5.0999999999999996</v>
      </c>
      <c r="V432" s="4">
        <v>2.694</v>
      </c>
      <c r="W432" s="4">
        <v>23.17</v>
      </c>
    </row>
    <row r="433" spans="1:23" ht="15" customHeight="1" x14ac:dyDescent="0.25">
      <c r="A433">
        <v>1544</v>
      </c>
      <c r="B433" s="1">
        <v>45726.833333333343</v>
      </c>
      <c r="C433">
        <v>20</v>
      </c>
      <c r="D433" t="s">
        <v>57</v>
      </c>
      <c r="E433">
        <v>3</v>
      </c>
      <c r="F433" t="s">
        <v>35</v>
      </c>
      <c r="G433" t="s">
        <v>33</v>
      </c>
      <c r="H433" t="s">
        <v>49</v>
      </c>
      <c r="I433" t="s">
        <v>27</v>
      </c>
      <c r="J433" t="s">
        <v>18</v>
      </c>
      <c r="K433" s="2">
        <v>26000</v>
      </c>
      <c r="L433" s="3">
        <v>11.1</v>
      </c>
      <c r="M433" s="3">
        <v>71.900000000000006</v>
      </c>
      <c r="N433" s="3"/>
      <c r="O433" s="2">
        <v>170</v>
      </c>
      <c r="P433">
        <v>1</v>
      </c>
      <c r="Q433" t="s">
        <v>17</v>
      </c>
      <c r="R433" s="4">
        <v>269.19</v>
      </c>
      <c r="S433" s="4">
        <v>0</v>
      </c>
      <c r="T433" t="s">
        <v>37</v>
      </c>
      <c r="U433" s="4">
        <v>57.98</v>
      </c>
      <c r="V433" s="4">
        <v>10.353</v>
      </c>
      <c r="W433" s="4">
        <v>269.19</v>
      </c>
    </row>
    <row r="434" spans="1:23" ht="15" customHeight="1" x14ac:dyDescent="0.25">
      <c r="A434">
        <v>1177</v>
      </c>
      <c r="B434" s="1">
        <v>45730</v>
      </c>
      <c r="C434">
        <v>0</v>
      </c>
      <c r="D434" t="s">
        <v>58</v>
      </c>
      <c r="E434">
        <v>3</v>
      </c>
      <c r="F434" t="s">
        <v>35</v>
      </c>
      <c r="G434" t="s">
        <v>33</v>
      </c>
      <c r="H434" t="s">
        <v>51</v>
      </c>
      <c r="I434" t="s">
        <v>25</v>
      </c>
      <c r="J434" t="s">
        <v>15</v>
      </c>
      <c r="K434" s="2">
        <v>17400</v>
      </c>
      <c r="L434" s="3">
        <v>11.3</v>
      </c>
      <c r="M434" s="3">
        <v>75.7</v>
      </c>
      <c r="N434" s="3">
        <v>0</v>
      </c>
      <c r="O434" s="2">
        <v>78</v>
      </c>
      <c r="P434">
        <v>0</v>
      </c>
      <c r="Q434" t="s">
        <v>14</v>
      </c>
      <c r="R434" s="4">
        <v>46.95</v>
      </c>
      <c r="S434" s="4">
        <v>0</v>
      </c>
      <c r="T434" t="s">
        <v>31</v>
      </c>
      <c r="U434" s="4">
        <v>4.2699999999999996</v>
      </c>
      <c r="V434" s="4">
        <v>2.698</v>
      </c>
      <c r="W434" s="4">
        <v>46.95</v>
      </c>
    </row>
    <row r="435" spans="1:23" ht="15" customHeight="1" x14ac:dyDescent="0.25">
      <c r="A435">
        <v>73</v>
      </c>
      <c r="B435" s="1">
        <v>45730</v>
      </c>
      <c r="C435">
        <v>0</v>
      </c>
      <c r="D435" t="s">
        <v>58</v>
      </c>
      <c r="E435">
        <v>3</v>
      </c>
      <c r="F435" t="s">
        <v>35</v>
      </c>
      <c r="G435" t="s">
        <v>33</v>
      </c>
      <c r="H435" t="s">
        <v>53</v>
      </c>
      <c r="I435" t="s">
        <v>19</v>
      </c>
      <c r="J435" t="s">
        <v>26</v>
      </c>
      <c r="K435" s="2">
        <v>12500</v>
      </c>
      <c r="L435" s="3">
        <v>5.4</v>
      </c>
      <c r="M435" s="3">
        <v>75.099999999999994</v>
      </c>
      <c r="N435" s="3">
        <v>0</v>
      </c>
      <c r="O435" s="2">
        <v>60</v>
      </c>
      <c r="P435">
        <v>0</v>
      </c>
      <c r="Q435" t="s">
        <v>14</v>
      </c>
      <c r="R435" s="4">
        <v>27.32</v>
      </c>
      <c r="S435" s="4">
        <v>0</v>
      </c>
      <c r="T435" t="s">
        <v>31</v>
      </c>
      <c r="U435" s="4">
        <v>2.4500000000000002</v>
      </c>
      <c r="V435" s="4">
        <v>2.1859999999999999</v>
      </c>
      <c r="W435" s="4">
        <v>27.32</v>
      </c>
    </row>
    <row r="436" spans="1:23" ht="15" customHeight="1" x14ac:dyDescent="0.25">
      <c r="A436">
        <v>1913</v>
      </c>
      <c r="B436" s="1">
        <v>45730</v>
      </c>
      <c r="C436">
        <v>0</v>
      </c>
      <c r="D436" t="s">
        <v>58</v>
      </c>
      <c r="E436">
        <v>3</v>
      </c>
      <c r="F436" t="s">
        <v>35</v>
      </c>
      <c r="G436" t="s">
        <v>33</v>
      </c>
      <c r="H436" t="s">
        <v>52</v>
      </c>
      <c r="I436" t="s">
        <v>13</v>
      </c>
      <c r="J436" t="s">
        <v>21</v>
      </c>
      <c r="K436" s="2">
        <v>9800</v>
      </c>
      <c r="L436" s="3">
        <v>9.4</v>
      </c>
      <c r="M436" s="3">
        <v>92.1</v>
      </c>
      <c r="N436" s="3"/>
      <c r="O436" s="2">
        <v>295</v>
      </c>
      <c r="P436">
        <v>1</v>
      </c>
      <c r="Q436" t="s">
        <v>17</v>
      </c>
      <c r="R436" s="4">
        <v>105.62</v>
      </c>
      <c r="S436" s="4">
        <v>0</v>
      </c>
      <c r="T436" t="s">
        <v>31</v>
      </c>
      <c r="U436" s="4">
        <v>9.32</v>
      </c>
      <c r="V436" s="4">
        <v>10.778</v>
      </c>
      <c r="W436" s="4">
        <v>105.62</v>
      </c>
    </row>
    <row r="437" spans="1:23" ht="15" customHeight="1" x14ac:dyDescent="0.25">
      <c r="A437">
        <v>809</v>
      </c>
      <c r="B437" s="1">
        <v>45730</v>
      </c>
      <c r="C437">
        <v>0</v>
      </c>
      <c r="D437" t="s">
        <v>58</v>
      </c>
      <c r="E437">
        <v>3</v>
      </c>
      <c r="F437" t="s">
        <v>35</v>
      </c>
      <c r="G437" t="s">
        <v>33</v>
      </c>
      <c r="H437" t="s">
        <v>50</v>
      </c>
      <c r="I437" t="s">
        <v>22</v>
      </c>
      <c r="J437" t="s">
        <v>12</v>
      </c>
      <c r="K437" s="2">
        <v>21000</v>
      </c>
      <c r="L437" s="3"/>
      <c r="M437" s="3">
        <v>70.599999999999994</v>
      </c>
      <c r="N437" s="3">
        <v>0</v>
      </c>
      <c r="O437" s="2">
        <v>199</v>
      </c>
      <c r="P437">
        <v>1</v>
      </c>
      <c r="Q437" t="s">
        <v>17</v>
      </c>
      <c r="R437" s="4">
        <v>187.99</v>
      </c>
      <c r="S437" s="4">
        <v>0</v>
      </c>
      <c r="T437" t="s">
        <v>31</v>
      </c>
      <c r="U437" s="4">
        <v>16.489999999999998</v>
      </c>
      <c r="V437" s="4">
        <v>8.952</v>
      </c>
      <c r="W437" s="4">
        <v>187.99</v>
      </c>
    </row>
    <row r="438" spans="1:23" ht="15" customHeight="1" x14ac:dyDescent="0.25">
      <c r="A438">
        <v>1545</v>
      </c>
      <c r="B438" s="1">
        <v>45730</v>
      </c>
      <c r="C438">
        <v>0</v>
      </c>
      <c r="D438" t="s">
        <v>58</v>
      </c>
      <c r="E438">
        <v>3</v>
      </c>
      <c r="F438" t="s">
        <v>35</v>
      </c>
      <c r="G438" t="s">
        <v>33</v>
      </c>
      <c r="H438" t="s">
        <v>49</v>
      </c>
      <c r="I438" t="s">
        <v>27</v>
      </c>
      <c r="J438" t="s">
        <v>18</v>
      </c>
      <c r="K438" s="2">
        <v>26000</v>
      </c>
      <c r="L438" s="3">
        <v>6.8</v>
      </c>
      <c r="M438" s="3">
        <v>69.900000000000006</v>
      </c>
      <c r="N438" s="3">
        <v>0</v>
      </c>
      <c r="O438" s="2">
        <v>38</v>
      </c>
      <c r="P438">
        <v>1</v>
      </c>
      <c r="Q438" t="s">
        <v>17</v>
      </c>
      <c r="R438" s="4">
        <v>132.12</v>
      </c>
      <c r="S438" s="4">
        <v>0</v>
      </c>
      <c r="T438" t="s">
        <v>31</v>
      </c>
      <c r="U438" s="4">
        <v>12.08</v>
      </c>
      <c r="V438" s="4">
        <v>5.0819999999999999</v>
      </c>
      <c r="W438" s="4">
        <v>132.12</v>
      </c>
    </row>
    <row r="439" spans="1:23" ht="15" customHeight="1" x14ac:dyDescent="0.25">
      <c r="A439">
        <v>441</v>
      </c>
      <c r="B439" s="1">
        <v>45730</v>
      </c>
      <c r="C439">
        <v>0</v>
      </c>
      <c r="D439" t="s">
        <v>58</v>
      </c>
      <c r="E439">
        <v>3</v>
      </c>
      <c r="F439" t="s">
        <v>35</v>
      </c>
      <c r="G439" t="s">
        <v>33</v>
      </c>
      <c r="H439" t="s">
        <v>54</v>
      </c>
      <c r="I439" t="s">
        <v>16</v>
      </c>
      <c r="J439" t="s">
        <v>24</v>
      </c>
      <c r="K439" s="2">
        <v>8600</v>
      </c>
      <c r="L439" s="3">
        <v>11.8</v>
      </c>
      <c r="M439" s="3">
        <v>83.9</v>
      </c>
      <c r="N439" s="3">
        <v>0</v>
      </c>
      <c r="O439" s="2">
        <v>115</v>
      </c>
      <c r="P439">
        <v>1</v>
      </c>
      <c r="Q439" t="s">
        <v>17</v>
      </c>
      <c r="R439" s="4">
        <v>27.56</v>
      </c>
      <c r="S439" s="4">
        <v>0</v>
      </c>
      <c r="T439" t="s">
        <v>31</v>
      </c>
      <c r="U439" s="4">
        <v>2.4700000000000002</v>
      </c>
      <c r="V439" s="4">
        <v>3.2050000000000001</v>
      </c>
      <c r="W439" s="4">
        <v>27.56</v>
      </c>
    </row>
    <row r="440" spans="1:23" ht="15" customHeight="1" x14ac:dyDescent="0.25">
      <c r="A440">
        <v>74</v>
      </c>
      <c r="B440" s="1">
        <v>45730.333333333343</v>
      </c>
      <c r="C440">
        <v>8</v>
      </c>
      <c r="D440" t="s">
        <v>58</v>
      </c>
      <c r="E440">
        <v>3</v>
      </c>
      <c r="F440" t="s">
        <v>35</v>
      </c>
      <c r="G440" t="s">
        <v>33</v>
      </c>
      <c r="H440" t="s">
        <v>53</v>
      </c>
      <c r="I440" t="s">
        <v>19</v>
      </c>
      <c r="J440" t="s">
        <v>26</v>
      </c>
      <c r="K440" s="2">
        <v>12500</v>
      </c>
      <c r="L440" s="3">
        <v>8.3000000000000007</v>
      </c>
      <c r="M440" s="3">
        <v>75.8</v>
      </c>
      <c r="N440" s="3">
        <v>82</v>
      </c>
      <c r="O440" s="2">
        <v>397</v>
      </c>
      <c r="P440">
        <v>1</v>
      </c>
      <c r="Q440" t="s">
        <v>17</v>
      </c>
      <c r="R440" s="4">
        <v>109.1</v>
      </c>
      <c r="S440" s="4">
        <v>12.36</v>
      </c>
      <c r="T440" t="s">
        <v>34</v>
      </c>
      <c r="U440" s="4">
        <v>13.63</v>
      </c>
      <c r="V440" s="4">
        <v>8.7279999999999998</v>
      </c>
      <c r="W440" s="4">
        <v>96.74</v>
      </c>
    </row>
    <row r="441" spans="1:23" ht="15" customHeight="1" x14ac:dyDescent="0.25">
      <c r="A441">
        <v>1914</v>
      </c>
      <c r="B441" s="1">
        <v>45730.333333333343</v>
      </c>
      <c r="C441">
        <v>8</v>
      </c>
      <c r="D441" t="s">
        <v>58</v>
      </c>
      <c r="E441">
        <v>3</v>
      </c>
      <c r="F441" t="s">
        <v>35</v>
      </c>
      <c r="G441" t="s">
        <v>33</v>
      </c>
      <c r="H441" t="s">
        <v>52</v>
      </c>
      <c r="I441" t="s">
        <v>13</v>
      </c>
      <c r="J441" t="s">
        <v>21</v>
      </c>
      <c r="K441" s="2">
        <v>9800</v>
      </c>
      <c r="L441" s="3">
        <v>13</v>
      </c>
      <c r="M441" s="3">
        <v>90.3</v>
      </c>
      <c r="N441" s="3">
        <v>120.8</v>
      </c>
      <c r="O441" s="2">
        <v>93</v>
      </c>
      <c r="P441">
        <v>1</v>
      </c>
      <c r="Q441" t="s">
        <v>17</v>
      </c>
      <c r="R441" s="4">
        <v>21.54</v>
      </c>
      <c r="S441" s="4">
        <v>0</v>
      </c>
      <c r="T441" t="s">
        <v>34</v>
      </c>
      <c r="U441" s="4">
        <v>3.27</v>
      </c>
      <c r="V441" s="4">
        <v>2.198</v>
      </c>
      <c r="W441" s="4">
        <v>21.54</v>
      </c>
    </row>
    <row r="442" spans="1:23" ht="15" customHeight="1" x14ac:dyDescent="0.25">
      <c r="A442">
        <v>442</v>
      </c>
      <c r="B442" s="1">
        <v>45730.333333333343</v>
      </c>
      <c r="C442">
        <v>8</v>
      </c>
      <c r="D442" t="s">
        <v>58</v>
      </c>
      <c r="E442">
        <v>3</v>
      </c>
      <c r="F442" t="s">
        <v>35</v>
      </c>
      <c r="G442" t="s">
        <v>33</v>
      </c>
      <c r="H442" t="s">
        <v>54</v>
      </c>
      <c r="I442" t="s">
        <v>16</v>
      </c>
      <c r="J442" t="s">
        <v>24</v>
      </c>
      <c r="K442" s="2">
        <v>8600</v>
      </c>
      <c r="L442" s="3">
        <v>9.5</v>
      </c>
      <c r="M442" s="3">
        <v>99</v>
      </c>
      <c r="N442" s="3">
        <v>20.7</v>
      </c>
      <c r="O442" s="2">
        <v>826</v>
      </c>
      <c r="P442">
        <v>1</v>
      </c>
      <c r="Q442" t="s">
        <v>17</v>
      </c>
      <c r="R442" s="4">
        <v>125.43</v>
      </c>
      <c r="S442" s="4">
        <v>1.58</v>
      </c>
      <c r="T442" t="s">
        <v>34</v>
      </c>
      <c r="U442" s="4">
        <v>17.43</v>
      </c>
      <c r="V442" s="4">
        <v>14.585000000000001</v>
      </c>
      <c r="W442" s="4">
        <v>123.85</v>
      </c>
    </row>
    <row r="443" spans="1:23" ht="15" customHeight="1" x14ac:dyDescent="0.25">
      <c r="A443">
        <v>810</v>
      </c>
      <c r="B443" s="1">
        <v>45730.333333333343</v>
      </c>
      <c r="C443">
        <v>8</v>
      </c>
      <c r="D443" t="s">
        <v>58</v>
      </c>
      <c r="E443">
        <v>3</v>
      </c>
      <c r="F443" t="s">
        <v>35</v>
      </c>
      <c r="G443" t="s">
        <v>33</v>
      </c>
      <c r="H443" t="s">
        <v>50</v>
      </c>
      <c r="I443" t="s">
        <v>22</v>
      </c>
      <c r="J443" t="s">
        <v>12</v>
      </c>
      <c r="K443" s="2">
        <v>21000</v>
      </c>
      <c r="L443" s="3">
        <v>11.7</v>
      </c>
      <c r="M443" s="3"/>
      <c r="N443" s="3">
        <v>140.30000000000001</v>
      </c>
      <c r="O443" s="2">
        <v>421</v>
      </c>
      <c r="P443">
        <v>1</v>
      </c>
      <c r="Q443" t="s">
        <v>17</v>
      </c>
      <c r="R443" s="4">
        <v>205.62</v>
      </c>
      <c r="S443" s="4">
        <v>30.4</v>
      </c>
      <c r="T443" t="s">
        <v>34</v>
      </c>
      <c r="U443" s="4">
        <v>24.88</v>
      </c>
      <c r="V443" s="4">
        <v>9.7910000000000004</v>
      </c>
      <c r="W443" s="4">
        <v>175.22</v>
      </c>
    </row>
    <row r="444" spans="1:23" ht="15" customHeight="1" x14ac:dyDescent="0.25">
      <c r="A444">
        <v>1546</v>
      </c>
      <c r="B444" s="1">
        <v>45730.333333333343</v>
      </c>
      <c r="C444">
        <v>8</v>
      </c>
      <c r="D444" t="s">
        <v>58</v>
      </c>
      <c r="E444">
        <v>3</v>
      </c>
      <c r="F444" t="s">
        <v>35</v>
      </c>
      <c r="G444" t="s">
        <v>33</v>
      </c>
      <c r="H444" t="s">
        <v>49</v>
      </c>
      <c r="I444" t="s">
        <v>27</v>
      </c>
      <c r="J444" t="s">
        <v>18</v>
      </c>
      <c r="K444" s="2">
        <v>26000</v>
      </c>
      <c r="L444" s="3">
        <v>4.9000000000000004</v>
      </c>
      <c r="M444" s="3"/>
      <c r="N444" s="3">
        <v>110.9</v>
      </c>
      <c r="O444" s="2">
        <v>172</v>
      </c>
      <c r="P444">
        <v>1</v>
      </c>
      <c r="Q444" t="s">
        <v>17</v>
      </c>
      <c r="R444" s="4">
        <v>248.81</v>
      </c>
      <c r="S444" s="4">
        <v>31.84</v>
      </c>
      <c r="T444" t="s">
        <v>34</v>
      </c>
      <c r="U444" s="4">
        <v>30.51</v>
      </c>
      <c r="V444" s="4">
        <v>9.57</v>
      </c>
      <c r="W444" s="4">
        <v>216.97</v>
      </c>
    </row>
    <row r="445" spans="1:23" ht="15" customHeight="1" x14ac:dyDescent="0.25">
      <c r="A445">
        <v>1178</v>
      </c>
      <c r="B445" s="1">
        <v>45730.333333333343</v>
      </c>
      <c r="C445">
        <v>8</v>
      </c>
      <c r="D445" t="s">
        <v>58</v>
      </c>
      <c r="E445">
        <v>3</v>
      </c>
      <c r="F445" t="s">
        <v>35</v>
      </c>
      <c r="G445" t="s">
        <v>33</v>
      </c>
      <c r="H445" t="s">
        <v>51</v>
      </c>
      <c r="I445" t="s">
        <v>25</v>
      </c>
      <c r="J445" t="s">
        <v>15</v>
      </c>
      <c r="K445" s="2">
        <v>17400</v>
      </c>
      <c r="L445" s="3">
        <v>12.7</v>
      </c>
      <c r="M445" s="3">
        <v>71.5</v>
      </c>
      <c r="N445" s="3">
        <v>111.3</v>
      </c>
      <c r="O445" s="2">
        <v>190</v>
      </c>
      <c r="P445">
        <v>0</v>
      </c>
      <c r="Q445" t="s">
        <v>14</v>
      </c>
      <c r="R445" s="4">
        <v>54.32</v>
      </c>
      <c r="S445" s="4">
        <v>14.56</v>
      </c>
      <c r="T445" t="s">
        <v>34</v>
      </c>
      <c r="U445" s="4">
        <v>5.77</v>
      </c>
      <c r="V445" s="4">
        <v>3.1219999999999999</v>
      </c>
      <c r="W445" s="4">
        <v>39.76</v>
      </c>
    </row>
    <row r="446" spans="1:23" ht="15" customHeight="1" x14ac:dyDescent="0.25">
      <c r="A446">
        <v>1179</v>
      </c>
      <c r="B446" s="1">
        <v>45730.583333333343</v>
      </c>
      <c r="C446">
        <v>14</v>
      </c>
      <c r="D446" t="s">
        <v>58</v>
      </c>
      <c r="E446">
        <v>3</v>
      </c>
      <c r="F446" t="s">
        <v>35</v>
      </c>
      <c r="G446" t="s">
        <v>33</v>
      </c>
      <c r="H446" t="s">
        <v>51</v>
      </c>
      <c r="I446" t="s">
        <v>25</v>
      </c>
      <c r="J446" t="s">
        <v>15</v>
      </c>
      <c r="K446" s="2">
        <v>17400</v>
      </c>
      <c r="L446" s="3">
        <v>20.3</v>
      </c>
      <c r="M446" s="3">
        <v>61.1</v>
      </c>
      <c r="N446" s="3">
        <v>541.6</v>
      </c>
      <c r="O446" s="2">
        <v>1208</v>
      </c>
      <c r="P446">
        <v>0</v>
      </c>
      <c r="Q446" t="s">
        <v>14</v>
      </c>
      <c r="R446" s="4">
        <v>186.89</v>
      </c>
      <c r="S446" s="4">
        <v>63.7</v>
      </c>
      <c r="T446" t="s">
        <v>34</v>
      </c>
      <c r="U446" s="4">
        <v>17.79</v>
      </c>
      <c r="V446" s="4">
        <v>10.741</v>
      </c>
      <c r="W446" s="4">
        <v>123.19</v>
      </c>
    </row>
    <row r="447" spans="1:23" ht="15" customHeight="1" x14ac:dyDescent="0.25">
      <c r="A447">
        <v>1915</v>
      </c>
      <c r="B447" s="1">
        <v>45730.583333333343</v>
      </c>
      <c r="C447">
        <v>14</v>
      </c>
      <c r="D447" t="s">
        <v>58</v>
      </c>
      <c r="E447">
        <v>3</v>
      </c>
      <c r="F447" t="s">
        <v>35</v>
      </c>
      <c r="G447" t="s">
        <v>33</v>
      </c>
      <c r="H447" t="s">
        <v>52</v>
      </c>
      <c r="I447" t="s">
        <v>13</v>
      </c>
      <c r="J447" t="s">
        <v>21</v>
      </c>
      <c r="K447" s="2">
        <v>9800</v>
      </c>
      <c r="L447" s="3">
        <v>18.3</v>
      </c>
      <c r="M447" s="3">
        <v>82</v>
      </c>
      <c r="N447" s="3">
        <v>514</v>
      </c>
      <c r="O447" s="2">
        <v>53</v>
      </c>
      <c r="P447">
        <v>0</v>
      </c>
      <c r="Q447" t="s">
        <v>14</v>
      </c>
      <c r="R447" s="4">
        <v>17.59</v>
      </c>
      <c r="S447" s="4">
        <v>0</v>
      </c>
      <c r="T447" t="s">
        <v>34</v>
      </c>
      <c r="U447" s="4">
        <v>2.52</v>
      </c>
      <c r="V447" s="4">
        <v>1.7949999999999999</v>
      </c>
      <c r="W447" s="4">
        <v>17.59</v>
      </c>
    </row>
    <row r="448" spans="1:23" ht="15" customHeight="1" x14ac:dyDescent="0.25">
      <c r="A448">
        <v>811</v>
      </c>
      <c r="B448" s="1">
        <v>45730.583333333343</v>
      </c>
      <c r="C448">
        <v>14</v>
      </c>
      <c r="D448" t="s">
        <v>58</v>
      </c>
      <c r="E448">
        <v>3</v>
      </c>
      <c r="F448" t="s">
        <v>35</v>
      </c>
      <c r="G448" t="s">
        <v>33</v>
      </c>
      <c r="H448" t="s">
        <v>50</v>
      </c>
      <c r="I448" t="s">
        <v>22</v>
      </c>
      <c r="J448" t="s">
        <v>12</v>
      </c>
      <c r="K448" s="2">
        <v>21000</v>
      </c>
      <c r="L448" s="3">
        <v>22.6</v>
      </c>
      <c r="M448" s="3">
        <v>66.5</v>
      </c>
      <c r="N448" s="3">
        <v>452.6</v>
      </c>
      <c r="O448" s="2">
        <v>359</v>
      </c>
      <c r="P448">
        <v>0</v>
      </c>
      <c r="Q448" t="s">
        <v>14</v>
      </c>
      <c r="R448" s="4">
        <v>182.31</v>
      </c>
      <c r="S448" s="4">
        <v>92.82</v>
      </c>
      <c r="T448" t="s">
        <v>34</v>
      </c>
      <c r="U448" s="4">
        <v>12.68</v>
      </c>
      <c r="V448" s="4">
        <v>8.6809999999999992</v>
      </c>
      <c r="W448" s="4">
        <v>89.49</v>
      </c>
    </row>
    <row r="449" spans="1:23" ht="15" customHeight="1" x14ac:dyDescent="0.25">
      <c r="A449">
        <v>443</v>
      </c>
      <c r="B449" s="1">
        <v>45730.583333333343</v>
      </c>
      <c r="C449">
        <v>14</v>
      </c>
      <c r="D449" t="s">
        <v>58</v>
      </c>
      <c r="E449">
        <v>3</v>
      </c>
      <c r="F449" t="s">
        <v>35</v>
      </c>
      <c r="G449" t="s">
        <v>33</v>
      </c>
      <c r="H449" t="s">
        <v>54</v>
      </c>
      <c r="I449" t="s">
        <v>16</v>
      </c>
      <c r="J449" t="s">
        <v>24</v>
      </c>
      <c r="K449" s="2">
        <v>8600</v>
      </c>
      <c r="L449" s="3">
        <v>13.5</v>
      </c>
      <c r="M449" s="3">
        <v>85.6</v>
      </c>
      <c r="N449" s="3">
        <v>433.8</v>
      </c>
      <c r="O449" s="2">
        <v>720</v>
      </c>
      <c r="P449">
        <v>1</v>
      </c>
      <c r="Q449" t="s">
        <v>17</v>
      </c>
      <c r="R449" s="4">
        <v>86.13</v>
      </c>
      <c r="S449" s="4">
        <v>31.26</v>
      </c>
      <c r="T449" t="s">
        <v>34</v>
      </c>
      <c r="U449" s="4">
        <v>7.74</v>
      </c>
      <c r="V449" s="4">
        <v>10.015000000000001</v>
      </c>
      <c r="W449" s="4">
        <v>54.87</v>
      </c>
    </row>
    <row r="450" spans="1:23" ht="15" customHeight="1" x14ac:dyDescent="0.25">
      <c r="A450">
        <v>75</v>
      </c>
      <c r="B450" s="1">
        <v>45730.583333333343</v>
      </c>
      <c r="C450">
        <v>14</v>
      </c>
      <c r="D450" t="s">
        <v>58</v>
      </c>
      <c r="E450">
        <v>3</v>
      </c>
      <c r="F450" t="s">
        <v>35</v>
      </c>
      <c r="G450" t="s">
        <v>33</v>
      </c>
      <c r="H450" t="s">
        <v>53</v>
      </c>
      <c r="I450" t="s">
        <v>19</v>
      </c>
      <c r="J450" t="s">
        <v>26</v>
      </c>
      <c r="K450" s="2">
        <v>12500</v>
      </c>
      <c r="L450" s="3">
        <v>17</v>
      </c>
      <c r="M450" s="3">
        <v>60</v>
      </c>
      <c r="N450" s="3">
        <v>430.9</v>
      </c>
      <c r="O450" s="2">
        <v>576</v>
      </c>
      <c r="P450">
        <v>0</v>
      </c>
      <c r="Q450" t="s">
        <v>14</v>
      </c>
      <c r="R450" s="4">
        <v>103.64</v>
      </c>
      <c r="S450" s="4">
        <v>63.58</v>
      </c>
      <c r="T450" t="s">
        <v>34</v>
      </c>
      <c r="U450" s="4">
        <v>5.77</v>
      </c>
      <c r="V450" s="4">
        <v>8.2910000000000004</v>
      </c>
      <c r="W450" s="4">
        <v>40.06</v>
      </c>
    </row>
    <row r="451" spans="1:23" ht="15" customHeight="1" x14ac:dyDescent="0.25">
      <c r="A451">
        <v>1547</v>
      </c>
      <c r="B451" s="1">
        <v>45730.583333333343</v>
      </c>
      <c r="C451">
        <v>14</v>
      </c>
      <c r="D451" t="s">
        <v>58</v>
      </c>
      <c r="E451">
        <v>3</v>
      </c>
      <c r="F451" t="s">
        <v>35</v>
      </c>
      <c r="G451" t="s">
        <v>33</v>
      </c>
      <c r="H451" t="s">
        <v>49</v>
      </c>
      <c r="I451" t="s">
        <v>27</v>
      </c>
      <c r="J451" t="s">
        <v>18</v>
      </c>
      <c r="K451" s="2">
        <v>26000</v>
      </c>
      <c r="L451" s="3">
        <v>17.5</v>
      </c>
      <c r="M451" s="3">
        <v>73.8</v>
      </c>
      <c r="N451" s="3">
        <v>415.2</v>
      </c>
      <c r="O451" s="2">
        <v>193</v>
      </c>
      <c r="P451">
        <v>0</v>
      </c>
      <c r="Q451" t="s">
        <v>14</v>
      </c>
      <c r="R451" s="4">
        <v>157.96</v>
      </c>
      <c r="S451" s="4">
        <v>107.27</v>
      </c>
      <c r="T451" t="s">
        <v>34</v>
      </c>
      <c r="U451" s="4">
        <v>7.39</v>
      </c>
      <c r="V451" s="4">
        <v>6.0750000000000002</v>
      </c>
      <c r="W451" s="4">
        <v>50.69</v>
      </c>
    </row>
    <row r="452" spans="1:23" ht="15" customHeight="1" x14ac:dyDescent="0.25">
      <c r="A452">
        <v>1916</v>
      </c>
      <c r="B452" s="1">
        <v>45730.833333333343</v>
      </c>
      <c r="C452">
        <v>20</v>
      </c>
      <c r="D452" t="s">
        <v>58</v>
      </c>
      <c r="E452">
        <v>3</v>
      </c>
      <c r="F452" t="s">
        <v>35</v>
      </c>
      <c r="G452" t="s">
        <v>33</v>
      </c>
      <c r="H452" t="s">
        <v>52</v>
      </c>
      <c r="I452" t="s">
        <v>13</v>
      </c>
      <c r="J452" t="s">
        <v>21</v>
      </c>
      <c r="K452" s="2">
        <v>9800</v>
      </c>
      <c r="L452" s="3">
        <v>13.4</v>
      </c>
      <c r="M452" s="3">
        <v>78.099999999999994</v>
      </c>
      <c r="N452" s="3">
        <v>0</v>
      </c>
      <c r="O452" s="2">
        <v>292</v>
      </c>
      <c r="P452">
        <v>1</v>
      </c>
      <c r="Q452" t="s">
        <v>17</v>
      </c>
      <c r="R452" s="4">
        <v>96.49</v>
      </c>
      <c r="S452" s="4">
        <v>0</v>
      </c>
      <c r="T452" t="s">
        <v>37</v>
      </c>
      <c r="U452" s="4">
        <v>20.75</v>
      </c>
      <c r="V452" s="4">
        <v>9.8460000000000001</v>
      </c>
      <c r="W452" s="4">
        <v>96.49</v>
      </c>
    </row>
    <row r="453" spans="1:23" ht="15" customHeight="1" x14ac:dyDescent="0.25">
      <c r="A453">
        <v>1548</v>
      </c>
      <c r="B453" s="1">
        <v>45730.833333333343</v>
      </c>
      <c r="C453">
        <v>20</v>
      </c>
      <c r="D453" t="s">
        <v>58</v>
      </c>
      <c r="E453">
        <v>3</v>
      </c>
      <c r="F453" t="s">
        <v>35</v>
      </c>
      <c r="G453" t="s">
        <v>33</v>
      </c>
      <c r="H453" t="s">
        <v>49</v>
      </c>
      <c r="I453" t="s">
        <v>27</v>
      </c>
      <c r="J453" t="s">
        <v>18</v>
      </c>
      <c r="K453" s="2">
        <v>26000</v>
      </c>
      <c r="L453" s="3">
        <v>12.5</v>
      </c>
      <c r="M453" s="3">
        <v>61.6</v>
      </c>
      <c r="N453" s="3">
        <v>0</v>
      </c>
      <c r="O453" s="2">
        <v>176</v>
      </c>
      <c r="P453">
        <v>1</v>
      </c>
      <c r="Q453" t="s">
        <v>17</v>
      </c>
      <c r="R453" s="4">
        <v>241.01</v>
      </c>
      <c r="S453" s="4">
        <v>0</v>
      </c>
      <c r="T453" t="s">
        <v>37</v>
      </c>
      <c r="U453" s="4">
        <v>52.44</v>
      </c>
      <c r="V453" s="4">
        <v>9.27</v>
      </c>
      <c r="W453" s="4">
        <v>241.01</v>
      </c>
    </row>
    <row r="454" spans="1:23" ht="15" customHeight="1" x14ac:dyDescent="0.25">
      <c r="A454">
        <v>76</v>
      </c>
      <c r="B454" s="1">
        <v>45730.833333333343</v>
      </c>
      <c r="C454">
        <v>20</v>
      </c>
      <c r="D454" t="s">
        <v>58</v>
      </c>
      <c r="E454">
        <v>3</v>
      </c>
      <c r="F454" t="s">
        <v>35</v>
      </c>
      <c r="G454" t="s">
        <v>33</v>
      </c>
      <c r="H454" t="s">
        <v>53</v>
      </c>
      <c r="I454" t="s">
        <v>19</v>
      </c>
      <c r="J454" t="s">
        <v>26</v>
      </c>
      <c r="K454" s="2">
        <v>12500</v>
      </c>
      <c r="L454" s="3">
        <v>13.6</v>
      </c>
      <c r="M454" s="3">
        <v>66.5</v>
      </c>
      <c r="N454" s="3">
        <v>0</v>
      </c>
      <c r="O454" s="2">
        <v>91</v>
      </c>
      <c r="P454">
        <v>1</v>
      </c>
      <c r="Q454" t="s">
        <v>17</v>
      </c>
      <c r="R454" s="4">
        <v>44.01</v>
      </c>
      <c r="S454" s="4">
        <v>0</v>
      </c>
      <c r="T454" t="s">
        <v>37</v>
      </c>
      <c r="U454" s="4">
        <v>9.49</v>
      </c>
      <c r="V454" s="4">
        <v>3.5209999999999999</v>
      </c>
      <c r="W454" s="4">
        <v>44.01</v>
      </c>
    </row>
    <row r="455" spans="1:23" ht="15" customHeight="1" x14ac:dyDescent="0.25">
      <c r="A455">
        <v>1180</v>
      </c>
      <c r="B455" s="1">
        <v>45730.833333333343</v>
      </c>
      <c r="C455">
        <v>20</v>
      </c>
      <c r="D455" t="s">
        <v>58</v>
      </c>
      <c r="E455">
        <v>3</v>
      </c>
      <c r="F455" t="s">
        <v>35</v>
      </c>
      <c r="G455" t="s">
        <v>33</v>
      </c>
      <c r="H455" t="s">
        <v>51</v>
      </c>
      <c r="I455" t="s">
        <v>25</v>
      </c>
      <c r="J455" t="s">
        <v>15</v>
      </c>
      <c r="K455" s="2">
        <v>17400</v>
      </c>
      <c r="L455" s="3">
        <v>13.5</v>
      </c>
      <c r="M455" s="3">
        <v>88.7</v>
      </c>
      <c r="N455" s="3">
        <v>0</v>
      </c>
      <c r="O455" s="2">
        <v>1341</v>
      </c>
      <c r="P455">
        <v>1</v>
      </c>
      <c r="Q455" t="s">
        <v>17</v>
      </c>
      <c r="R455" s="4">
        <v>290.5</v>
      </c>
      <c r="S455" s="4">
        <v>0</v>
      </c>
      <c r="T455" t="s">
        <v>37</v>
      </c>
      <c r="U455" s="4">
        <v>62.95</v>
      </c>
      <c r="V455" s="4">
        <v>16.695</v>
      </c>
      <c r="W455" s="4">
        <v>290.5</v>
      </c>
    </row>
    <row r="456" spans="1:23" ht="15" customHeight="1" x14ac:dyDescent="0.25">
      <c r="A456">
        <v>812</v>
      </c>
      <c r="B456" s="1">
        <v>45730.833333333343</v>
      </c>
      <c r="C456">
        <v>20</v>
      </c>
      <c r="D456" t="s">
        <v>58</v>
      </c>
      <c r="E456">
        <v>3</v>
      </c>
      <c r="F456" t="s">
        <v>35</v>
      </c>
      <c r="G456" t="s">
        <v>33</v>
      </c>
      <c r="H456" t="s">
        <v>50</v>
      </c>
      <c r="I456" t="s">
        <v>22</v>
      </c>
      <c r="J456" t="s">
        <v>12</v>
      </c>
      <c r="K456" s="2">
        <v>21000</v>
      </c>
      <c r="L456" s="3">
        <v>16.8</v>
      </c>
      <c r="M456" s="3">
        <v>60.1</v>
      </c>
      <c r="N456" s="3">
        <v>0</v>
      </c>
      <c r="O456" s="2">
        <v>346</v>
      </c>
      <c r="P456">
        <v>0</v>
      </c>
      <c r="Q456" t="s">
        <v>14</v>
      </c>
      <c r="R456" s="4">
        <v>275.44</v>
      </c>
      <c r="S456" s="4">
        <v>0</v>
      </c>
      <c r="T456" t="s">
        <v>37</v>
      </c>
      <c r="U456" s="4">
        <v>58.61</v>
      </c>
      <c r="V456" s="4">
        <v>13.116</v>
      </c>
      <c r="W456" s="4">
        <v>275.44</v>
      </c>
    </row>
    <row r="457" spans="1:23" ht="15" customHeight="1" x14ac:dyDescent="0.25">
      <c r="A457">
        <v>444</v>
      </c>
      <c r="B457" s="1">
        <v>45730.833333333343</v>
      </c>
      <c r="C457">
        <v>20</v>
      </c>
      <c r="D457" t="s">
        <v>58</v>
      </c>
      <c r="E457">
        <v>3</v>
      </c>
      <c r="F457" t="s">
        <v>35</v>
      </c>
      <c r="G457" t="s">
        <v>33</v>
      </c>
      <c r="H457" t="s">
        <v>54</v>
      </c>
      <c r="I457" t="s">
        <v>16</v>
      </c>
      <c r="J457" t="s">
        <v>24</v>
      </c>
      <c r="K457" s="2">
        <v>8600</v>
      </c>
      <c r="L457" s="3">
        <v>13.4</v>
      </c>
      <c r="M457" s="3">
        <v>93.2</v>
      </c>
      <c r="N457" s="3">
        <v>0</v>
      </c>
      <c r="O457" s="2">
        <v>76</v>
      </c>
      <c r="P457">
        <v>1</v>
      </c>
      <c r="Q457" t="s">
        <v>17</v>
      </c>
      <c r="R457" s="4">
        <v>21.78</v>
      </c>
      <c r="S457" s="4">
        <v>0</v>
      </c>
      <c r="T457" t="s">
        <v>37</v>
      </c>
      <c r="U457" s="4">
        <v>4.8600000000000003</v>
      </c>
      <c r="V457" s="4">
        <v>2.5329999999999999</v>
      </c>
      <c r="W457" s="4">
        <v>21.78</v>
      </c>
    </row>
    <row r="458" spans="1:23" ht="15" customHeight="1" x14ac:dyDescent="0.25">
      <c r="A458">
        <v>1917</v>
      </c>
      <c r="B458" s="1">
        <v>45734</v>
      </c>
      <c r="C458">
        <v>0</v>
      </c>
      <c r="D458" t="s">
        <v>59</v>
      </c>
      <c r="E458">
        <v>3</v>
      </c>
      <c r="F458" t="s">
        <v>35</v>
      </c>
      <c r="G458" t="s">
        <v>33</v>
      </c>
      <c r="H458" t="s">
        <v>52</v>
      </c>
      <c r="I458" t="s">
        <v>13</v>
      </c>
      <c r="J458" t="s">
        <v>21</v>
      </c>
      <c r="K458" s="2">
        <v>9800</v>
      </c>
      <c r="L458" s="3">
        <v>11.8</v>
      </c>
      <c r="M458" s="3">
        <v>81.7</v>
      </c>
      <c r="N458" s="3">
        <v>0</v>
      </c>
      <c r="O458" s="2">
        <v>304</v>
      </c>
      <c r="P458">
        <v>1</v>
      </c>
      <c r="Q458" t="s">
        <v>17</v>
      </c>
      <c r="R458" s="4">
        <v>87.69</v>
      </c>
      <c r="S458" s="4">
        <v>0</v>
      </c>
      <c r="T458" t="s">
        <v>31</v>
      </c>
      <c r="U458" s="4">
        <v>7.65</v>
      </c>
      <c r="V458" s="4">
        <v>8.9480000000000004</v>
      </c>
      <c r="W458" s="4">
        <v>87.69</v>
      </c>
    </row>
    <row r="459" spans="1:23" ht="15" customHeight="1" x14ac:dyDescent="0.25">
      <c r="A459">
        <v>1181</v>
      </c>
      <c r="B459" s="1">
        <v>45734</v>
      </c>
      <c r="C459">
        <v>0</v>
      </c>
      <c r="D459" t="s">
        <v>59</v>
      </c>
      <c r="E459">
        <v>3</v>
      </c>
      <c r="F459" t="s">
        <v>35</v>
      </c>
      <c r="G459" t="s">
        <v>33</v>
      </c>
      <c r="H459" t="s">
        <v>51</v>
      </c>
      <c r="I459" t="s">
        <v>25</v>
      </c>
      <c r="J459" t="s">
        <v>15</v>
      </c>
      <c r="K459" s="2">
        <v>17400</v>
      </c>
      <c r="L459" s="3">
        <v>12.8</v>
      </c>
      <c r="M459" s="3">
        <v>69.2</v>
      </c>
      <c r="N459" s="3">
        <v>0</v>
      </c>
      <c r="O459" s="2">
        <v>93</v>
      </c>
      <c r="P459">
        <v>0</v>
      </c>
      <c r="Q459" t="s">
        <v>14</v>
      </c>
      <c r="R459" s="4">
        <v>49.75</v>
      </c>
      <c r="S459" s="4">
        <v>0</v>
      </c>
      <c r="T459" t="s">
        <v>31</v>
      </c>
      <c r="U459" s="4">
        <v>4.47</v>
      </c>
      <c r="V459" s="4">
        <v>2.859</v>
      </c>
      <c r="W459" s="4">
        <v>49.75</v>
      </c>
    </row>
    <row r="460" spans="1:23" ht="15" customHeight="1" x14ac:dyDescent="0.25">
      <c r="A460">
        <v>813</v>
      </c>
      <c r="B460" s="1">
        <v>45734</v>
      </c>
      <c r="C460">
        <v>0</v>
      </c>
      <c r="D460" t="s">
        <v>59</v>
      </c>
      <c r="E460">
        <v>3</v>
      </c>
      <c r="F460" t="s">
        <v>35</v>
      </c>
      <c r="G460" t="s">
        <v>33</v>
      </c>
      <c r="H460" t="s">
        <v>50</v>
      </c>
      <c r="I460" t="s">
        <v>22</v>
      </c>
      <c r="J460" t="s">
        <v>12</v>
      </c>
      <c r="K460" s="2">
        <v>21000</v>
      </c>
      <c r="L460" s="3">
        <v>11.9</v>
      </c>
      <c r="M460" s="3">
        <v>74.5</v>
      </c>
      <c r="N460" s="3">
        <v>0</v>
      </c>
      <c r="O460" s="2">
        <v>217</v>
      </c>
      <c r="P460">
        <v>1</v>
      </c>
      <c r="Q460" t="s">
        <v>17</v>
      </c>
      <c r="R460" s="4">
        <v>179.26</v>
      </c>
      <c r="S460" s="4">
        <v>0</v>
      </c>
      <c r="T460" t="s">
        <v>31</v>
      </c>
      <c r="U460" s="4">
        <v>15.86</v>
      </c>
      <c r="V460" s="4">
        <v>8.5359999999999996</v>
      </c>
      <c r="W460" s="4">
        <v>179.26</v>
      </c>
    </row>
    <row r="461" spans="1:23" ht="15" customHeight="1" x14ac:dyDescent="0.25">
      <c r="A461">
        <v>1549</v>
      </c>
      <c r="B461" s="1">
        <v>45734</v>
      </c>
      <c r="C461">
        <v>0</v>
      </c>
      <c r="D461" t="s">
        <v>59</v>
      </c>
      <c r="E461">
        <v>3</v>
      </c>
      <c r="F461" t="s">
        <v>35</v>
      </c>
      <c r="G461" t="s">
        <v>33</v>
      </c>
      <c r="H461" t="s">
        <v>49</v>
      </c>
      <c r="I461" t="s">
        <v>27</v>
      </c>
      <c r="J461" t="s">
        <v>18</v>
      </c>
      <c r="K461" s="2">
        <v>26000</v>
      </c>
      <c r="L461" s="3">
        <v>7.3</v>
      </c>
      <c r="M461" s="3">
        <v>74</v>
      </c>
      <c r="N461" s="3">
        <v>0</v>
      </c>
      <c r="O461" s="2">
        <v>43</v>
      </c>
      <c r="P461">
        <v>1</v>
      </c>
      <c r="Q461" t="s">
        <v>17</v>
      </c>
      <c r="R461" s="4">
        <v>126.47</v>
      </c>
      <c r="S461" s="4">
        <v>0</v>
      </c>
      <c r="T461" t="s">
        <v>31</v>
      </c>
      <c r="U461" s="4">
        <v>11.1</v>
      </c>
      <c r="V461" s="4">
        <v>4.8639999999999999</v>
      </c>
      <c r="W461" s="4">
        <v>126.47</v>
      </c>
    </row>
    <row r="462" spans="1:23" ht="15" customHeight="1" x14ac:dyDescent="0.25">
      <c r="A462">
        <v>77</v>
      </c>
      <c r="B462" s="1">
        <v>45734</v>
      </c>
      <c r="C462">
        <v>0</v>
      </c>
      <c r="D462" t="s">
        <v>59</v>
      </c>
      <c r="E462">
        <v>3</v>
      </c>
      <c r="F462" t="s">
        <v>35</v>
      </c>
      <c r="G462" t="s">
        <v>33</v>
      </c>
      <c r="H462" t="s">
        <v>53</v>
      </c>
      <c r="I462" t="s">
        <v>19</v>
      </c>
      <c r="J462" t="s">
        <v>26</v>
      </c>
      <c r="K462" s="2">
        <v>12500</v>
      </c>
      <c r="L462" s="3">
        <v>5.0999999999999996</v>
      </c>
      <c r="M462" s="3">
        <v>67.3</v>
      </c>
      <c r="N462" s="3">
        <v>0</v>
      </c>
      <c r="O462" s="2">
        <v>20</v>
      </c>
      <c r="P462">
        <v>0</v>
      </c>
      <c r="Q462" t="s">
        <v>14</v>
      </c>
      <c r="R462" s="4">
        <v>23.71</v>
      </c>
      <c r="S462" s="4">
        <v>0</v>
      </c>
      <c r="T462" t="s">
        <v>31</v>
      </c>
      <c r="U462" s="4">
        <v>2.16</v>
      </c>
      <c r="V462" s="4">
        <v>1.897</v>
      </c>
      <c r="W462" s="4">
        <v>23.71</v>
      </c>
    </row>
    <row r="463" spans="1:23" ht="15" customHeight="1" x14ac:dyDescent="0.25">
      <c r="A463">
        <v>445</v>
      </c>
      <c r="B463" s="1">
        <v>45734</v>
      </c>
      <c r="C463">
        <v>0</v>
      </c>
      <c r="D463" t="s">
        <v>59</v>
      </c>
      <c r="E463">
        <v>3</v>
      </c>
      <c r="F463" t="s">
        <v>35</v>
      </c>
      <c r="G463" t="s">
        <v>33</v>
      </c>
      <c r="H463" t="s">
        <v>54</v>
      </c>
      <c r="I463" t="s">
        <v>16</v>
      </c>
      <c r="J463" t="s">
        <v>24</v>
      </c>
      <c r="K463" s="2">
        <v>8600</v>
      </c>
      <c r="L463" s="3">
        <v>10.1</v>
      </c>
      <c r="M463" s="3"/>
      <c r="N463" s="3">
        <v>0</v>
      </c>
      <c r="O463" s="2">
        <v>61</v>
      </c>
      <c r="P463">
        <v>1</v>
      </c>
      <c r="Q463" t="s">
        <v>17</v>
      </c>
      <c r="R463" s="4">
        <v>25.2</v>
      </c>
      <c r="S463" s="4">
        <v>0</v>
      </c>
      <c r="T463" t="s">
        <v>31</v>
      </c>
      <c r="U463" s="4">
        <v>2.19</v>
      </c>
      <c r="V463" s="4">
        <v>2.93</v>
      </c>
      <c r="W463" s="4">
        <v>25.2</v>
      </c>
    </row>
    <row r="464" spans="1:23" ht="15" customHeight="1" x14ac:dyDescent="0.25">
      <c r="A464">
        <v>446</v>
      </c>
      <c r="B464" s="1">
        <v>45734.333333333343</v>
      </c>
      <c r="C464">
        <v>8</v>
      </c>
      <c r="D464" t="s">
        <v>59</v>
      </c>
      <c r="E464">
        <v>3</v>
      </c>
      <c r="F464" t="s">
        <v>35</v>
      </c>
      <c r="G464" t="s">
        <v>33</v>
      </c>
      <c r="H464" t="s">
        <v>54</v>
      </c>
      <c r="I464" t="s">
        <v>16</v>
      </c>
      <c r="J464" t="s">
        <v>24</v>
      </c>
      <c r="K464" s="2">
        <v>8600</v>
      </c>
      <c r="L464" s="3">
        <v>9.4</v>
      </c>
      <c r="M464" s="3">
        <v>87.5</v>
      </c>
      <c r="N464" s="3">
        <v>99.1</v>
      </c>
      <c r="O464" s="2">
        <v>845</v>
      </c>
      <c r="P464">
        <v>1</v>
      </c>
      <c r="Q464" t="s">
        <v>17</v>
      </c>
      <c r="R464" s="4">
        <v>111.8</v>
      </c>
      <c r="S464" s="4">
        <v>6.48</v>
      </c>
      <c r="T464" t="s">
        <v>34</v>
      </c>
      <c r="U464" s="4">
        <v>15.26</v>
      </c>
      <c r="V464" s="4">
        <v>13</v>
      </c>
      <c r="W464" s="4">
        <v>105.32</v>
      </c>
    </row>
    <row r="465" spans="1:23" ht="15" customHeight="1" x14ac:dyDescent="0.25">
      <c r="A465">
        <v>78</v>
      </c>
      <c r="B465" s="1">
        <v>45734.333333333343</v>
      </c>
      <c r="C465">
        <v>8</v>
      </c>
      <c r="D465" t="s">
        <v>59</v>
      </c>
      <c r="E465">
        <v>3</v>
      </c>
      <c r="F465" t="s">
        <v>35</v>
      </c>
      <c r="G465" t="s">
        <v>33</v>
      </c>
      <c r="H465" t="s">
        <v>53</v>
      </c>
      <c r="I465" t="s">
        <v>19</v>
      </c>
      <c r="J465" t="s">
        <v>26</v>
      </c>
      <c r="K465" s="2">
        <v>12500</v>
      </c>
      <c r="L465" s="3">
        <v>8.4</v>
      </c>
      <c r="M465" s="3">
        <v>77</v>
      </c>
      <c r="N465" s="3">
        <v>126.5</v>
      </c>
      <c r="O465" s="2">
        <v>381</v>
      </c>
      <c r="P465">
        <v>1</v>
      </c>
      <c r="Q465" t="s">
        <v>17</v>
      </c>
      <c r="R465" s="4">
        <v>71.650000000000006</v>
      </c>
      <c r="S465" s="4">
        <v>17.510000000000002</v>
      </c>
      <c r="T465" t="s">
        <v>34</v>
      </c>
      <c r="U465" s="4">
        <v>7.62</v>
      </c>
      <c r="V465" s="4">
        <v>5.7320000000000002</v>
      </c>
      <c r="W465" s="4">
        <v>54.14</v>
      </c>
    </row>
    <row r="466" spans="1:23" ht="15" customHeight="1" x14ac:dyDescent="0.25">
      <c r="A466">
        <v>1918</v>
      </c>
      <c r="B466" s="1">
        <v>45734.333333333343</v>
      </c>
      <c r="C466">
        <v>8</v>
      </c>
      <c r="D466" t="s">
        <v>59</v>
      </c>
      <c r="E466">
        <v>3</v>
      </c>
      <c r="F466" t="s">
        <v>35</v>
      </c>
      <c r="G466" t="s">
        <v>33</v>
      </c>
      <c r="H466" t="s">
        <v>52</v>
      </c>
      <c r="I466" t="s">
        <v>13</v>
      </c>
      <c r="J466" t="s">
        <v>21</v>
      </c>
      <c r="K466" s="2">
        <v>9800</v>
      </c>
      <c r="L466" s="3">
        <v>12.2</v>
      </c>
      <c r="M466" s="3">
        <v>81</v>
      </c>
      <c r="N466" s="3">
        <v>188.4</v>
      </c>
      <c r="O466" s="2">
        <v>82</v>
      </c>
      <c r="P466">
        <v>1</v>
      </c>
      <c r="Q466" t="s">
        <v>17</v>
      </c>
      <c r="R466" s="4">
        <v>21.95</v>
      </c>
      <c r="S466" s="4">
        <v>0</v>
      </c>
      <c r="T466" t="s">
        <v>34</v>
      </c>
      <c r="U466" s="4">
        <v>3.01</v>
      </c>
      <c r="V466" s="4">
        <v>2.2400000000000002</v>
      </c>
      <c r="W466" s="4">
        <v>21.95</v>
      </c>
    </row>
    <row r="467" spans="1:23" ht="15" customHeight="1" x14ac:dyDescent="0.25">
      <c r="A467">
        <v>814</v>
      </c>
      <c r="B467" s="1">
        <v>45734.333333333343</v>
      </c>
      <c r="C467">
        <v>8</v>
      </c>
      <c r="D467" t="s">
        <v>59</v>
      </c>
      <c r="E467">
        <v>3</v>
      </c>
      <c r="F467" t="s">
        <v>35</v>
      </c>
      <c r="G467" t="s">
        <v>33</v>
      </c>
      <c r="H467" t="s">
        <v>50</v>
      </c>
      <c r="I467" t="s">
        <v>22</v>
      </c>
      <c r="J467" t="s">
        <v>12</v>
      </c>
      <c r="K467" s="2">
        <v>21000</v>
      </c>
      <c r="L467" s="3">
        <v>11.8</v>
      </c>
      <c r="M467" s="3">
        <v>63.2</v>
      </c>
      <c r="N467" s="3">
        <v>180.1</v>
      </c>
      <c r="O467" s="2">
        <v>423</v>
      </c>
      <c r="P467">
        <v>1</v>
      </c>
      <c r="Q467" t="s">
        <v>17</v>
      </c>
      <c r="R467" s="4">
        <v>208.22</v>
      </c>
      <c r="S467" s="4">
        <v>36.35</v>
      </c>
      <c r="T467" t="s">
        <v>34</v>
      </c>
      <c r="U467" s="4">
        <v>24.11</v>
      </c>
      <c r="V467" s="4">
        <v>9.9149999999999991</v>
      </c>
      <c r="W467" s="4">
        <v>171.87</v>
      </c>
    </row>
    <row r="468" spans="1:23" ht="15" customHeight="1" x14ac:dyDescent="0.25">
      <c r="A468">
        <v>1550</v>
      </c>
      <c r="B468" s="1">
        <v>45734.333333333343</v>
      </c>
      <c r="C468">
        <v>8</v>
      </c>
      <c r="D468" t="s">
        <v>59</v>
      </c>
      <c r="E468">
        <v>3</v>
      </c>
      <c r="F468" t="s">
        <v>35</v>
      </c>
      <c r="G468" t="s">
        <v>33</v>
      </c>
      <c r="H468" t="s">
        <v>49</v>
      </c>
      <c r="I468" t="s">
        <v>27</v>
      </c>
      <c r="J468" t="s">
        <v>18</v>
      </c>
      <c r="K468" s="2">
        <v>26000</v>
      </c>
      <c r="L468" s="3">
        <v>9.5</v>
      </c>
      <c r="M468" s="3">
        <v>69.599999999999994</v>
      </c>
      <c r="N468" s="3">
        <v>128.9</v>
      </c>
      <c r="O468" s="2">
        <v>160</v>
      </c>
      <c r="P468">
        <v>1</v>
      </c>
      <c r="Q468" t="s">
        <v>17</v>
      </c>
      <c r="R468" s="4">
        <v>166.84</v>
      </c>
      <c r="S468" s="4">
        <v>37</v>
      </c>
      <c r="T468" t="s">
        <v>34</v>
      </c>
      <c r="U468" s="4">
        <v>18.89</v>
      </c>
      <c r="V468" s="4">
        <v>6.4169999999999998</v>
      </c>
      <c r="W468" s="4">
        <v>129.84</v>
      </c>
    </row>
    <row r="469" spans="1:23" ht="15" customHeight="1" x14ac:dyDescent="0.25">
      <c r="A469">
        <v>1182</v>
      </c>
      <c r="B469" s="1">
        <v>45734.333333333343</v>
      </c>
      <c r="C469">
        <v>8</v>
      </c>
      <c r="D469" t="s">
        <v>59</v>
      </c>
      <c r="E469">
        <v>3</v>
      </c>
      <c r="F469" t="s">
        <v>35</v>
      </c>
      <c r="G469" t="s">
        <v>33</v>
      </c>
      <c r="H469" t="s">
        <v>51</v>
      </c>
      <c r="I469" t="s">
        <v>25</v>
      </c>
      <c r="J469" t="s">
        <v>15</v>
      </c>
      <c r="K469" s="2">
        <v>17400</v>
      </c>
      <c r="L469" s="3">
        <v>12.1</v>
      </c>
      <c r="M469" s="3">
        <v>76.8</v>
      </c>
      <c r="N469" s="3">
        <v>143</v>
      </c>
      <c r="O469" s="2">
        <v>43</v>
      </c>
      <c r="P469">
        <v>0</v>
      </c>
      <c r="Q469" t="s">
        <v>14</v>
      </c>
      <c r="R469" s="4">
        <v>32.520000000000003</v>
      </c>
      <c r="S469" s="4">
        <v>17.71</v>
      </c>
      <c r="T469" t="s">
        <v>34</v>
      </c>
      <c r="U469" s="4">
        <v>2.11</v>
      </c>
      <c r="V469" s="4">
        <v>1.869</v>
      </c>
      <c r="W469" s="4">
        <v>14.81</v>
      </c>
    </row>
    <row r="470" spans="1:23" ht="15" customHeight="1" x14ac:dyDescent="0.25">
      <c r="A470">
        <v>815</v>
      </c>
      <c r="B470" s="1">
        <v>45734.583333333343</v>
      </c>
      <c r="C470">
        <v>14</v>
      </c>
      <c r="D470" t="s">
        <v>59</v>
      </c>
      <c r="E470">
        <v>3</v>
      </c>
      <c r="F470" t="s">
        <v>35</v>
      </c>
      <c r="G470" t="s">
        <v>33</v>
      </c>
      <c r="H470" t="s">
        <v>50</v>
      </c>
      <c r="I470" t="s">
        <v>22</v>
      </c>
      <c r="J470" t="s">
        <v>12</v>
      </c>
      <c r="K470" s="2">
        <v>21000</v>
      </c>
      <c r="L470" s="3">
        <v>21.4</v>
      </c>
      <c r="M470" s="3">
        <v>71.400000000000006</v>
      </c>
      <c r="N470" s="3">
        <v>489.3</v>
      </c>
      <c r="O470" s="2">
        <v>402</v>
      </c>
      <c r="P470">
        <v>0</v>
      </c>
      <c r="Q470" t="s">
        <v>14</v>
      </c>
      <c r="R470" s="4">
        <v>187.67</v>
      </c>
      <c r="S470" s="4">
        <v>102.93</v>
      </c>
      <c r="T470" t="s">
        <v>34</v>
      </c>
      <c r="U470" s="4">
        <v>11.65</v>
      </c>
      <c r="V470" s="4">
        <v>8.9369999999999994</v>
      </c>
      <c r="W470" s="4">
        <v>84.74</v>
      </c>
    </row>
    <row r="471" spans="1:23" ht="15" customHeight="1" x14ac:dyDescent="0.25">
      <c r="A471">
        <v>447</v>
      </c>
      <c r="B471" s="1">
        <v>45734.583333333343</v>
      </c>
      <c r="C471">
        <v>14</v>
      </c>
      <c r="D471" t="s">
        <v>59</v>
      </c>
      <c r="E471">
        <v>3</v>
      </c>
      <c r="F471" t="s">
        <v>35</v>
      </c>
      <c r="G471" t="s">
        <v>33</v>
      </c>
      <c r="H471" t="s">
        <v>54</v>
      </c>
      <c r="I471" t="s">
        <v>16</v>
      </c>
      <c r="J471" t="s">
        <v>24</v>
      </c>
      <c r="K471" s="2">
        <v>8600</v>
      </c>
      <c r="L471" s="3">
        <v>17.100000000000001</v>
      </c>
      <c r="M471" s="3">
        <v>88.7</v>
      </c>
      <c r="N471" s="3">
        <v>460.1</v>
      </c>
      <c r="O471" s="2">
        <v>817</v>
      </c>
      <c r="P471">
        <v>0</v>
      </c>
      <c r="Q471" t="s">
        <v>14</v>
      </c>
      <c r="R471" s="4">
        <v>79.16</v>
      </c>
      <c r="S471" s="4">
        <v>36.83</v>
      </c>
      <c r="T471" t="s">
        <v>34</v>
      </c>
      <c r="U471" s="4">
        <v>5.9</v>
      </c>
      <c r="V471" s="4">
        <v>9.2050000000000001</v>
      </c>
      <c r="W471" s="4">
        <v>42.33</v>
      </c>
    </row>
    <row r="472" spans="1:23" ht="15" customHeight="1" x14ac:dyDescent="0.25">
      <c r="A472">
        <v>1551</v>
      </c>
      <c r="B472" s="1">
        <v>45734.583333333343</v>
      </c>
      <c r="C472">
        <v>14</v>
      </c>
      <c r="D472" t="s">
        <v>59</v>
      </c>
      <c r="E472">
        <v>3</v>
      </c>
      <c r="F472" t="s">
        <v>35</v>
      </c>
      <c r="G472" t="s">
        <v>33</v>
      </c>
      <c r="H472" t="s">
        <v>49</v>
      </c>
      <c r="I472" t="s">
        <v>27</v>
      </c>
      <c r="J472" t="s">
        <v>18</v>
      </c>
      <c r="K472" s="2">
        <v>26000</v>
      </c>
      <c r="L472" s="3">
        <v>18.600000000000001</v>
      </c>
      <c r="M472" s="3">
        <v>57.2</v>
      </c>
      <c r="N472" s="3">
        <v>515.79999999999995</v>
      </c>
      <c r="O472" s="2">
        <v>161</v>
      </c>
      <c r="P472">
        <v>0</v>
      </c>
      <c r="Q472" t="s">
        <v>14</v>
      </c>
      <c r="R472" s="4">
        <v>159.34</v>
      </c>
      <c r="S472" s="4">
        <v>149.53</v>
      </c>
      <c r="T472" t="s">
        <v>34</v>
      </c>
      <c r="U472" s="4">
        <v>1.42</v>
      </c>
      <c r="V472" s="4">
        <v>6.1280000000000001</v>
      </c>
      <c r="W472" s="4">
        <v>9.81</v>
      </c>
    </row>
    <row r="473" spans="1:23" ht="15" customHeight="1" x14ac:dyDescent="0.25">
      <c r="A473">
        <v>79</v>
      </c>
      <c r="B473" s="1">
        <v>45734.583333333343</v>
      </c>
      <c r="C473">
        <v>14</v>
      </c>
      <c r="D473" t="s">
        <v>59</v>
      </c>
      <c r="E473">
        <v>3</v>
      </c>
      <c r="F473" t="s">
        <v>35</v>
      </c>
      <c r="G473" t="s">
        <v>33</v>
      </c>
      <c r="H473" t="s">
        <v>53</v>
      </c>
      <c r="I473" t="s">
        <v>19</v>
      </c>
      <c r="J473" t="s">
        <v>26</v>
      </c>
      <c r="K473" s="2">
        <v>12500</v>
      </c>
      <c r="L473" s="3">
        <v>17</v>
      </c>
      <c r="M473" s="3">
        <v>52.8</v>
      </c>
      <c r="N473" s="3">
        <v>454.1</v>
      </c>
      <c r="O473" s="2">
        <v>622</v>
      </c>
      <c r="P473">
        <v>0</v>
      </c>
      <c r="Q473" t="s">
        <v>14</v>
      </c>
      <c r="R473" s="4">
        <v>101.84</v>
      </c>
      <c r="S473" s="4">
        <v>74.89</v>
      </c>
      <c r="T473" t="s">
        <v>34</v>
      </c>
      <c r="U473" s="4">
        <v>3.81</v>
      </c>
      <c r="V473" s="4">
        <v>8.1470000000000002</v>
      </c>
      <c r="W473" s="4">
        <v>26.95</v>
      </c>
    </row>
    <row r="474" spans="1:23" ht="15" customHeight="1" x14ac:dyDescent="0.25">
      <c r="A474">
        <v>1183</v>
      </c>
      <c r="B474" s="1">
        <v>45734.583333333343</v>
      </c>
      <c r="C474">
        <v>14</v>
      </c>
      <c r="D474" t="s">
        <v>59</v>
      </c>
      <c r="E474">
        <v>3</v>
      </c>
      <c r="F474" t="s">
        <v>35</v>
      </c>
      <c r="G474" t="s">
        <v>33</v>
      </c>
      <c r="H474" t="s">
        <v>51</v>
      </c>
      <c r="I474" t="s">
        <v>25</v>
      </c>
      <c r="J474" t="s">
        <v>15</v>
      </c>
      <c r="K474" s="2">
        <v>17400</v>
      </c>
      <c r="L474" s="3">
        <v>18.100000000000001</v>
      </c>
      <c r="M474" s="3">
        <v>76</v>
      </c>
      <c r="N474" s="3">
        <v>464.3</v>
      </c>
      <c r="O474" s="2">
        <v>1389</v>
      </c>
      <c r="P474">
        <v>0</v>
      </c>
      <c r="Q474" t="s">
        <v>14</v>
      </c>
      <c r="R474" s="4">
        <v>219.33</v>
      </c>
      <c r="S474" s="4">
        <v>58.63</v>
      </c>
      <c r="T474" t="s">
        <v>34</v>
      </c>
      <c r="U474" s="4">
        <v>22.47</v>
      </c>
      <c r="V474" s="4">
        <v>12.605</v>
      </c>
      <c r="W474" s="4">
        <v>160.69999999999999</v>
      </c>
    </row>
    <row r="475" spans="1:23" ht="15" customHeight="1" x14ac:dyDescent="0.25">
      <c r="A475">
        <v>1919</v>
      </c>
      <c r="B475" s="1">
        <v>45734.583333333343</v>
      </c>
      <c r="C475">
        <v>14</v>
      </c>
      <c r="D475" t="s">
        <v>59</v>
      </c>
      <c r="E475">
        <v>3</v>
      </c>
      <c r="F475" t="s">
        <v>35</v>
      </c>
      <c r="G475" t="s">
        <v>33</v>
      </c>
      <c r="H475" t="s">
        <v>52</v>
      </c>
      <c r="I475" t="s">
        <v>13</v>
      </c>
      <c r="J475" t="s">
        <v>21</v>
      </c>
      <c r="K475" s="2">
        <v>9800</v>
      </c>
      <c r="L475" s="3">
        <v>15.7</v>
      </c>
      <c r="M475" s="3">
        <v>79.7</v>
      </c>
      <c r="N475" s="3">
        <v>535</v>
      </c>
      <c r="O475" s="2">
        <v>57</v>
      </c>
      <c r="P475">
        <v>1</v>
      </c>
      <c r="Q475" t="s">
        <v>23</v>
      </c>
      <c r="R475" s="4">
        <v>18</v>
      </c>
      <c r="S475" s="4">
        <v>0</v>
      </c>
      <c r="T475" t="s">
        <v>34</v>
      </c>
      <c r="U475" s="4">
        <v>2.52</v>
      </c>
      <c r="V475" s="4">
        <v>1.837</v>
      </c>
      <c r="W475" s="4">
        <v>18</v>
      </c>
    </row>
    <row r="476" spans="1:23" ht="15" customHeight="1" x14ac:dyDescent="0.25">
      <c r="A476">
        <v>816</v>
      </c>
      <c r="B476" s="1">
        <v>45734.833333333343</v>
      </c>
      <c r="C476">
        <v>20</v>
      </c>
      <c r="D476" t="s">
        <v>59</v>
      </c>
      <c r="E476">
        <v>3</v>
      </c>
      <c r="F476" t="s">
        <v>35</v>
      </c>
      <c r="G476" t="s">
        <v>33</v>
      </c>
      <c r="H476" t="s">
        <v>50</v>
      </c>
      <c r="I476" t="s">
        <v>22</v>
      </c>
      <c r="J476" t="s">
        <v>12</v>
      </c>
      <c r="K476" s="2">
        <v>21000</v>
      </c>
      <c r="L476" s="3">
        <v>16.7</v>
      </c>
      <c r="M476" s="3">
        <v>73.900000000000006</v>
      </c>
      <c r="N476" s="3">
        <v>0</v>
      </c>
      <c r="O476" s="2">
        <v>423</v>
      </c>
      <c r="P476">
        <v>0</v>
      </c>
      <c r="Q476" t="s">
        <v>14</v>
      </c>
      <c r="R476" s="4">
        <v>284.95999999999998</v>
      </c>
      <c r="S476" s="4">
        <v>0</v>
      </c>
      <c r="T476" t="s">
        <v>37</v>
      </c>
      <c r="U476" s="4">
        <v>63.09</v>
      </c>
      <c r="V476" s="4">
        <v>13.57</v>
      </c>
      <c r="W476" s="4">
        <v>284.95999999999998</v>
      </c>
    </row>
    <row r="477" spans="1:23" ht="15" customHeight="1" x14ac:dyDescent="0.25">
      <c r="A477">
        <v>1552</v>
      </c>
      <c r="B477" s="1">
        <v>45734.833333333343</v>
      </c>
      <c r="C477">
        <v>20</v>
      </c>
      <c r="D477" t="s">
        <v>59</v>
      </c>
      <c r="E477">
        <v>3</v>
      </c>
      <c r="F477" t="s">
        <v>35</v>
      </c>
      <c r="G477" t="s">
        <v>33</v>
      </c>
      <c r="H477" t="s">
        <v>49</v>
      </c>
      <c r="I477" t="s">
        <v>27</v>
      </c>
      <c r="J477" t="s">
        <v>18</v>
      </c>
      <c r="K477" s="2">
        <v>26000</v>
      </c>
      <c r="L477" s="3">
        <v>13.2</v>
      </c>
      <c r="M477" s="3">
        <v>72.8</v>
      </c>
      <c r="N477" s="3">
        <v>0</v>
      </c>
      <c r="O477" s="2">
        <v>155</v>
      </c>
      <c r="P477">
        <v>1</v>
      </c>
      <c r="Q477" t="s">
        <v>17</v>
      </c>
      <c r="R477" s="4">
        <v>253.42</v>
      </c>
      <c r="S477" s="4">
        <v>0</v>
      </c>
      <c r="T477" t="s">
        <v>37</v>
      </c>
      <c r="U477" s="4">
        <v>54.97</v>
      </c>
      <c r="V477" s="4">
        <v>9.7469999999999999</v>
      </c>
      <c r="W477" s="4">
        <v>253.42</v>
      </c>
    </row>
    <row r="478" spans="1:23" ht="15" customHeight="1" x14ac:dyDescent="0.25">
      <c r="A478">
        <v>1184</v>
      </c>
      <c r="B478" s="1">
        <v>45734.833333333343</v>
      </c>
      <c r="C478">
        <v>20</v>
      </c>
      <c r="D478" t="s">
        <v>59</v>
      </c>
      <c r="E478">
        <v>3</v>
      </c>
      <c r="F478" t="s">
        <v>35</v>
      </c>
      <c r="G478" t="s">
        <v>33</v>
      </c>
      <c r="H478" t="s">
        <v>51</v>
      </c>
      <c r="I478" t="s">
        <v>25</v>
      </c>
      <c r="J478" t="s">
        <v>15</v>
      </c>
      <c r="K478" s="2">
        <v>17400</v>
      </c>
      <c r="L478" s="3">
        <v>18.2</v>
      </c>
      <c r="M478" s="3">
        <v>60.7</v>
      </c>
      <c r="N478" s="3">
        <v>0</v>
      </c>
      <c r="O478" s="2">
        <v>1363</v>
      </c>
      <c r="P478">
        <v>0</v>
      </c>
      <c r="Q478" t="s">
        <v>14</v>
      </c>
      <c r="R478" s="4">
        <v>278</v>
      </c>
      <c r="S478" s="4">
        <v>0</v>
      </c>
      <c r="T478" t="s">
        <v>37</v>
      </c>
      <c r="U478" s="4">
        <v>59.94</v>
      </c>
      <c r="V478" s="4">
        <v>15.977</v>
      </c>
      <c r="W478" s="4">
        <v>278</v>
      </c>
    </row>
    <row r="479" spans="1:23" ht="15" customHeight="1" x14ac:dyDescent="0.25">
      <c r="A479">
        <v>80</v>
      </c>
      <c r="B479" s="1">
        <v>45734.833333333343</v>
      </c>
      <c r="C479">
        <v>20</v>
      </c>
      <c r="D479" t="s">
        <v>59</v>
      </c>
      <c r="E479">
        <v>3</v>
      </c>
      <c r="F479" t="s">
        <v>35</v>
      </c>
      <c r="G479" t="s">
        <v>33</v>
      </c>
      <c r="H479" t="s">
        <v>53</v>
      </c>
      <c r="I479" t="s">
        <v>19</v>
      </c>
      <c r="J479" t="s">
        <v>26</v>
      </c>
      <c r="K479" s="2">
        <v>12500</v>
      </c>
      <c r="L479" s="3">
        <v>10.6</v>
      </c>
      <c r="M479" s="3">
        <v>66.900000000000006</v>
      </c>
      <c r="N479" s="3">
        <v>0</v>
      </c>
      <c r="O479" s="2">
        <v>79</v>
      </c>
      <c r="P479">
        <v>1</v>
      </c>
      <c r="Q479" t="s">
        <v>17</v>
      </c>
      <c r="R479" s="4">
        <v>46.26</v>
      </c>
      <c r="S479" s="4">
        <v>0</v>
      </c>
      <c r="T479" t="s">
        <v>37</v>
      </c>
      <c r="U479" s="4">
        <v>10.08</v>
      </c>
      <c r="V479" s="4">
        <v>3.7010000000000001</v>
      </c>
      <c r="W479" s="4">
        <v>46.26</v>
      </c>
    </row>
    <row r="480" spans="1:23" ht="15" customHeight="1" x14ac:dyDescent="0.25">
      <c r="A480">
        <v>448</v>
      </c>
      <c r="B480" s="1">
        <v>45734.833333333343</v>
      </c>
      <c r="C480">
        <v>20</v>
      </c>
      <c r="D480" t="s">
        <v>59</v>
      </c>
      <c r="E480">
        <v>3</v>
      </c>
      <c r="F480" t="s">
        <v>35</v>
      </c>
      <c r="G480" t="s">
        <v>33</v>
      </c>
      <c r="H480" t="s">
        <v>54</v>
      </c>
      <c r="I480" t="s">
        <v>16</v>
      </c>
      <c r="J480" t="s">
        <v>24</v>
      </c>
      <c r="K480" s="2">
        <v>8600</v>
      </c>
      <c r="L480" s="3">
        <v>11.9</v>
      </c>
      <c r="M480" s="3">
        <v>99</v>
      </c>
      <c r="N480" s="3">
        <v>0</v>
      </c>
      <c r="O480" s="2">
        <v>62</v>
      </c>
      <c r="P480">
        <v>1</v>
      </c>
      <c r="Q480" t="s">
        <v>17</v>
      </c>
      <c r="R480" s="4">
        <v>24.77</v>
      </c>
      <c r="S480" s="4">
        <v>0</v>
      </c>
      <c r="T480" t="s">
        <v>37</v>
      </c>
      <c r="U480" s="4">
        <v>5.42</v>
      </c>
      <c r="V480" s="4">
        <v>2.88</v>
      </c>
      <c r="W480" s="4">
        <v>24.77</v>
      </c>
    </row>
    <row r="481" spans="1:23" ht="15" customHeight="1" x14ac:dyDescent="0.25">
      <c r="A481">
        <v>1920</v>
      </c>
      <c r="B481" s="1">
        <v>45734.833333333343</v>
      </c>
      <c r="C481">
        <v>20</v>
      </c>
      <c r="D481" t="s">
        <v>59</v>
      </c>
      <c r="E481">
        <v>3</v>
      </c>
      <c r="F481" t="s">
        <v>35</v>
      </c>
      <c r="G481" t="s">
        <v>33</v>
      </c>
      <c r="H481" t="s">
        <v>52</v>
      </c>
      <c r="I481" t="s">
        <v>13</v>
      </c>
      <c r="J481" t="s">
        <v>21</v>
      </c>
      <c r="K481" s="2">
        <v>9800</v>
      </c>
      <c r="L481" s="3">
        <v>12.3</v>
      </c>
      <c r="M481" s="3">
        <v>92.7</v>
      </c>
      <c r="N481" s="3">
        <v>0</v>
      </c>
      <c r="O481" s="2">
        <v>335</v>
      </c>
      <c r="P481">
        <v>1</v>
      </c>
      <c r="Q481" t="s">
        <v>17</v>
      </c>
      <c r="R481" s="4">
        <v>99.62</v>
      </c>
      <c r="S481" s="4">
        <v>0</v>
      </c>
      <c r="T481" t="s">
        <v>37</v>
      </c>
      <c r="U481" s="4">
        <v>21.08</v>
      </c>
      <c r="V481" s="4">
        <v>10.164999999999999</v>
      </c>
      <c r="W481" s="4">
        <v>99.62</v>
      </c>
    </row>
    <row r="482" spans="1:23" ht="15" customHeight="1" x14ac:dyDescent="0.25">
      <c r="A482">
        <v>449</v>
      </c>
      <c r="B482" s="1">
        <v>45738</v>
      </c>
      <c r="C482">
        <v>0</v>
      </c>
      <c r="D482" t="s">
        <v>60</v>
      </c>
      <c r="E482">
        <v>3</v>
      </c>
      <c r="F482" t="s">
        <v>35</v>
      </c>
      <c r="G482" t="s">
        <v>36</v>
      </c>
      <c r="H482" t="s">
        <v>54</v>
      </c>
      <c r="I482" t="s">
        <v>16</v>
      </c>
      <c r="J482" t="s">
        <v>24</v>
      </c>
      <c r="K482" s="2">
        <v>8600</v>
      </c>
      <c r="L482" s="3">
        <v>9.1</v>
      </c>
      <c r="M482" s="3">
        <v>97.1</v>
      </c>
      <c r="N482" s="3">
        <v>0</v>
      </c>
      <c r="O482" s="2">
        <v>0</v>
      </c>
      <c r="P482">
        <v>0</v>
      </c>
      <c r="Q482" t="s">
        <v>14</v>
      </c>
      <c r="R482" s="4">
        <v>12.95</v>
      </c>
      <c r="S482" s="4">
        <v>0</v>
      </c>
      <c r="T482" t="s">
        <v>31</v>
      </c>
      <c r="U482" s="4">
        <v>1.17</v>
      </c>
      <c r="V482" s="4">
        <v>1.506</v>
      </c>
      <c r="W482" s="4">
        <v>12.95</v>
      </c>
    </row>
    <row r="483" spans="1:23" ht="15" customHeight="1" x14ac:dyDescent="0.25">
      <c r="A483">
        <v>81</v>
      </c>
      <c r="B483" s="1">
        <v>45738</v>
      </c>
      <c r="C483">
        <v>0</v>
      </c>
      <c r="D483" t="s">
        <v>60</v>
      </c>
      <c r="E483">
        <v>3</v>
      </c>
      <c r="F483" t="s">
        <v>35</v>
      </c>
      <c r="G483" t="s">
        <v>36</v>
      </c>
      <c r="H483" t="s">
        <v>53</v>
      </c>
      <c r="I483" t="s">
        <v>19</v>
      </c>
      <c r="J483" t="s">
        <v>26</v>
      </c>
      <c r="K483" s="2">
        <v>12500</v>
      </c>
      <c r="L483" s="3">
        <v>6.5</v>
      </c>
      <c r="M483" s="3">
        <v>61.5</v>
      </c>
      <c r="N483" s="3">
        <v>0</v>
      </c>
      <c r="O483" s="2">
        <v>0</v>
      </c>
      <c r="P483">
        <v>0</v>
      </c>
      <c r="Q483" t="s">
        <v>14</v>
      </c>
      <c r="R483" s="4">
        <v>22.41</v>
      </c>
      <c r="S483" s="4">
        <v>0</v>
      </c>
      <c r="T483" t="s">
        <v>31</v>
      </c>
      <c r="U483" s="4">
        <v>1.89</v>
      </c>
      <c r="V483" s="4">
        <v>1.7929999999999999</v>
      </c>
      <c r="W483" s="4">
        <v>22.41</v>
      </c>
    </row>
    <row r="484" spans="1:23" ht="15" customHeight="1" x14ac:dyDescent="0.25">
      <c r="A484">
        <v>817</v>
      </c>
      <c r="B484" s="1">
        <v>45738</v>
      </c>
      <c r="C484">
        <v>0</v>
      </c>
      <c r="D484" t="s">
        <v>60</v>
      </c>
      <c r="E484">
        <v>3</v>
      </c>
      <c r="F484" t="s">
        <v>35</v>
      </c>
      <c r="G484" t="s">
        <v>36</v>
      </c>
      <c r="H484" t="s">
        <v>50</v>
      </c>
      <c r="I484" t="s">
        <v>22</v>
      </c>
      <c r="J484" t="s">
        <v>12</v>
      </c>
      <c r="K484" s="2">
        <v>21000</v>
      </c>
      <c r="L484" s="3">
        <v>11.7</v>
      </c>
      <c r="M484" s="3">
        <v>59.2</v>
      </c>
      <c r="N484" s="3">
        <v>0</v>
      </c>
      <c r="O484" s="2">
        <v>178</v>
      </c>
      <c r="P484">
        <v>1</v>
      </c>
      <c r="Q484" t="s">
        <v>17</v>
      </c>
      <c r="R484" s="4">
        <v>180.64</v>
      </c>
      <c r="S484" s="4">
        <v>0</v>
      </c>
      <c r="T484" t="s">
        <v>31</v>
      </c>
      <c r="U484" s="4">
        <v>15.72</v>
      </c>
      <c r="V484" s="4">
        <v>8.6020000000000003</v>
      </c>
      <c r="W484" s="4">
        <v>180.64</v>
      </c>
    </row>
    <row r="485" spans="1:23" ht="15" customHeight="1" x14ac:dyDescent="0.25">
      <c r="A485">
        <v>1553</v>
      </c>
      <c r="B485" s="1">
        <v>45738</v>
      </c>
      <c r="C485">
        <v>0</v>
      </c>
      <c r="D485" t="s">
        <v>60</v>
      </c>
      <c r="E485">
        <v>3</v>
      </c>
      <c r="F485" t="s">
        <v>35</v>
      </c>
      <c r="G485" t="s">
        <v>36</v>
      </c>
      <c r="H485" t="s">
        <v>49</v>
      </c>
      <c r="I485" t="s">
        <v>27</v>
      </c>
      <c r="J485" t="s">
        <v>18</v>
      </c>
      <c r="K485" s="2">
        <v>26000</v>
      </c>
      <c r="L485" s="3">
        <v>4.5999999999999996</v>
      </c>
      <c r="M485" s="3">
        <v>82.7</v>
      </c>
      <c r="N485" s="3">
        <v>0</v>
      </c>
      <c r="O485" s="2">
        <v>19</v>
      </c>
      <c r="P485">
        <v>1</v>
      </c>
      <c r="Q485" t="s">
        <v>17</v>
      </c>
      <c r="R485" s="4">
        <v>82.02</v>
      </c>
      <c r="S485" s="4">
        <v>0</v>
      </c>
      <c r="T485" t="s">
        <v>31</v>
      </c>
      <c r="U485" s="4">
        <v>7.16</v>
      </c>
      <c r="V485" s="4">
        <v>3.1549999999999998</v>
      </c>
      <c r="W485" s="4">
        <v>82.02</v>
      </c>
    </row>
    <row r="486" spans="1:23" ht="15" customHeight="1" x14ac:dyDescent="0.25">
      <c r="A486">
        <v>1185</v>
      </c>
      <c r="B486" s="1">
        <v>45738</v>
      </c>
      <c r="C486">
        <v>0</v>
      </c>
      <c r="D486" t="s">
        <v>60</v>
      </c>
      <c r="E486">
        <v>3</v>
      </c>
      <c r="F486" t="s">
        <v>35</v>
      </c>
      <c r="G486" t="s">
        <v>36</v>
      </c>
      <c r="H486" t="s">
        <v>51</v>
      </c>
      <c r="I486" t="s">
        <v>25</v>
      </c>
      <c r="J486" t="s">
        <v>15</v>
      </c>
      <c r="K486" s="2">
        <v>17400</v>
      </c>
      <c r="L486" s="3">
        <v>13.4</v>
      </c>
      <c r="M486" s="3">
        <v>77.400000000000006</v>
      </c>
      <c r="N486" s="3">
        <v>0</v>
      </c>
      <c r="O486" s="2">
        <v>71</v>
      </c>
      <c r="P486">
        <v>1</v>
      </c>
      <c r="Q486" t="s">
        <v>17</v>
      </c>
      <c r="R486" s="4">
        <v>60.18</v>
      </c>
      <c r="S486" s="4">
        <v>0</v>
      </c>
      <c r="T486" t="s">
        <v>31</v>
      </c>
      <c r="U486" s="4">
        <v>5.19</v>
      </c>
      <c r="V486" s="4">
        <v>3.4590000000000001</v>
      </c>
      <c r="W486" s="4">
        <v>60.18</v>
      </c>
    </row>
    <row r="487" spans="1:23" ht="15" customHeight="1" x14ac:dyDescent="0.25">
      <c r="A487">
        <v>1921</v>
      </c>
      <c r="B487" s="1">
        <v>45738</v>
      </c>
      <c r="C487">
        <v>0</v>
      </c>
      <c r="D487" t="s">
        <v>60</v>
      </c>
      <c r="E487">
        <v>3</v>
      </c>
      <c r="F487" t="s">
        <v>35</v>
      </c>
      <c r="G487" t="s">
        <v>36</v>
      </c>
      <c r="H487" t="s">
        <v>52</v>
      </c>
      <c r="I487" t="s">
        <v>13</v>
      </c>
      <c r="J487" t="s">
        <v>21</v>
      </c>
      <c r="K487" s="2">
        <v>9800</v>
      </c>
      <c r="L487" s="3">
        <v>11.1</v>
      </c>
      <c r="M487" s="3">
        <v>86.4</v>
      </c>
      <c r="N487" s="3">
        <v>0</v>
      </c>
      <c r="O487" s="2">
        <v>296</v>
      </c>
      <c r="P487">
        <v>1</v>
      </c>
      <c r="Q487" t="s">
        <v>17</v>
      </c>
      <c r="R487" s="4">
        <v>96.13</v>
      </c>
      <c r="S487" s="4">
        <v>0</v>
      </c>
      <c r="T487" t="s">
        <v>31</v>
      </c>
      <c r="U487" s="4">
        <v>8.5299999999999994</v>
      </c>
      <c r="V487" s="4">
        <v>9.8089999999999993</v>
      </c>
      <c r="W487" s="4">
        <v>96.13</v>
      </c>
    </row>
    <row r="488" spans="1:23" ht="15" customHeight="1" x14ac:dyDescent="0.25">
      <c r="A488">
        <v>818</v>
      </c>
      <c r="B488" s="1">
        <v>45738.333333333343</v>
      </c>
      <c r="C488">
        <v>8</v>
      </c>
      <c r="D488" t="s">
        <v>60</v>
      </c>
      <c r="E488">
        <v>3</v>
      </c>
      <c r="F488" t="s">
        <v>35</v>
      </c>
      <c r="G488" t="s">
        <v>36</v>
      </c>
      <c r="H488" t="s">
        <v>50</v>
      </c>
      <c r="I488" t="s">
        <v>22</v>
      </c>
      <c r="J488" t="s">
        <v>12</v>
      </c>
      <c r="K488" s="2">
        <v>21000</v>
      </c>
      <c r="L488" s="3">
        <v>13.8</v>
      </c>
      <c r="M488" s="3">
        <v>73.599999999999994</v>
      </c>
      <c r="N488" s="3">
        <v>111.9</v>
      </c>
      <c r="O488" s="2"/>
      <c r="P488">
        <v>1</v>
      </c>
      <c r="Q488" t="s">
        <v>17</v>
      </c>
      <c r="R488" s="4">
        <v>279.60000000000002</v>
      </c>
      <c r="S488" s="4">
        <v>23.15</v>
      </c>
      <c r="T488" t="s">
        <v>31</v>
      </c>
      <c r="U488" s="4">
        <v>22</v>
      </c>
      <c r="V488" s="4">
        <v>13.314</v>
      </c>
      <c r="W488" s="4">
        <v>256.45</v>
      </c>
    </row>
    <row r="489" spans="1:23" ht="15" customHeight="1" x14ac:dyDescent="0.25">
      <c r="A489">
        <v>1186</v>
      </c>
      <c r="B489" s="1">
        <v>45738.333333333343</v>
      </c>
      <c r="C489">
        <v>8</v>
      </c>
      <c r="D489" t="s">
        <v>60</v>
      </c>
      <c r="E489">
        <v>3</v>
      </c>
      <c r="F489" t="s">
        <v>35</v>
      </c>
      <c r="G489" t="s">
        <v>36</v>
      </c>
      <c r="H489" t="s">
        <v>51</v>
      </c>
      <c r="I489" t="s">
        <v>25</v>
      </c>
      <c r="J489" t="s">
        <v>15</v>
      </c>
      <c r="K489" s="2">
        <v>17400</v>
      </c>
      <c r="L489" s="3"/>
      <c r="M489" s="3">
        <v>71.900000000000006</v>
      </c>
      <c r="N489" s="3">
        <v>91.7</v>
      </c>
      <c r="O489" s="2">
        <v>81</v>
      </c>
      <c r="P489">
        <v>1</v>
      </c>
      <c r="Q489" t="s">
        <v>17</v>
      </c>
      <c r="R489" s="4">
        <v>54.08</v>
      </c>
      <c r="S489" s="4">
        <v>12.11</v>
      </c>
      <c r="T489" t="s">
        <v>31</v>
      </c>
      <c r="U489" s="4">
        <v>3.74</v>
      </c>
      <c r="V489" s="4">
        <v>3.1080000000000001</v>
      </c>
      <c r="W489" s="4">
        <v>41.97</v>
      </c>
    </row>
    <row r="490" spans="1:23" ht="15" customHeight="1" x14ac:dyDescent="0.25">
      <c r="A490">
        <v>82</v>
      </c>
      <c r="B490" s="1">
        <v>45738.333333333343</v>
      </c>
      <c r="C490">
        <v>8</v>
      </c>
      <c r="D490" t="s">
        <v>60</v>
      </c>
      <c r="E490">
        <v>3</v>
      </c>
      <c r="F490" t="s">
        <v>35</v>
      </c>
      <c r="G490" t="s">
        <v>36</v>
      </c>
      <c r="H490" t="s">
        <v>53</v>
      </c>
      <c r="I490" t="s">
        <v>19</v>
      </c>
      <c r="J490" t="s">
        <v>26</v>
      </c>
      <c r="K490" s="2">
        <v>12500</v>
      </c>
      <c r="L490" s="3">
        <v>9.4</v>
      </c>
      <c r="M490" s="3">
        <v>81.099999999999994</v>
      </c>
      <c r="N490" s="3">
        <v>113.1</v>
      </c>
      <c r="O490" s="2">
        <v>0</v>
      </c>
      <c r="P490">
        <v>0</v>
      </c>
      <c r="Q490" t="s">
        <v>14</v>
      </c>
      <c r="R490" s="4">
        <v>24.17</v>
      </c>
      <c r="S490" s="4">
        <v>16.54</v>
      </c>
      <c r="T490" t="s">
        <v>31</v>
      </c>
      <c r="U490" s="4">
        <v>0.65</v>
      </c>
      <c r="V490" s="4">
        <v>1.9339999999999999</v>
      </c>
      <c r="W490" s="4">
        <v>7.63</v>
      </c>
    </row>
    <row r="491" spans="1:23" ht="15" customHeight="1" x14ac:dyDescent="0.25">
      <c r="A491">
        <v>450</v>
      </c>
      <c r="B491" s="1">
        <v>45738.333333333343</v>
      </c>
      <c r="C491">
        <v>8</v>
      </c>
      <c r="D491" t="s">
        <v>60</v>
      </c>
      <c r="E491">
        <v>3</v>
      </c>
      <c r="F491" t="s">
        <v>35</v>
      </c>
      <c r="G491" t="s">
        <v>36</v>
      </c>
      <c r="H491" t="s">
        <v>54</v>
      </c>
      <c r="I491" t="s">
        <v>16</v>
      </c>
      <c r="J491" t="s">
        <v>24</v>
      </c>
      <c r="K491" s="2">
        <v>8600</v>
      </c>
      <c r="L491" s="3">
        <v>13.2</v>
      </c>
      <c r="M491" s="3">
        <v>79.900000000000006</v>
      </c>
      <c r="N491" s="3">
        <v>90.9</v>
      </c>
      <c r="O491" s="2">
        <v>40</v>
      </c>
      <c r="P491">
        <v>0</v>
      </c>
      <c r="Q491" t="s">
        <v>14</v>
      </c>
      <c r="R491" s="4">
        <v>15.24</v>
      </c>
      <c r="S491" s="4">
        <v>7.09</v>
      </c>
      <c r="T491" t="s">
        <v>31</v>
      </c>
      <c r="U491" s="4">
        <v>0.69</v>
      </c>
      <c r="V491" s="4">
        <v>1.772</v>
      </c>
      <c r="W491" s="4">
        <v>8.15</v>
      </c>
    </row>
    <row r="492" spans="1:23" ht="15" customHeight="1" x14ac:dyDescent="0.25">
      <c r="A492">
        <v>1922</v>
      </c>
      <c r="B492" s="1">
        <v>45738.333333333343</v>
      </c>
      <c r="C492">
        <v>8</v>
      </c>
      <c r="D492" t="s">
        <v>60</v>
      </c>
      <c r="E492">
        <v>3</v>
      </c>
      <c r="F492" t="s">
        <v>35</v>
      </c>
      <c r="G492" t="s">
        <v>36</v>
      </c>
      <c r="H492" t="s">
        <v>52</v>
      </c>
      <c r="I492" t="s">
        <v>13</v>
      </c>
      <c r="J492" t="s">
        <v>21</v>
      </c>
      <c r="K492" s="2">
        <v>9800</v>
      </c>
      <c r="L492" s="3">
        <v>13.9</v>
      </c>
      <c r="M492" s="3">
        <v>76</v>
      </c>
      <c r="N492" s="3">
        <v>173.6</v>
      </c>
      <c r="O492" s="2">
        <v>87</v>
      </c>
      <c r="P492">
        <v>1</v>
      </c>
      <c r="Q492" t="s">
        <v>17</v>
      </c>
      <c r="R492" s="4">
        <v>25.13</v>
      </c>
      <c r="S492" s="4">
        <v>0</v>
      </c>
      <c r="T492" t="s">
        <v>31</v>
      </c>
      <c r="U492" s="4">
        <v>2.17</v>
      </c>
      <c r="V492" s="4">
        <v>2.5640000000000001</v>
      </c>
      <c r="W492" s="4">
        <v>25.13</v>
      </c>
    </row>
    <row r="493" spans="1:23" ht="15" customHeight="1" x14ac:dyDescent="0.25">
      <c r="A493">
        <v>1554</v>
      </c>
      <c r="B493" s="1">
        <v>45738.333333333343</v>
      </c>
      <c r="C493">
        <v>8</v>
      </c>
      <c r="D493" t="s">
        <v>60</v>
      </c>
      <c r="E493">
        <v>3</v>
      </c>
      <c r="F493" t="s">
        <v>35</v>
      </c>
      <c r="G493" t="s">
        <v>36</v>
      </c>
      <c r="H493" t="s">
        <v>49</v>
      </c>
      <c r="I493" t="s">
        <v>27</v>
      </c>
      <c r="J493" t="s">
        <v>18</v>
      </c>
      <c r="K493" s="2">
        <v>26000</v>
      </c>
      <c r="L493" s="3">
        <v>8</v>
      </c>
      <c r="M493" s="3">
        <v>63.4</v>
      </c>
      <c r="N493" s="3">
        <v>192.3</v>
      </c>
      <c r="O493" s="2">
        <v>68</v>
      </c>
      <c r="P493">
        <v>1</v>
      </c>
      <c r="Q493" t="s">
        <v>17</v>
      </c>
      <c r="R493" s="4">
        <v>95.22</v>
      </c>
      <c r="S493" s="4">
        <v>50.73</v>
      </c>
      <c r="T493" t="s">
        <v>31</v>
      </c>
      <c r="U493" s="4">
        <v>3.9</v>
      </c>
      <c r="V493" s="4">
        <v>3.6619999999999999</v>
      </c>
      <c r="W493" s="4">
        <v>44.49</v>
      </c>
    </row>
    <row r="494" spans="1:23" ht="15" customHeight="1" x14ac:dyDescent="0.25">
      <c r="A494">
        <v>83</v>
      </c>
      <c r="B494" s="1">
        <v>45738.583333333343</v>
      </c>
      <c r="C494">
        <v>14</v>
      </c>
      <c r="D494" t="s">
        <v>60</v>
      </c>
      <c r="E494">
        <v>3</v>
      </c>
      <c r="F494" t="s">
        <v>35</v>
      </c>
      <c r="G494" t="s">
        <v>36</v>
      </c>
      <c r="H494" t="s">
        <v>53</v>
      </c>
      <c r="I494" t="s">
        <v>19</v>
      </c>
      <c r="J494" t="s">
        <v>26</v>
      </c>
      <c r="K494" s="2">
        <v>12500</v>
      </c>
      <c r="L494" s="3">
        <v>18.7</v>
      </c>
      <c r="M494" s="3">
        <v>74.099999999999994</v>
      </c>
      <c r="N494" s="3">
        <v>454.1</v>
      </c>
      <c r="O494" s="2">
        <v>18</v>
      </c>
      <c r="P494">
        <v>0</v>
      </c>
      <c r="Q494" t="s">
        <v>14</v>
      </c>
      <c r="R494" s="4">
        <v>16.72</v>
      </c>
      <c r="S494" s="4">
        <v>68.55</v>
      </c>
      <c r="T494" t="s">
        <v>31</v>
      </c>
      <c r="U494" s="4">
        <v>-1.79</v>
      </c>
      <c r="V494" s="4">
        <v>1.3380000000000001</v>
      </c>
      <c r="W494" s="4">
        <v>0</v>
      </c>
    </row>
    <row r="495" spans="1:23" ht="15" customHeight="1" x14ac:dyDescent="0.25">
      <c r="A495">
        <v>451</v>
      </c>
      <c r="B495" s="1">
        <v>45738.583333333343</v>
      </c>
      <c r="C495">
        <v>14</v>
      </c>
      <c r="D495" t="s">
        <v>60</v>
      </c>
      <c r="E495">
        <v>3</v>
      </c>
      <c r="F495" t="s">
        <v>35</v>
      </c>
      <c r="G495" t="s">
        <v>36</v>
      </c>
      <c r="H495" t="s">
        <v>54</v>
      </c>
      <c r="I495" t="s">
        <v>16</v>
      </c>
      <c r="J495" t="s">
        <v>24</v>
      </c>
      <c r="K495" s="2">
        <v>8600</v>
      </c>
      <c r="L495" s="3">
        <v>13.1</v>
      </c>
      <c r="M495" s="3">
        <v>94.1</v>
      </c>
      <c r="N495" s="3">
        <v>409.3</v>
      </c>
      <c r="O495" s="2">
        <v>87</v>
      </c>
      <c r="P495">
        <v>0</v>
      </c>
      <c r="Q495" t="s">
        <v>14</v>
      </c>
      <c r="R495" s="4">
        <v>11.2</v>
      </c>
      <c r="S495" s="4">
        <v>32.1</v>
      </c>
      <c r="T495" t="s">
        <v>31</v>
      </c>
      <c r="U495" s="4">
        <v>-0.75</v>
      </c>
      <c r="V495" s="4">
        <v>1.302</v>
      </c>
      <c r="W495" s="4">
        <v>0</v>
      </c>
    </row>
    <row r="496" spans="1:23" ht="15" customHeight="1" x14ac:dyDescent="0.25">
      <c r="A496">
        <v>1187</v>
      </c>
      <c r="B496" s="1">
        <v>45738.583333333343</v>
      </c>
      <c r="C496">
        <v>14</v>
      </c>
      <c r="D496" t="s">
        <v>60</v>
      </c>
      <c r="E496">
        <v>3</v>
      </c>
      <c r="F496" t="s">
        <v>35</v>
      </c>
      <c r="G496" t="s">
        <v>36</v>
      </c>
      <c r="H496" t="s">
        <v>51</v>
      </c>
      <c r="I496" t="s">
        <v>25</v>
      </c>
      <c r="J496" t="s">
        <v>15</v>
      </c>
      <c r="K496" s="2">
        <v>17400</v>
      </c>
      <c r="L496" s="3">
        <v>15</v>
      </c>
      <c r="M496" s="3">
        <v>81</v>
      </c>
      <c r="N496" s="3">
        <v>498.8</v>
      </c>
      <c r="O496" s="2">
        <v>1557</v>
      </c>
      <c r="P496">
        <v>1</v>
      </c>
      <c r="Q496" t="s">
        <v>23</v>
      </c>
      <c r="R496" s="4">
        <v>225.58</v>
      </c>
      <c r="S496" s="4">
        <v>65.150000000000006</v>
      </c>
      <c r="T496" t="s">
        <v>31</v>
      </c>
      <c r="U496" s="4">
        <v>14.12</v>
      </c>
      <c r="V496" s="4">
        <v>12.964</v>
      </c>
      <c r="W496" s="4">
        <v>160.43</v>
      </c>
    </row>
    <row r="497" spans="1:23" ht="15" customHeight="1" x14ac:dyDescent="0.25">
      <c r="A497">
        <v>1923</v>
      </c>
      <c r="B497" s="1">
        <v>45738.583333333343</v>
      </c>
      <c r="C497">
        <v>14</v>
      </c>
      <c r="D497" t="s">
        <v>60</v>
      </c>
      <c r="E497">
        <v>3</v>
      </c>
      <c r="F497" t="s">
        <v>35</v>
      </c>
      <c r="G497" t="s">
        <v>36</v>
      </c>
      <c r="H497" t="s">
        <v>52</v>
      </c>
      <c r="I497" t="s">
        <v>13</v>
      </c>
      <c r="J497" t="s">
        <v>21</v>
      </c>
      <c r="K497" s="2">
        <v>9800</v>
      </c>
      <c r="L497" s="3">
        <v>17.100000000000001</v>
      </c>
      <c r="M497" s="3">
        <v>78.900000000000006</v>
      </c>
      <c r="N497" s="3">
        <v>447.2</v>
      </c>
      <c r="O497" s="2">
        <v>112</v>
      </c>
      <c r="P497">
        <v>0</v>
      </c>
      <c r="Q497" t="s">
        <v>14</v>
      </c>
      <c r="R497" s="4">
        <v>25.84</v>
      </c>
      <c r="S497" s="4">
        <v>0</v>
      </c>
      <c r="T497" t="s">
        <v>31</v>
      </c>
      <c r="U497" s="4">
        <v>2.17</v>
      </c>
      <c r="V497" s="4">
        <v>2.637</v>
      </c>
      <c r="W497" s="4">
        <v>25.84</v>
      </c>
    </row>
    <row r="498" spans="1:23" ht="15" customHeight="1" x14ac:dyDescent="0.25">
      <c r="A498">
        <v>819</v>
      </c>
      <c r="B498" s="1">
        <v>45738.583333333343</v>
      </c>
      <c r="C498">
        <v>14</v>
      </c>
      <c r="D498" t="s">
        <v>60</v>
      </c>
      <c r="E498">
        <v>3</v>
      </c>
      <c r="F498" t="s">
        <v>35</v>
      </c>
      <c r="G498" t="s">
        <v>36</v>
      </c>
      <c r="H498" t="s">
        <v>50</v>
      </c>
      <c r="I498" t="s">
        <v>22</v>
      </c>
      <c r="J498" t="s">
        <v>12</v>
      </c>
      <c r="K498" s="2">
        <v>21000</v>
      </c>
      <c r="L498" s="3">
        <v>22.8</v>
      </c>
      <c r="M498" s="3">
        <v>52.8</v>
      </c>
      <c r="N498" s="3">
        <v>641.70000000000005</v>
      </c>
      <c r="O498" s="2">
        <v>385</v>
      </c>
      <c r="P498">
        <v>0</v>
      </c>
      <c r="Q498" t="s">
        <v>14</v>
      </c>
      <c r="R498" s="4">
        <v>208.1</v>
      </c>
      <c r="S498" s="4">
        <v>134.68</v>
      </c>
      <c r="T498" t="s">
        <v>31</v>
      </c>
      <c r="U498" s="4">
        <v>6.07</v>
      </c>
      <c r="V498" s="4">
        <v>9.91</v>
      </c>
      <c r="W498" s="4">
        <v>73.42</v>
      </c>
    </row>
    <row r="499" spans="1:23" ht="15" customHeight="1" x14ac:dyDescent="0.25">
      <c r="A499">
        <v>1555</v>
      </c>
      <c r="B499" s="1">
        <v>45738.583333333343</v>
      </c>
      <c r="C499">
        <v>14</v>
      </c>
      <c r="D499" t="s">
        <v>60</v>
      </c>
      <c r="E499">
        <v>3</v>
      </c>
      <c r="F499" t="s">
        <v>35</v>
      </c>
      <c r="G499" t="s">
        <v>36</v>
      </c>
      <c r="H499" t="s">
        <v>49</v>
      </c>
      <c r="I499" t="s">
        <v>27</v>
      </c>
      <c r="J499" t="s">
        <v>18</v>
      </c>
      <c r="K499" s="2">
        <v>26000</v>
      </c>
      <c r="L499" s="3">
        <v>17.5</v>
      </c>
      <c r="M499" s="3">
        <v>69.3</v>
      </c>
      <c r="N499" s="3">
        <v>410.5</v>
      </c>
      <c r="O499" s="2">
        <v>79</v>
      </c>
      <c r="P499">
        <v>0</v>
      </c>
      <c r="Q499" t="s">
        <v>14</v>
      </c>
      <c r="R499" s="4">
        <v>78.510000000000005</v>
      </c>
      <c r="S499" s="4">
        <v>103.77</v>
      </c>
      <c r="T499" t="s">
        <v>31</v>
      </c>
      <c r="U499" s="4">
        <v>-0.88</v>
      </c>
      <c r="V499" s="4">
        <v>3.02</v>
      </c>
      <c r="W499" s="4">
        <v>0</v>
      </c>
    </row>
    <row r="500" spans="1:23" ht="15" customHeight="1" x14ac:dyDescent="0.25">
      <c r="A500">
        <v>84</v>
      </c>
      <c r="B500" s="1">
        <v>45738.833333333343</v>
      </c>
      <c r="C500">
        <v>20</v>
      </c>
      <c r="D500" t="s">
        <v>60</v>
      </c>
      <c r="E500">
        <v>3</v>
      </c>
      <c r="F500" t="s">
        <v>35</v>
      </c>
      <c r="G500" t="s">
        <v>36</v>
      </c>
      <c r="H500" t="s">
        <v>53</v>
      </c>
      <c r="I500" t="s">
        <v>19</v>
      </c>
      <c r="J500" t="s">
        <v>26</v>
      </c>
      <c r="K500" s="2">
        <v>12500</v>
      </c>
      <c r="L500" s="3">
        <v>12.1</v>
      </c>
      <c r="M500" s="3">
        <v>73.2</v>
      </c>
      <c r="N500" s="3">
        <v>0</v>
      </c>
      <c r="O500" s="2">
        <v>0</v>
      </c>
      <c r="P500">
        <v>0</v>
      </c>
      <c r="Q500" t="s">
        <v>14</v>
      </c>
      <c r="R500" s="4">
        <v>26.18</v>
      </c>
      <c r="S500" s="4">
        <v>0</v>
      </c>
      <c r="T500" t="s">
        <v>31</v>
      </c>
      <c r="U500" s="4">
        <v>2.2999999999999998</v>
      </c>
      <c r="V500" s="4">
        <v>2.0939999999999999</v>
      </c>
      <c r="W500" s="4">
        <v>26.18</v>
      </c>
    </row>
    <row r="501" spans="1:23" ht="15" customHeight="1" x14ac:dyDescent="0.25">
      <c r="A501">
        <v>1556</v>
      </c>
      <c r="B501" s="1">
        <v>45738.833333333343</v>
      </c>
      <c r="C501">
        <v>20</v>
      </c>
      <c r="D501" t="s">
        <v>60</v>
      </c>
      <c r="E501">
        <v>3</v>
      </c>
      <c r="F501" t="s">
        <v>35</v>
      </c>
      <c r="G501" t="s">
        <v>36</v>
      </c>
      <c r="H501" t="s">
        <v>49</v>
      </c>
      <c r="I501" t="s">
        <v>27</v>
      </c>
      <c r="J501" t="s">
        <v>18</v>
      </c>
      <c r="K501" s="2">
        <v>26000</v>
      </c>
      <c r="L501" s="3">
        <v>16.7</v>
      </c>
      <c r="M501" s="3">
        <v>68.400000000000006</v>
      </c>
      <c r="N501" s="3">
        <v>0</v>
      </c>
      <c r="O501" s="2">
        <v>65</v>
      </c>
      <c r="P501">
        <v>0</v>
      </c>
      <c r="Q501" t="s">
        <v>14</v>
      </c>
      <c r="R501" s="4">
        <v>126.87</v>
      </c>
      <c r="S501" s="4">
        <v>0</v>
      </c>
      <c r="T501" t="s">
        <v>31</v>
      </c>
      <c r="U501" s="4">
        <v>10.89</v>
      </c>
      <c r="V501" s="4">
        <v>4.88</v>
      </c>
      <c r="W501" s="4">
        <v>126.87</v>
      </c>
    </row>
    <row r="502" spans="1:23" ht="15" customHeight="1" x14ac:dyDescent="0.25">
      <c r="A502">
        <v>1924</v>
      </c>
      <c r="B502" s="1">
        <v>45738.833333333343</v>
      </c>
      <c r="C502">
        <v>20</v>
      </c>
      <c r="D502" t="s">
        <v>60</v>
      </c>
      <c r="E502">
        <v>3</v>
      </c>
      <c r="F502" t="s">
        <v>35</v>
      </c>
      <c r="G502" t="s">
        <v>36</v>
      </c>
      <c r="H502" t="s">
        <v>52</v>
      </c>
      <c r="I502" t="s">
        <v>13</v>
      </c>
      <c r="J502" t="s">
        <v>21</v>
      </c>
      <c r="K502" s="2">
        <v>9800</v>
      </c>
      <c r="L502" s="3">
        <v>14.8</v>
      </c>
      <c r="M502" s="3">
        <v>76.7</v>
      </c>
      <c r="N502" s="3">
        <v>0</v>
      </c>
      <c r="O502" s="2">
        <v>299</v>
      </c>
      <c r="P502">
        <v>1</v>
      </c>
      <c r="Q502" t="s">
        <v>23</v>
      </c>
      <c r="R502" s="4">
        <v>544.82000000000005</v>
      </c>
      <c r="S502" s="4">
        <v>0</v>
      </c>
      <c r="T502" t="s">
        <v>31</v>
      </c>
      <c r="U502" s="4">
        <v>9.44</v>
      </c>
      <c r="V502" s="4">
        <v>55.594000000000001</v>
      </c>
      <c r="W502" s="4">
        <v>544.82000000000005</v>
      </c>
    </row>
    <row r="503" spans="1:23" ht="15" customHeight="1" x14ac:dyDescent="0.25">
      <c r="A503">
        <v>1188</v>
      </c>
      <c r="B503" s="1">
        <v>45738.833333333343</v>
      </c>
      <c r="C503">
        <v>20</v>
      </c>
      <c r="D503" t="s">
        <v>60</v>
      </c>
      <c r="E503">
        <v>3</v>
      </c>
      <c r="F503" t="s">
        <v>35</v>
      </c>
      <c r="G503" t="s">
        <v>36</v>
      </c>
      <c r="H503" t="s">
        <v>51</v>
      </c>
      <c r="I503" t="s">
        <v>25</v>
      </c>
      <c r="J503" t="s">
        <v>15</v>
      </c>
      <c r="K503" s="2">
        <v>17400</v>
      </c>
      <c r="L503" s="3">
        <v>15.7</v>
      </c>
      <c r="M503" s="3">
        <v>83.3</v>
      </c>
      <c r="N503" s="3">
        <v>0</v>
      </c>
      <c r="O503" s="2">
        <v>1611</v>
      </c>
      <c r="P503">
        <v>1</v>
      </c>
      <c r="Q503" t="s">
        <v>23</v>
      </c>
      <c r="R503" s="4">
        <v>308.82</v>
      </c>
      <c r="S503" s="4">
        <v>0</v>
      </c>
      <c r="T503" t="s">
        <v>31</v>
      </c>
      <c r="U503" s="4">
        <v>26.74</v>
      </c>
      <c r="V503" s="4">
        <v>17.748000000000001</v>
      </c>
      <c r="W503" s="4">
        <v>308.82</v>
      </c>
    </row>
    <row r="504" spans="1:23" ht="15" customHeight="1" x14ac:dyDescent="0.25">
      <c r="A504">
        <v>452</v>
      </c>
      <c r="B504" s="1">
        <v>45738.833333333343</v>
      </c>
      <c r="C504">
        <v>20</v>
      </c>
      <c r="D504" t="s">
        <v>60</v>
      </c>
      <c r="E504">
        <v>3</v>
      </c>
      <c r="F504" t="s">
        <v>35</v>
      </c>
      <c r="G504" t="s">
        <v>36</v>
      </c>
      <c r="H504" t="s">
        <v>54</v>
      </c>
      <c r="I504" t="s">
        <v>16</v>
      </c>
      <c r="J504" t="s">
        <v>24</v>
      </c>
      <c r="K504" s="2">
        <v>8600</v>
      </c>
      <c r="L504" s="3">
        <v>12.5</v>
      </c>
      <c r="M504" s="3">
        <v>99</v>
      </c>
      <c r="N504" s="3">
        <v>0</v>
      </c>
      <c r="O504" s="2">
        <v>53</v>
      </c>
      <c r="P504">
        <v>0</v>
      </c>
      <c r="Q504" t="s">
        <v>14</v>
      </c>
      <c r="R504" s="4">
        <v>14.91</v>
      </c>
      <c r="S504" s="4">
        <v>0</v>
      </c>
      <c r="T504" t="s">
        <v>31</v>
      </c>
      <c r="U504" s="4">
        <v>1.31</v>
      </c>
      <c r="V504" s="4">
        <v>1.734</v>
      </c>
      <c r="W504" s="4">
        <v>14.91</v>
      </c>
    </row>
    <row r="505" spans="1:23" ht="15" customHeight="1" x14ac:dyDescent="0.25">
      <c r="A505">
        <v>820</v>
      </c>
      <c r="B505" s="1">
        <v>45738.833333333343</v>
      </c>
      <c r="C505">
        <v>20</v>
      </c>
      <c r="D505" t="s">
        <v>60</v>
      </c>
      <c r="E505">
        <v>3</v>
      </c>
      <c r="F505" t="s">
        <v>35</v>
      </c>
      <c r="G505" t="s">
        <v>36</v>
      </c>
      <c r="H505" t="s">
        <v>50</v>
      </c>
      <c r="I505" t="s">
        <v>22</v>
      </c>
      <c r="J505" t="s">
        <v>12</v>
      </c>
      <c r="K505" s="2">
        <v>21000</v>
      </c>
      <c r="L505" s="3">
        <v>18</v>
      </c>
      <c r="M505" s="3">
        <v>76.599999999999994</v>
      </c>
      <c r="N505" s="3">
        <v>0</v>
      </c>
      <c r="O505" s="2">
        <v>418</v>
      </c>
      <c r="P505">
        <v>0</v>
      </c>
      <c r="Q505" t="s">
        <v>14</v>
      </c>
      <c r="R505" s="4">
        <v>294.36</v>
      </c>
      <c r="S505" s="4">
        <v>0</v>
      </c>
      <c r="T505" t="s">
        <v>31</v>
      </c>
      <c r="U505" s="4">
        <v>25.7</v>
      </c>
      <c r="V505" s="4">
        <v>14.016999999999999</v>
      </c>
      <c r="W505" s="4">
        <v>294.36</v>
      </c>
    </row>
    <row r="506" spans="1:23" ht="15" customHeight="1" x14ac:dyDescent="0.25">
      <c r="A506">
        <v>85</v>
      </c>
      <c r="B506" s="1">
        <v>45742</v>
      </c>
      <c r="C506">
        <v>0</v>
      </c>
      <c r="D506" t="s">
        <v>48</v>
      </c>
      <c r="E506">
        <v>3</v>
      </c>
      <c r="F506" t="s">
        <v>35</v>
      </c>
      <c r="G506" t="s">
        <v>33</v>
      </c>
      <c r="H506" t="s">
        <v>53</v>
      </c>
      <c r="I506" t="s">
        <v>19</v>
      </c>
      <c r="J506" t="s">
        <v>26</v>
      </c>
      <c r="K506" s="2">
        <v>12500</v>
      </c>
      <c r="L506" s="3">
        <v>6.5</v>
      </c>
      <c r="M506" s="3">
        <v>79.099999999999994</v>
      </c>
      <c r="N506" s="3">
        <v>0</v>
      </c>
      <c r="O506" s="2">
        <v>0</v>
      </c>
      <c r="P506">
        <v>0</v>
      </c>
      <c r="Q506" t="s">
        <v>14</v>
      </c>
      <c r="R506" s="4">
        <v>23.24</v>
      </c>
      <c r="S506" s="4">
        <v>0</v>
      </c>
      <c r="T506" t="s">
        <v>31</v>
      </c>
      <c r="U506" s="4">
        <v>2.02</v>
      </c>
      <c r="V506" s="4">
        <v>1.859</v>
      </c>
      <c r="W506" s="4">
        <v>23.24</v>
      </c>
    </row>
    <row r="507" spans="1:23" ht="15" customHeight="1" x14ac:dyDescent="0.25">
      <c r="A507">
        <v>1557</v>
      </c>
      <c r="B507" s="1">
        <v>45742</v>
      </c>
      <c r="C507">
        <v>0</v>
      </c>
      <c r="D507" t="s">
        <v>48</v>
      </c>
      <c r="E507">
        <v>3</v>
      </c>
      <c r="F507" t="s">
        <v>35</v>
      </c>
      <c r="G507" t="s">
        <v>33</v>
      </c>
      <c r="H507" t="s">
        <v>49</v>
      </c>
      <c r="I507" t="s">
        <v>27</v>
      </c>
      <c r="J507" t="s">
        <v>18</v>
      </c>
      <c r="K507" s="2">
        <v>26000</v>
      </c>
      <c r="L507" s="3">
        <v>5.8</v>
      </c>
      <c r="M507" s="3">
        <v>78.900000000000006</v>
      </c>
      <c r="N507" s="3">
        <v>0</v>
      </c>
      <c r="O507" s="2">
        <v>54</v>
      </c>
      <c r="P507">
        <v>1</v>
      </c>
      <c r="Q507" t="s">
        <v>17</v>
      </c>
      <c r="R507" s="4">
        <v>132.22</v>
      </c>
      <c r="S507" s="4">
        <v>0</v>
      </c>
      <c r="T507" t="s">
        <v>31</v>
      </c>
      <c r="U507" s="4">
        <v>12.06</v>
      </c>
      <c r="V507" s="4">
        <v>5.085</v>
      </c>
      <c r="W507" s="4">
        <v>132.22</v>
      </c>
    </row>
    <row r="508" spans="1:23" ht="15" customHeight="1" x14ac:dyDescent="0.25">
      <c r="A508">
        <v>821</v>
      </c>
      <c r="B508" s="1">
        <v>45742</v>
      </c>
      <c r="C508">
        <v>0</v>
      </c>
      <c r="D508" t="s">
        <v>48</v>
      </c>
      <c r="E508">
        <v>3</v>
      </c>
      <c r="F508" t="s">
        <v>35</v>
      </c>
      <c r="G508" t="s">
        <v>33</v>
      </c>
      <c r="H508" t="s">
        <v>50</v>
      </c>
      <c r="I508" t="s">
        <v>22</v>
      </c>
      <c r="J508" t="s">
        <v>12</v>
      </c>
      <c r="K508" s="2">
        <v>21000</v>
      </c>
      <c r="L508" s="3">
        <v>13.1</v>
      </c>
      <c r="M508" s="3">
        <v>71.5</v>
      </c>
      <c r="N508" s="3">
        <v>0</v>
      </c>
      <c r="O508" s="2">
        <v>196</v>
      </c>
      <c r="P508">
        <v>1</v>
      </c>
      <c r="Q508" t="s">
        <v>17</v>
      </c>
      <c r="R508" s="4">
        <v>173.49</v>
      </c>
      <c r="S508" s="4">
        <v>0</v>
      </c>
      <c r="T508" t="s">
        <v>31</v>
      </c>
      <c r="U508" s="4">
        <v>15.37</v>
      </c>
      <c r="V508" s="4">
        <v>8.2609999999999992</v>
      </c>
      <c r="W508" s="4">
        <v>173.49</v>
      </c>
    </row>
    <row r="509" spans="1:23" ht="15" customHeight="1" x14ac:dyDescent="0.25">
      <c r="A509">
        <v>1189</v>
      </c>
      <c r="B509" s="1">
        <v>45742</v>
      </c>
      <c r="C509">
        <v>0</v>
      </c>
      <c r="D509" t="s">
        <v>48</v>
      </c>
      <c r="E509">
        <v>3</v>
      </c>
      <c r="F509" t="s">
        <v>35</v>
      </c>
      <c r="G509" t="s">
        <v>33</v>
      </c>
      <c r="H509" t="s">
        <v>51</v>
      </c>
      <c r="I509" t="s">
        <v>25</v>
      </c>
      <c r="J509" t="s">
        <v>15</v>
      </c>
      <c r="K509" s="2">
        <v>17400</v>
      </c>
      <c r="L509" s="3">
        <v>13.6</v>
      </c>
      <c r="M509" s="3">
        <v>71.400000000000006</v>
      </c>
      <c r="N509" s="3">
        <v>0</v>
      </c>
      <c r="O509" s="2">
        <v>61</v>
      </c>
      <c r="P509">
        <v>0</v>
      </c>
      <c r="Q509" t="s">
        <v>14</v>
      </c>
      <c r="R509" s="4">
        <v>49.96</v>
      </c>
      <c r="S509" s="4">
        <v>0</v>
      </c>
      <c r="T509" t="s">
        <v>31</v>
      </c>
      <c r="U509" s="4">
        <v>4.28</v>
      </c>
      <c r="V509" s="4">
        <v>2.871</v>
      </c>
      <c r="W509" s="4">
        <v>49.96</v>
      </c>
    </row>
    <row r="510" spans="1:23" ht="15" customHeight="1" x14ac:dyDescent="0.25">
      <c r="A510">
        <v>1925</v>
      </c>
      <c r="B510" s="1">
        <v>45742</v>
      </c>
      <c r="C510">
        <v>0</v>
      </c>
      <c r="D510" t="s">
        <v>48</v>
      </c>
      <c r="E510">
        <v>3</v>
      </c>
      <c r="F510" t="s">
        <v>35</v>
      </c>
      <c r="G510" t="s">
        <v>33</v>
      </c>
      <c r="H510" t="s">
        <v>52</v>
      </c>
      <c r="I510" t="s">
        <v>13</v>
      </c>
      <c r="J510" t="s">
        <v>21</v>
      </c>
      <c r="K510" s="2">
        <v>9800</v>
      </c>
      <c r="L510" s="3">
        <v>11.8</v>
      </c>
      <c r="M510" s="3">
        <v>92.5</v>
      </c>
      <c r="N510" s="3">
        <v>0</v>
      </c>
      <c r="O510" s="2">
        <v>300</v>
      </c>
      <c r="P510">
        <v>1</v>
      </c>
      <c r="Q510" t="s">
        <v>17</v>
      </c>
      <c r="R510" s="4">
        <v>104.24</v>
      </c>
      <c r="S510" s="4">
        <v>0</v>
      </c>
      <c r="T510" t="s">
        <v>31</v>
      </c>
      <c r="U510" s="4">
        <v>9.1999999999999993</v>
      </c>
      <c r="V510" s="4">
        <v>10.637</v>
      </c>
      <c r="W510" s="4">
        <v>104.24</v>
      </c>
    </row>
    <row r="511" spans="1:23" ht="15" customHeight="1" x14ac:dyDescent="0.25">
      <c r="A511">
        <v>453</v>
      </c>
      <c r="B511" s="1">
        <v>45742</v>
      </c>
      <c r="C511">
        <v>0</v>
      </c>
      <c r="D511" t="s">
        <v>48</v>
      </c>
      <c r="E511">
        <v>3</v>
      </c>
      <c r="F511" t="s">
        <v>35</v>
      </c>
      <c r="G511" t="s">
        <v>33</v>
      </c>
      <c r="H511" t="s">
        <v>54</v>
      </c>
      <c r="I511" t="s">
        <v>16</v>
      </c>
      <c r="J511" t="s">
        <v>24</v>
      </c>
      <c r="K511" s="2">
        <v>8600</v>
      </c>
      <c r="L511" s="3">
        <v>10.8</v>
      </c>
      <c r="M511" s="3">
        <v>99</v>
      </c>
      <c r="N511" s="3">
        <v>0</v>
      </c>
      <c r="O511" s="2">
        <v>78</v>
      </c>
      <c r="P511">
        <v>1</v>
      </c>
      <c r="Q511" t="s">
        <v>17</v>
      </c>
      <c r="R511" s="4">
        <v>25.16</v>
      </c>
      <c r="S511" s="4">
        <v>0</v>
      </c>
      <c r="T511" t="s">
        <v>31</v>
      </c>
      <c r="U511" s="4">
        <v>2.19</v>
      </c>
      <c r="V511" s="4">
        <v>2.9260000000000002</v>
      </c>
      <c r="W511" s="4">
        <v>25.16</v>
      </c>
    </row>
    <row r="512" spans="1:23" ht="15" customHeight="1" x14ac:dyDescent="0.25">
      <c r="A512">
        <v>1926</v>
      </c>
      <c r="B512" s="1">
        <v>45742.333333333343</v>
      </c>
      <c r="C512">
        <v>8</v>
      </c>
      <c r="D512" t="s">
        <v>48</v>
      </c>
      <c r="E512">
        <v>3</v>
      </c>
      <c r="F512" t="s">
        <v>35</v>
      </c>
      <c r="G512" t="s">
        <v>33</v>
      </c>
      <c r="H512" t="s">
        <v>52</v>
      </c>
      <c r="I512" t="s">
        <v>13</v>
      </c>
      <c r="J512" t="s">
        <v>21</v>
      </c>
      <c r="K512" s="2">
        <v>9800</v>
      </c>
      <c r="L512" s="3">
        <v>13.4</v>
      </c>
      <c r="M512" s="3">
        <v>86.9</v>
      </c>
      <c r="N512" s="3">
        <v>113.1</v>
      </c>
      <c r="O512" s="2">
        <v>47</v>
      </c>
      <c r="P512">
        <v>1</v>
      </c>
      <c r="Q512" t="s">
        <v>17</v>
      </c>
      <c r="R512" s="4">
        <v>34.33</v>
      </c>
      <c r="S512" s="4">
        <v>0</v>
      </c>
      <c r="T512" t="s">
        <v>34</v>
      </c>
      <c r="U512" s="4">
        <v>4.79</v>
      </c>
      <c r="V512" s="4">
        <v>3.5030000000000001</v>
      </c>
      <c r="W512" s="4">
        <v>34.33</v>
      </c>
    </row>
    <row r="513" spans="1:23" ht="15" customHeight="1" x14ac:dyDescent="0.25">
      <c r="A513">
        <v>86</v>
      </c>
      <c r="B513" s="1">
        <v>45742.333333333343</v>
      </c>
      <c r="C513">
        <v>8</v>
      </c>
      <c r="D513" t="s">
        <v>48</v>
      </c>
      <c r="E513">
        <v>3</v>
      </c>
      <c r="F513" t="s">
        <v>35</v>
      </c>
      <c r="G513" t="s">
        <v>33</v>
      </c>
      <c r="H513" t="s">
        <v>53</v>
      </c>
      <c r="I513" t="s">
        <v>19</v>
      </c>
      <c r="J513" t="s">
        <v>26</v>
      </c>
      <c r="K513" s="2">
        <v>12500</v>
      </c>
      <c r="L513" s="3">
        <v>6.5</v>
      </c>
      <c r="M513" s="3">
        <v>69.7</v>
      </c>
      <c r="N513" s="3">
        <v>200.4</v>
      </c>
      <c r="O513" s="2">
        <v>407</v>
      </c>
      <c r="P513">
        <v>1</v>
      </c>
      <c r="Q513" t="s">
        <v>17</v>
      </c>
      <c r="R513" s="4">
        <v>75.180000000000007</v>
      </c>
      <c r="S513" s="4">
        <v>29.57</v>
      </c>
      <c r="T513" t="s">
        <v>34</v>
      </c>
      <c r="U513" s="4">
        <v>6.22</v>
      </c>
      <c r="V513" s="4">
        <v>6.0140000000000002</v>
      </c>
      <c r="W513" s="4">
        <v>45.61</v>
      </c>
    </row>
    <row r="514" spans="1:23" ht="15" customHeight="1" x14ac:dyDescent="0.25">
      <c r="A514">
        <v>1558</v>
      </c>
      <c r="B514" s="1">
        <v>45742.333333333343</v>
      </c>
      <c r="C514">
        <v>8</v>
      </c>
      <c r="D514" t="s">
        <v>48</v>
      </c>
      <c r="E514">
        <v>3</v>
      </c>
      <c r="F514" t="s">
        <v>35</v>
      </c>
      <c r="G514" t="s">
        <v>33</v>
      </c>
      <c r="H514" t="s">
        <v>49</v>
      </c>
      <c r="I514" t="s">
        <v>27</v>
      </c>
      <c r="J514" t="s">
        <v>18</v>
      </c>
      <c r="K514" s="2">
        <v>26000</v>
      </c>
      <c r="L514" s="3">
        <v>10.4</v>
      </c>
      <c r="M514" s="3">
        <v>79.900000000000006</v>
      </c>
      <c r="N514" s="3">
        <v>164.3</v>
      </c>
      <c r="O514" s="2">
        <v>167</v>
      </c>
      <c r="P514">
        <v>1</v>
      </c>
      <c r="Q514" t="s">
        <v>17</v>
      </c>
      <c r="R514" s="4">
        <v>181.36</v>
      </c>
      <c r="S514" s="4">
        <v>45.38</v>
      </c>
      <c r="T514" t="s">
        <v>34</v>
      </c>
      <c r="U514" s="4">
        <v>19.36</v>
      </c>
      <c r="V514" s="4">
        <v>6.9749999999999996</v>
      </c>
      <c r="W514" s="4">
        <v>135.97999999999999</v>
      </c>
    </row>
    <row r="515" spans="1:23" ht="15" customHeight="1" x14ac:dyDescent="0.25">
      <c r="A515">
        <v>454</v>
      </c>
      <c r="B515" s="1">
        <v>45742.333333333343</v>
      </c>
      <c r="C515">
        <v>8</v>
      </c>
      <c r="D515" t="s">
        <v>48</v>
      </c>
      <c r="E515">
        <v>3</v>
      </c>
      <c r="F515" t="s">
        <v>35</v>
      </c>
      <c r="G515" t="s">
        <v>33</v>
      </c>
      <c r="H515" t="s">
        <v>54</v>
      </c>
      <c r="I515" t="s">
        <v>16</v>
      </c>
      <c r="J515" t="s">
        <v>24</v>
      </c>
      <c r="K515" s="2">
        <v>8600</v>
      </c>
      <c r="L515" s="3">
        <v>10.6</v>
      </c>
      <c r="M515" s="3">
        <v>94.8</v>
      </c>
      <c r="N515" s="3"/>
      <c r="O515" s="2">
        <v>785</v>
      </c>
      <c r="P515">
        <v>1</v>
      </c>
      <c r="Q515" t="s">
        <v>17</v>
      </c>
      <c r="R515" s="4">
        <v>112.95</v>
      </c>
      <c r="S515" s="4">
        <v>8.6300000000000008</v>
      </c>
      <c r="T515" t="s">
        <v>34</v>
      </c>
      <c r="U515" s="4">
        <v>14.84</v>
      </c>
      <c r="V515" s="4">
        <v>13.134</v>
      </c>
      <c r="W515" s="4">
        <v>104.32</v>
      </c>
    </row>
    <row r="516" spans="1:23" ht="15" customHeight="1" x14ac:dyDescent="0.25">
      <c r="A516">
        <v>1190</v>
      </c>
      <c r="B516" s="1">
        <v>45742.333333333343</v>
      </c>
      <c r="C516">
        <v>8</v>
      </c>
      <c r="D516" t="s">
        <v>48</v>
      </c>
      <c r="E516">
        <v>3</v>
      </c>
      <c r="F516" t="s">
        <v>35</v>
      </c>
      <c r="G516" t="s">
        <v>33</v>
      </c>
      <c r="H516" t="s">
        <v>51</v>
      </c>
      <c r="I516" t="s">
        <v>25</v>
      </c>
      <c r="J516" t="s">
        <v>15</v>
      </c>
      <c r="K516" s="2">
        <v>17400</v>
      </c>
      <c r="L516" s="3">
        <v>14.9</v>
      </c>
      <c r="M516" s="3">
        <v>93.6</v>
      </c>
      <c r="N516" s="3">
        <v>100</v>
      </c>
      <c r="O516" s="2">
        <v>174</v>
      </c>
      <c r="P516">
        <v>0</v>
      </c>
      <c r="Q516" t="s">
        <v>14</v>
      </c>
      <c r="R516" s="4">
        <v>57.8</v>
      </c>
      <c r="S516" s="4">
        <v>12.86</v>
      </c>
      <c r="T516" t="s">
        <v>34</v>
      </c>
      <c r="U516" s="4">
        <v>6.09</v>
      </c>
      <c r="V516" s="4">
        <v>3.3220000000000001</v>
      </c>
      <c r="W516" s="4">
        <v>44.94</v>
      </c>
    </row>
    <row r="517" spans="1:23" ht="15" customHeight="1" x14ac:dyDescent="0.25">
      <c r="A517">
        <v>822</v>
      </c>
      <c r="B517" s="1">
        <v>45742.333333333343</v>
      </c>
      <c r="C517">
        <v>8</v>
      </c>
      <c r="D517" t="s">
        <v>48</v>
      </c>
      <c r="E517">
        <v>3</v>
      </c>
      <c r="F517" t="s">
        <v>35</v>
      </c>
      <c r="G517" t="s">
        <v>33</v>
      </c>
      <c r="H517" t="s">
        <v>50</v>
      </c>
      <c r="I517" t="s">
        <v>22</v>
      </c>
      <c r="J517" t="s">
        <v>12</v>
      </c>
      <c r="K517" s="2">
        <v>21000</v>
      </c>
      <c r="L517" s="3">
        <v>13.6</v>
      </c>
      <c r="M517" s="3">
        <v>78.900000000000006</v>
      </c>
      <c r="N517" s="3">
        <v>137.30000000000001</v>
      </c>
      <c r="O517" s="2">
        <v>410</v>
      </c>
      <c r="P517">
        <v>1</v>
      </c>
      <c r="Q517" t="s">
        <v>17</v>
      </c>
      <c r="R517" s="4">
        <v>194.92</v>
      </c>
      <c r="S517" s="4">
        <v>27.28</v>
      </c>
      <c r="T517" t="s">
        <v>34</v>
      </c>
      <c r="U517" s="4">
        <v>23.17</v>
      </c>
      <c r="V517" s="4">
        <v>9.282</v>
      </c>
      <c r="W517" s="4">
        <v>167.64</v>
      </c>
    </row>
    <row r="518" spans="1:23" ht="15" customHeight="1" x14ac:dyDescent="0.25">
      <c r="A518">
        <v>1191</v>
      </c>
      <c r="B518" s="1">
        <v>45742.583333333343</v>
      </c>
      <c r="C518">
        <v>14</v>
      </c>
      <c r="D518" t="s">
        <v>48</v>
      </c>
      <c r="E518">
        <v>3</v>
      </c>
      <c r="F518" t="s">
        <v>35</v>
      </c>
      <c r="G518" t="s">
        <v>33</v>
      </c>
      <c r="H518" t="s">
        <v>51</v>
      </c>
      <c r="I518" t="s">
        <v>25</v>
      </c>
      <c r="J518" t="s">
        <v>15</v>
      </c>
      <c r="K518" s="2">
        <v>17400</v>
      </c>
      <c r="L518" s="3">
        <v>24.2</v>
      </c>
      <c r="M518" s="3">
        <v>73.900000000000006</v>
      </c>
      <c r="N518" s="3">
        <v>472.9</v>
      </c>
      <c r="O518" s="2">
        <v>1457</v>
      </c>
      <c r="P518">
        <v>1</v>
      </c>
      <c r="Q518" t="s">
        <v>20</v>
      </c>
      <c r="R518" s="4">
        <v>214.09</v>
      </c>
      <c r="S518" s="4">
        <v>58.82</v>
      </c>
      <c r="T518" t="s">
        <v>34</v>
      </c>
      <c r="U518" s="4">
        <v>21.27</v>
      </c>
      <c r="V518" s="4">
        <v>12.304</v>
      </c>
      <c r="W518" s="4">
        <v>155.27000000000001</v>
      </c>
    </row>
    <row r="519" spans="1:23" ht="15" customHeight="1" x14ac:dyDescent="0.25">
      <c r="A519">
        <v>455</v>
      </c>
      <c r="B519" s="1">
        <v>45742.583333333343</v>
      </c>
      <c r="C519">
        <v>14</v>
      </c>
      <c r="D519" t="s">
        <v>48</v>
      </c>
      <c r="E519">
        <v>3</v>
      </c>
      <c r="F519" t="s">
        <v>35</v>
      </c>
      <c r="G519" t="s">
        <v>33</v>
      </c>
      <c r="H519" t="s">
        <v>54</v>
      </c>
      <c r="I519" t="s">
        <v>16</v>
      </c>
      <c r="J519" t="s">
        <v>24</v>
      </c>
      <c r="K519" s="2">
        <v>8600</v>
      </c>
      <c r="L519" s="3">
        <v>17.3</v>
      </c>
      <c r="M519" s="3">
        <v>81.7</v>
      </c>
      <c r="N519" s="3">
        <v>495</v>
      </c>
      <c r="O519" s="2">
        <v>844</v>
      </c>
      <c r="P519">
        <v>0</v>
      </c>
      <c r="Q519" t="s">
        <v>14</v>
      </c>
      <c r="R519" s="4">
        <v>87.01</v>
      </c>
      <c r="S519" s="4">
        <v>37.26</v>
      </c>
      <c r="T519" t="s">
        <v>34</v>
      </c>
      <c r="U519" s="4">
        <v>6.93</v>
      </c>
      <c r="V519" s="4">
        <v>10.117000000000001</v>
      </c>
      <c r="W519" s="4">
        <v>49.75</v>
      </c>
    </row>
    <row r="520" spans="1:23" ht="15" customHeight="1" x14ac:dyDescent="0.25">
      <c r="A520">
        <v>823</v>
      </c>
      <c r="B520" s="1">
        <v>45742.583333333343</v>
      </c>
      <c r="C520">
        <v>14</v>
      </c>
      <c r="D520" t="s">
        <v>48</v>
      </c>
      <c r="E520">
        <v>3</v>
      </c>
      <c r="F520" t="s">
        <v>35</v>
      </c>
      <c r="G520" t="s">
        <v>33</v>
      </c>
      <c r="H520" t="s">
        <v>50</v>
      </c>
      <c r="I520" t="s">
        <v>22</v>
      </c>
      <c r="J520" t="s">
        <v>12</v>
      </c>
      <c r="K520" s="2">
        <v>21000</v>
      </c>
      <c r="L520" s="3">
        <v>24.2</v>
      </c>
      <c r="M520" s="3">
        <v>53.7</v>
      </c>
      <c r="N520" s="3">
        <v>617.5</v>
      </c>
      <c r="O520" s="2">
        <v>435</v>
      </c>
      <c r="P520">
        <v>1</v>
      </c>
      <c r="Q520" t="s">
        <v>20</v>
      </c>
      <c r="R520" s="4">
        <v>193.62</v>
      </c>
      <c r="S520" s="4">
        <v>127.49</v>
      </c>
      <c r="T520" t="s">
        <v>34</v>
      </c>
      <c r="U520" s="4">
        <v>9.42</v>
      </c>
      <c r="V520" s="4">
        <v>9.2200000000000006</v>
      </c>
      <c r="W520" s="4">
        <v>66.13</v>
      </c>
    </row>
    <row r="521" spans="1:23" ht="15" customHeight="1" x14ac:dyDescent="0.25">
      <c r="A521">
        <v>1559</v>
      </c>
      <c r="B521" s="1">
        <v>45742.583333333343</v>
      </c>
      <c r="C521">
        <v>14</v>
      </c>
      <c r="D521" t="s">
        <v>48</v>
      </c>
      <c r="E521">
        <v>3</v>
      </c>
      <c r="F521" t="s">
        <v>35</v>
      </c>
      <c r="G521" t="s">
        <v>33</v>
      </c>
      <c r="H521" t="s">
        <v>49</v>
      </c>
      <c r="I521" t="s">
        <v>27</v>
      </c>
      <c r="J521" t="s">
        <v>18</v>
      </c>
      <c r="K521" s="2">
        <v>26000</v>
      </c>
      <c r="L521" s="3">
        <v>18.3</v>
      </c>
      <c r="M521" s="3">
        <v>66.599999999999994</v>
      </c>
      <c r="N521" s="3">
        <v>514</v>
      </c>
      <c r="O521" s="2">
        <v>164</v>
      </c>
      <c r="P521">
        <v>0</v>
      </c>
      <c r="Q521" t="s">
        <v>14</v>
      </c>
      <c r="R521" s="4">
        <v>155.61000000000001</v>
      </c>
      <c r="S521" s="4">
        <v>145.69</v>
      </c>
      <c r="T521" t="s">
        <v>34</v>
      </c>
      <c r="U521" s="4">
        <v>1.36</v>
      </c>
      <c r="V521" s="4">
        <v>5.9850000000000003</v>
      </c>
      <c r="W521" s="4">
        <v>9.92</v>
      </c>
    </row>
    <row r="522" spans="1:23" ht="15" customHeight="1" x14ac:dyDescent="0.25">
      <c r="A522">
        <v>1927</v>
      </c>
      <c r="B522" s="1">
        <v>45742.583333333343</v>
      </c>
      <c r="C522">
        <v>14</v>
      </c>
      <c r="D522" t="s">
        <v>48</v>
      </c>
      <c r="E522">
        <v>3</v>
      </c>
      <c r="F522" t="s">
        <v>35</v>
      </c>
      <c r="G522" t="s">
        <v>33</v>
      </c>
      <c r="H522" t="s">
        <v>52</v>
      </c>
      <c r="I522" t="s">
        <v>13</v>
      </c>
      <c r="J522" t="s">
        <v>21</v>
      </c>
      <c r="K522" s="2">
        <v>9800</v>
      </c>
      <c r="L522" s="3">
        <v>18.8</v>
      </c>
      <c r="M522" s="3">
        <v>71.599999999999994</v>
      </c>
      <c r="N522" s="3">
        <v>501.5</v>
      </c>
      <c r="O522" s="2">
        <v>46</v>
      </c>
      <c r="P522">
        <v>0</v>
      </c>
      <c r="Q522" t="s">
        <v>14</v>
      </c>
      <c r="R522" s="4"/>
      <c r="S522" s="4">
        <v>0</v>
      </c>
      <c r="T522" t="s">
        <v>34</v>
      </c>
      <c r="U522" s="4">
        <v>2.2400000000000002</v>
      </c>
      <c r="V522" s="4"/>
      <c r="W522" s="4"/>
    </row>
    <row r="523" spans="1:23" ht="15" customHeight="1" x14ac:dyDescent="0.25">
      <c r="A523">
        <v>87</v>
      </c>
      <c r="B523" s="1">
        <v>45742.583333333343</v>
      </c>
      <c r="C523">
        <v>14</v>
      </c>
      <c r="D523" t="s">
        <v>48</v>
      </c>
      <c r="E523">
        <v>3</v>
      </c>
      <c r="F523" t="s">
        <v>35</v>
      </c>
      <c r="G523" t="s">
        <v>33</v>
      </c>
      <c r="H523" t="s">
        <v>53</v>
      </c>
      <c r="I523" t="s">
        <v>19</v>
      </c>
      <c r="J523" t="s">
        <v>26</v>
      </c>
      <c r="K523" s="2">
        <v>12500</v>
      </c>
      <c r="L523" s="3">
        <v>16.399999999999999</v>
      </c>
      <c r="M523" s="3">
        <v>55.6</v>
      </c>
      <c r="N523" s="3">
        <v>604.4</v>
      </c>
      <c r="O523" s="2"/>
      <c r="P523">
        <v>0</v>
      </c>
      <c r="Q523" t="s">
        <v>14</v>
      </c>
      <c r="R523" s="4">
        <v>99.93</v>
      </c>
      <c r="S523" s="4">
        <v>87.89</v>
      </c>
      <c r="T523" t="s">
        <v>34</v>
      </c>
      <c r="U523" s="4">
        <v>1.69</v>
      </c>
      <c r="V523" s="4">
        <v>7.9939999999999998</v>
      </c>
      <c r="W523" s="4">
        <v>12.04</v>
      </c>
    </row>
    <row r="524" spans="1:23" ht="15" customHeight="1" x14ac:dyDescent="0.25">
      <c r="A524">
        <v>88</v>
      </c>
      <c r="B524" s="1">
        <v>45742.833333333343</v>
      </c>
      <c r="C524">
        <v>20</v>
      </c>
      <c r="D524" t="s">
        <v>48</v>
      </c>
      <c r="E524">
        <v>3</v>
      </c>
      <c r="F524" t="s">
        <v>35</v>
      </c>
      <c r="G524" t="s">
        <v>33</v>
      </c>
      <c r="H524" t="s">
        <v>53</v>
      </c>
      <c r="I524" t="s">
        <v>19</v>
      </c>
      <c r="J524" t="s">
        <v>26</v>
      </c>
      <c r="K524" s="2">
        <v>12500</v>
      </c>
      <c r="L524" s="3">
        <v>11.5</v>
      </c>
      <c r="M524" s="3">
        <v>70.7</v>
      </c>
      <c r="N524" s="3">
        <v>0</v>
      </c>
      <c r="O524" s="2">
        <v>49</v>
      </c>
      <c r="P524">
        <v>1</v>
      </c>
      <c r="Q524" t="s">
        <v>17</v>
      </c>
      <c r="R524" s="4">
        <v>41.03</v>
      </c>
      <c r="S524" s="4">
        <v>0</v>
      </c>
      <c r="T524" t="s">
        <v>37</v>
      </c>
      <c r="U524" s="4">
        <v>8.91</v>
      </c>
      <c r="V524" s="4">
        <v>3.282</v>
      </c>
      <c r="W524" s="4">
        <v>41.03</v>
      </c>
    </row>
    <row r="525" spans="1:23" ht="15" customHeight="1" x14ac:dyDescent="0.25">
      <c r="A525">
        <v>1560</v>
      </c>
      <c r="B525" s="1">
        <v>45742.833333333343</v>
      </c>
      <c r="C525">
        <v>20</v>
      </c>
      <c r="D525" t="s">
        <v>48</v>
      </c>
      <c r="E525">
        <v>3</v>
      </c>
      <c r="F525" t="s">
        <v>35</v>
      </c>
      <c r="G525" t="s">
        <v>33</v>
      </c>
      <c r="H525" t="s">
        <v>49</v>
      </c>
      <c r="I525" t="s">
        <v>27</v>
      </c>
      <c r="J525" t="s">
        <v>18</v>
      </c>
      <c r="K525" s="2">
        <v>26000</v>
      </c>
      <c r="L525" s="3">
        <v>16.600000000000001</v>
      </c>
      <c r="M525" s="3">
        <v>69.599999999999994</v>
      </c>
      <c r="N525" s="3">
        <v>0</v>
      </c>
      <c r="O525" s="2">
        <v>163</v>
      </c>
      <c r="P525">
        <v>0</v>
      </c>
      <c r="Q525" t="s">
        <v>14</v>
      </c>
      <c r="R525" s="4">
        <v>246.3</v>
      </c>
      <c r="S525" s="4">
        <v>0</v>
      </c>
      <c r="T525" t="s">
        <v>37</v>
      </c>
      <c r="U525" s="4">
        <v>50.84</v>
      </c>
      <c r="V525" s="4">
        <v>9.4730000000000008</v>
      </c>
      <c r="W525" s="4">
        <v>246.3</v>
      </c>
    </row>
    <row r="526" spans="1:23" ht="15" customHeight="1" x14ac:dyDescent="0.25">
      <c r="A526">
        <v>824</v>
      </c>
      <c r="B526" s="1">
        <v>45742.833333333343</v>
      </c>
      <c r="C526">
        <v>20</v>
      </c>
      <c r="D526" t="s">
        <v>48</v>
      </c>
      <c r="E526">
        <v>3</v>
      </c>
      <c r="F526" t="s">
        <v>35</v>
      </c>
      <c r="G526" t="s">
        <v>33</v>
      </c>
      <c r="H526" t="s">
        <v>50</v>
      </c>
      <c r="I526" t="s">
        <v>22</v>
      </c>
      <c r="J526" t="s">
        <v>12</v>
      </c>
      <c r="K526" s="2">
        <v>21000</v>
      </c>
      <c r="L526" s="3">
        <v>19.8</v>
      </c>
      <c r="M526" s="3">
        <v>62.9</v>
      </c>
      <c r="N526" s="3">
        <v>0</v>
      </c>
      <c r="O526" s="2">
        <v>385</v>
      </c>
      <c r="P526">
        <v>0</v>
      </c>
      <c r="Q526" t="s">
        <v>14</v>
      </c>
      <c r="R526" s="4">
        <v>282.5</v>
      </c>
      <c r="S526" s="4">
        <v>0</v>
      </c>
      <c r="T526" t="s">
        <v>37</v>
      </c>
      <c r="U526" s="4">
        <v>60.4</v>
      </c>
      <c r="V526" s="4">
        <v>13.452</v>
      </c>
      <c r="W526" s="4">
        <v>282.5</v>
      </c>
    </row>
    <row r="527" spans="1:23" ht="15" customHeight="1" x14ac:dyDescent="0.25">
      <c r="A527">
        <v>456</v>
      </c>
      <c r="B527" s="1">
        <v>45742.833333333343</v>
      </c>
      <c r="C527">
        <v>20</v>
      </c>
      <c r="D527" t="s">
        <v>48</v>
      </c>
      <c r="E527">
        <v>3</v>
      </c>
      <c r="F527" t="s">
        <v>35</v>
      </c>
      <c r="G527" t="s">
        <v>33</v>
      </c>
      <c r="H527" t="s">
        <v>54</v>
      </c>
      <c r="I527" t="s">
        <v>16</v>
      </c>
      <c r="J527" t="s">
        <v>24</v>
      </c>
      <c r="K527" s="2">
        <v>8600</v>
      </c>
      <c r="L527" s="3">
        <v>13.3</v>
      </c>
      <c r="M527" s="3">
        <v>75.099999999999994</v>
      </c>
      <c r="N527" s="3">
        <v>0</v>
      </c>
      <c r="O527" s="2">
        <v>113</v>
      </c>
      <c r="P527">
        <v>1</v>
      </c>
      <c r="Q527" t="s">
        <v>17</v>
      </c>
      <c r="R527" s="4">
        <v>26.35</v>
      </c>
      <c r="S527" s="4">
        <v>0</v>
      </c>
      <c r="T527" t="s">
        <v>37</v>
      </c>
      <c r="U527" s="4">
        <v>5.73</v>
      </c>
      <c r="V527" s="4">
        <v>3.0640000000000001</v>
      </c>
      <c r="W527" s="4">
        <v>26.35</v>
      </c>
    </row>
    <row r="528" spans="1:23" ht="15" customHeight="1" x14ac:dyDescent="0.25">
      <c r="A528">
        <v>1192</v>
      </c>
      <c r="B528" s="1">
        <v>45742.833333333343</v>
      </c>
      <c r="C528">
        <v>20</v>
      </c>
      <c r="D528" t="s">
        <v>48</v>
      </c>
      <c r="E528">
        <v>3</v>
      </c>
      <c r="F528" t="s">
        <v>35</v>
      </c>
      <c r="G528" t="s">
        <v>33</v>
      </c>
      <c r="H528" t="s">
        <v>51</v>
      </c>
      <c r="I528" t="s">
        <v>25</v>
      </c>
      <c r="J528" t="s">
        <v>15</v>
      </c>
      <c r="K528" s="2">
        <v>17400</v>
      </c>
      <c r="L528" s="3">
        <v>16.399999999999999</v>
      </c>
      <c r="M528" s="3">
        <v>87.2</v>
      </c>
      <c r="N528" s="3">
        <v>0</v>
      </c>
      <c r="O528" s="2">
        <v>1261</v>
      </c>
      <c r="P528">
        <v>0</v>
      </c>
      <c r="Q528" t="s">
        <v>14</v>
      </c>
      <c r="R528" s="4">
        <v>279.39999999999998</v>
      </c>
      <c r="S528" s="4">
        <v>0</v>
      </c>
      <c r="T528" t="s">
        <v>37</v>
      </c>
      <c r="U528" s="4">
        <v>58.76</v>
      </c>
      <c r="V528" s="4">
        <v>16.056999999999999</v>
      </c>
      <c r="W528" s="4">
        <v>279.39999999999998</v>
      </c>
    </row>
    <row r="529" spans="1:23" ht="15" customHeight="1" x14ac:dyDescent="0.25">
      <c r="A529">
        <v>1928</v>
      </c>
      <c r="B529" s="1">
        <v>45742.833333333343</v>
      </c>
      <c r="C529">
        <v>20</v>
      </c>
      <c r="D529" t="s">
        <v>48</v>
      </c>
      <c r="E529">
        <v>3</v>
      </c>
      <c r="F529" t="s">
        <v>35</v>
      </c>
      <c r="G529" t="s">
        <v>33</v>
      </c>
      <c r="H529" t="s">
        <v>52</v>
      </c>
      <c r="I529" t="s">
        <v>13</v>
      </c>
      <c r="J529" t="s">
        <v>21</v>
      </c>
      <c r="K529" s="2">
        <v>9800</v>
      </c>
      <c r="L529" s="3">
        <v>14.5</v>
      </c>
      <c r="M529" s="3">
        <v>83.8</v>
      </c>
      <c r="N529" s="3">
        <v>0</v>
      </c>
      <c r="O529" s="2">
        <v>289</v>
      </c>
      <c r="P529">
        <v>1</v>
      </c>
      <c r="Q529" t="s">
        <v>23</v>
      </c>
      <c r="R529" s="4">
        <v>94.49</v>
      </c>
      <c r="S529" s="4">
        <v>0</v>
      </c>
      <c r="T529" t="s">
        <v>37</v>
      </c>
      <c r="U529" s="4">
        <v>20.190000000000001</v>
      </c>
      <c r="V529" s="4">
        <v>9.6419999999999995</v>
      </c>
      <c r="W529" s="4">
        <v>94.49</v>
      </c>
    </row>
    <row r="530" spans="1:23" ht="15" customHeight="1" x14ac:dyDescent="0.25">
      <c r="A530">
        <v>1929</v>
      </c>
      <c r="B530" s="1">
        <v>45746</v>
      </c>
      <c r="C530">
        <v>0</v>
      </c>
      <c r="D530" t="s">
        <v>55</v>
      </c>
      <c r="E530">
        <v>3</v>
      </c>
      <c r="F530" t="s">
        <v>35</v>
      </c>
      <c r="G530" t="s">
        <v>36</v>
      </c>
      <c r="H530" t="s">
        <v>52</v>
      </c>
      <c r="I530" t="s">
        <v>13</v>
      </c>
      <c r="J530" t="s">
        <v>21</v>
      </c>
      <c r="K530" s="2">
        <v>9800</v>
      </c>
      <c r="L530" s="3">
        <v>12.1</v>
      </c>
      <c r="M530" s="3">
        <v>78</v>
      </c>
      <c r="N530" s="3">
        <v>0</v>
      </c>
      <c r="O530" s="2">
        <v>345</v>
      </c>
      <c r="P530">
        <v>1</v>
      </c>
      <c r="Q530" t="s">
        <v>17</v>
      </c>
      <c r="R530" s="4">
        <v>100.97</v>
      </c>
      <c r="S530" s="4">
        <v>0</v>
      </c>
      <c r="T530" t="s">
        <v>31</v>
      </c>
      <c r="U530" s="4">
        <v>8.56</v>
      </c>
      <c r="V530" s="4">
        <v>10.303000000000001</v>
      </c>
      <c r="W530" s="4">
        <v>100.97</v>
      </c>
    </row>
    <row r="531" spans="1:23" ht="15" customHeight="1" x14ac:dyDescent="0.25">
      <c r="A531">
        <v>457</v>
      </c>
      <c r="B531" s="1">
        <v>45746</v>
      </c>
      <c r="C531">
        <v>0</v>
      </c>
      <c r="D531" t="s">
        <v>55</v>
      </c>
      <c r="E531">
        <v>3</v>
      </c>
      <c r="F531" t="s">
        <v>35</v>
      </c>
      <c r="G531" t="s">
        <v>36</v>
      </c>
      <c r="H531" t="s">
        <v>54</v>
      </c>
      <c r="I531" t="s">
        <v>16</v>
      </c>
      <c r="J531" t="s">
        <v>24</v>
      </c>
      <c r="K531" s="2">
        <v>8600</v>
      </c>
      <c r="L531" s="3">
        <v>12.7</v>
      </c>
      <c r="M531" s="3">
        <v>99</v>
      </c>
      <c r="N531" s="3">
        <v>0</v>
      </c>
      <c r="O531" s="2">
        <v>0</v>
      </c>
      <c r="P531">
        <v>0</v>
      </c>
      <c r="Q531" t="s">
        <v>14</v>
      </c>
      <c r="R531" s="4">
        <v>11.89</v>
      </c>
      <c r="S531" s="4">
        <v>0</v>
      </c>
      <c r="T531" t="s">
        <v>31</v>
      </c>
      <c r="U531" s="4">
        <v>1.04</v>
      </c>
      <c r="V531" s="4">
        <v>1.383</v>
      </c>
      <c r="W531" s="4">
        <v>11.89</v>
      </c>
    </row>
    <row r="532" spans="1:23" ht="15" customHeight="1" x14ac:dyDescent="0.25">
      <c r="A532">
        <v>1561</v>
      </c>
      <c r="B532" s="1">
        <v>45746</v>
      </c>
      <c r="C532">
        <v>0</v>
      </c>
      <c r="D532" t="s">
        <v>55</v>
      </c>
      <c r="E532">
        <v>3</v>
      </c>
      <c r="F532" t="s">
        <v>35</v>
      </c>
      <c r="G532" t="s">
        <v>36</v>
      </c>
      <c r="H532" t="s">
        <v>49</v>
      </c>
      <c r="I532" t="s">
        <v>27</v>
      </c>
      <c r="J532" t="s">
        <v>18</v>
      </c>
      <c r="K532" s="2">
        <v>26000</v>
      </c>
      <c r="L532" s="3"/>
      <c r="M532" s="3">
        <v>71.3</v>
      </c>
      <c r="N532" s="3">
        <v>0</v>
      </c>
      <c r="O532" s="2">
        <v>30</v>
      </c>
      <c r="P532">
        <v>1</v>
      </c>
      <c r="Q532" t="s">
        <v>17</v>
      </c>
      <c r="R532" s="4">
        <v>91.64</v>
      </c>
      <c r="S532" s="4">
        <v>0</v>
      </c>
      <c r="T532" t="s">
        <v>31</v>
      </c>
      <c r="U532" s="4">
        <v>7.94</v>
      </c>
      <c r="V532" s="4">
        <v>3.5249999999999999</v>
      </c>
      <c r="W532" s="4">
        <v>91.64</v>
      </c>
    </row>
    <row r="533" spans="1:23" ht="15" customHeight="1" x14ac:dyDescent="0.25">
      <c r="A533">
        <v>1193</v>
      </c>
      <c r="B533" s="1">
        <v>45746</v>
      </c>
      <c r="C533">
        <v>0</v>
      </c>
      <c r="D533" t="s">
        <v>55</v>
      </c>
      <c r="E533">
        <v>3</v>
      </c>
      <c r="F533" t="s">
        <v>35</v>
      </c>
      <c r="G533" t="s">
        <v>36</v>
      </c>
      <c r="H533" t="s">
        <v>51</v>
      </c>
      <c r="I533" t="s">
        <v>25</v>
      </c>
      <c r="J533" t="s">
        <v>15</v>
      </c>
      <c r="K533" s="2">
        <v>17400</v>
      </c>
      <c r="L533" s="3">
        <v>11.9</v>
      </c>
      <c r="M533" s="3">
        <v>80.2</v>
      </c>
      <c r="N533" s="3">
        <v>0</v>
      </c>
      <c r="O533" s="2">
        <v>25</v>
      </c>
      <c r="P533">
        <v>1</v>
      </c>
      <c r="Q533" t="s">
        <v>17</v>
      </c>
      <c r="R533" s="4">
        <v>56.23</v>
      </c>
      <c r="S533" s="4">
        <v>0</v>
      </c>
      <c r="T533" t="s">
        <v>31</v>
      </c>
      <c r="U533" s="4">
        <v>4.9000000000000004</v>
      </c>
      <c r="V533" s="4">
        <v>3.2320000000000002</v>
      </c>
      <c r="W533" s="4">
        <v>56.23</v>
      </c>
    </row>
    <row r="534" spans="1:23" ht="15" customHeight="1" x14ac:dyDescent="0.25">
      <c r="A534">
        <v>89</v>
      </c>
      <c r="B534" s="1">
        <v>45746</v>
      </c>
      <c r="C534">
        <v>0</v>
      </c>
      <c r="D534" t="s">
        <v>55</v>
      </c>
      <c r="E534">
        <v>3</v>
      </c>
      <c r="F534" t="s">
        <v>35</v>
      </c>
      <c r="G534" t="s">
        <v>36</v>
      </c>
      <c r="H534" t="s">
        <v>53</v>
      </c>
      <c r="I534" t="s">
        <v>19</v>
      </c>
      <c r="J534" t="s">
        <v>26</v>
      </c>
      <c r="K534" s="2">
        <v>12500</v>
      </c>
      <c r="L534" s="3">
        <v>9.6</v>
      </c>
      <c r="M534" s="3">
        <v>71.3</v>
      </c>
      <c r="N534" s="3">
        <v>0</v>
      </c>
      <c r="O534" s="2">
        <v>14</v>
      </c>
      <c r="P534">
        <v>0</v>
      </c>
      <c r="Q534" t="s">
        <v>14</v>
      </c>
      <c r="R534" s="4">
        <v>24.58</v>
      </c>
      <c r="S534" s="4">
        <v>0</v>
      </c>
      <c r="T534" t="s">
        <v>31</v>
      </c>
      <c r="U534" s="4">
        <v>2.17</v>
      </c>
      <c r="V534" s="4">
        <v>1.966</v>
      </c>
      <c r="W534" s="4">
        <v>24.58</v>
      </c>
    </row>
    <row r="535" spans="1:23" ht="15" customHeight="1" x14ac:dyDescent="0.25">
      <c r="A535">
        <v>825</v>
      </c>
      <c r="B535" s="1">
        <v>45746</v>
      </c>
      <c r="C535">
        <v>0</v>
      </c>
      <c r="D535" t="s">
        <v>55</v>
      </c>
      <c r="E535">
        <v>3</v>
      </c>
      <c r="F535" t="s">
        <v>35</v>
      </c>
      <c r="G535" t="s">
        <v>36</v>
      </c>
      <c r="H535" t="s">
        <v>50</v>
      </c>
      <c r="I535" t="s">
        <v>22</v>
      </c>
      <c r="J535" t="s">
        <v>12</v>
      </c>
      <c r="K535" s="2">
        <v>21000</v>
      </c>
      <c r="L535" s="3">
        <v>12.2</v>
      </c>
      <c r="M535" s="3">
        <v>65.400000000000006</v>
      </c>
      <c r="N535" s="3">
        <v>0</v>
      </c>
      <c r="O535" s="2">
        <v>223</v>
      </c>
      <c r="P535">
        <v>1</v>
      </c>
      <c r="Q535" t="s">
        <v>17</v>
      </c>
      <c r="R535" s="4">
        <v>188.3</v>
      </c>
      <c r="S535" s="4">
        <v>0</v>
      </c>
      <c r="T535" t="s">
        <v>31</v>
      </c>
      <c r="U535" s="4"/>
      <c r="V535" s="4">
        <v>8.9670000000000005</v>
      </c>
      <c r="W535" s="4">
        <v>188.3</v>
      </c>
    </row>
    <row r="536" spans="1:23" ht="15" customHeight="1" x14ac:dyDescent="0.25">
      <c r="A536">
        <v>90</v>
      </c>
      <c r="B536" s="1">
        <v>45746.333333333343</v>
      </c>
      <c r="C536">
        <v>8</v>
      </c>
      <c r="D536" t="s">
        <v>55</v>
      </c>
      <c r="E536">
        <v>3</v>
      </c>
      <c r="F536" t="s">
        <v>35</v>
      </c>
      <c r="G536" t="s">
        <v>36</v>
      </c>
      <c r="H536" t="s">
        <v>53</v>
      </c>
      <c r="I536" t="s">
        <v>19</v>
      </c>
      <c r="J536" t="s">
        <v>26</v>
      </c>
      <c r="K536" s="2">
        <v>12500</v>
      </c>
      <c r="L536" s="3">
        <v>8.9</v>
      </c>
      <c r="M536" s="3">
        <v>66.5</v>
      </c>
      <c r="N536" s="3">
        <v>156.19999999999999</v>
      </c>
      <c r="O536" s="2">
        <v>78</v>
      </c>
      <c r="P536">
        <v>0</v>
      </c>
      <c r="Q536" t="s">
        <v>14</v>
      </c>
      <c r="R536" s="4">
        <v>21.54</v>
      </c>
      <c r="S536" s="4">
        <v>25.08</v>
      </c>
      <c r="T536" t="s">
        <v>31</v>
      </c>
      <c r="U536" s="4">
        <v>-0.12</v>
      </c>
      <c r="V536" s="4">
        <v>1.7230000000000001</v>
      </c>
      <c r="W536" s="4">
        <v>0</v>
      </c>
    </row>
    <row r="537" spans="1:23" ht="15" customHeight="1" x14ac:dyDescent="0.25">
      <c r="A537">
        <v>458</v>
      </c>
      <c r="B537" s="1">
        <v>45746.333333333343</v>
      </c>
      <c r="C537">
        <v>8</v>
      </c>
      <c r="D537" t="s">
        <v>55</v>
      </c>
      <c r="E537">
        <v>3</v>
      </c>
      <c r="F537" t="s">
        <v>35</v>
      </c>
      <c r="G537" t="s">
        <v>36</v>
      </c>
      <c r="H537" t="s">
        <v>54</v>
      </c>
      <c r="I537" t="s">
        <v>16</v>
      </c>
      <c r="J537" t="s">
        <v>24</v>
      </c>
      <c r="K537" s="2">
        <v>8600</v>
      </c>
      <c r="L537" s="3">
        <v>9.9</v>
      </c>
      <c r="M537" s="3">
        <v>94.7</v>
      </c>
      <c r="N537" s="3">
        <v>109.4</v>
      </c>
      <c r="O537" s="2">
        <v>72</v>
      </c>
      <c r="P537">
        <v>0</v>
      </c>
      <c r="Q537" t="s">
        <v>14</v>
      </c>
      <c r="R537" s="4">
        <v>17.239999999999998</v>
      </c>
      <c r="S537" s="4">
        <v>8.67</v>
      </c>
      <c r="T537" t="s">
        <v>31</v>
      </c>
      <c r="U537" s="4">
        <v>0.75</v>
      </c>
      <c r="V537" s="4">
        <v>2.0049999999999999</v>
      </c>
      <c r="W537" s="4">
        <v>8.57</v>
      </c>
    </row>
    <row r="538" spans="1:23" ht="15" customHeight="1" x14ac:dyDescent="0.25">
      <c r="A538">
        <v>1194</v>
      </c>
      <c r="B538" s="1">
        <v>45746.333333333343</v>
      </c>
      <c r="C538">
        <v>8</v>
      </c>
      <c r="D538" t="s">
        <v>55</v>
      </c>
      <c r="E538">
        <v>3</v>
      </c>
      <c r="F538" t="s">
        <v>35</v>
      </c>
      <c r="G538" t="s">
        <v>36</v>
      </c>
      <c r="H538" t="s">
        <v>51</v>
      </c>
      <c r="I538" t="s">
        <v>25</v>
      </c>
      <c r="J538" t="s">
        <v>15</v>
      </c>
      <c r="K538" s="2">
        <v>17400</v>
      </c>
      <c r="L538" s="3">
        <v>15.7</v>
      </c>
      <c r="M538" s="3">
        <v>84.8</v>
      </c>
      <c r="N538" s="3">
        <v>145.69999999999999</v>
      </c>
      <c r="O538" s="2">
        <v>68</v>
      </c>
      <c r="P538">
        <v>1</v>
      </c>
      <c r="Q538" t="s">
        <v>23</v>
      </c>
      <c r="R538" s="4">
        <v>36.94</v>
      </c>
      <c r="S538" s="4">
        <v>18.399999999999999</v>
      </c>
      <c r="T538" t="s">
        <v>31</v>
      </c>
      <c r="U538" s="4">
        <v>1.61</v>
      </c>
      <c r="V538" s="4">
        <v>2.1230000000000002</v>
      </c>
      <c r="W538" s="4">
        <v>18.54</v>
      </c>
    </row>
    <row r="539" spans="1:23" ht="15" customHeight="1" x14ac:dyDescent="0.25">
      <c r="A539">
        <v>1562</v>
      </c>
      <c r="B539" s="1">
        <v>45746.333333333343</v>
      </c>
      <c r="C539">
        <v>8</v>
      </c>
      <c r="D539" t="s">
        <v>55</v>
      </c>
      <c r="E539">
        <v>3</v>
      </c>
      <c r="F539" t="s">
        <v>35</v>
      </c>
      <c r="G539" t="s">
        <v>36</v>
      </c>
      <c r="H539" t="s">
        <v>49</v>
      </c>
      <c r="I539" t="s">
        <v>27</v>
      </c>
      <c r="J539" t="s">
        <v>18</v>
      </c>
      <c r="K539" s="2">
        <v>26000</v>
      </c>
      <c r="L539" s="3">
        <v>10.9</v>
      </c>
      <c r="M539" s="3">
        <v>77.7</v>
      </c>
      <c r="N539" s="3">
        <v>215.6</v>
      </c>
      <c r="O539" s="2">
        <v>49</v>
      </c>
      <c r="P539">
        <v>1</v>
      </c>
      <c r="Q539" t="s">
        <v>17</v>
      </c>
      <c r="R539" s="4">
        <v>92.54</v>
      </c>
      <c r="S539" s="4">
        <v>57.2</v>
      </c>
      <c r="T539" t="s">
        <v>31</v>
      </c>
      <c r="U539" s="4">
        <v>3.09</v>
      </c>
      <c r="V539" s="4">
        <v>3.5590000000000002</v>
      </c>
      <c r="W539" s="4">
        <v>35.340000000000003</v>
      </c>
    </row>
    <row r="540" spans="1:23" ht="15" customHeight="1" x14ac:dyDescent="0.25">
      <c r="A540">
        <v>1930</v>
      </c>
      <c r="B540" s="1">
        <v>45746.333333333343</v>
      </c>
      <c r="C540">
        <v>8</v>
      </c>
      <c r="D540" t="s">
        <v>55</v>
      </c>
      <c r="E540">
        <v>3</v>
      </c>
      <c r="F540" t="s">
        <v>35</v>
      </c>
      <c r="G540" t="s">
        <v>36</v>
      </c>
      <c r="H540" t="s">
        <v>52</v>
      </c>
      <c r="I540" t="s">
        <v>13</v>
      </c>
      <c r="J540" t="s">
        <v>21</v>
      </c>
      <c r="K540" s="2">
        <v>9800</v>
      </c>
      <c r="L540" s="3">
        <v>14.9</v>
      </c>
      <c r="M540" s="3"/>
      <c r="N540" s="3">
        <v>199.8</v>
      </c>
      <c r="O540" s="2">
        <v>116</v>
      </c>
      <c r="P540">
        <v>1</v>
      </c>
      <c r="Q540" t="s">
        <v>23</v>
      </c>
      <c r="R540" s="4">
        <v>25.57</v>
      </c>
      <c r="S540" s="4">
        <v>0</v>
      </c>
      <c r="T540" t="s">
        <v>31</v>
      </c>
      <c r="U540" s="4">
        <v>2.1800000000000002</v>
      </c>
      <c r="V540" s="4">
        <v>2.609</v>
      </c>
      <c r="W540" s="4">
        <v>25.57</v>
      </c>
    </row>
    <row r="541" spans="1:23" ht="15" customHeight="1" x14ac:dyDescent="0.25">
      <c r="A541">
        <v>826</v>
      </c>
      <c r="B541" s="1">
        <v>45746.333333333343</v>
      </c>
      <c r="C541">
        <v>8</v>
      </c>
      <c r="D541" t="s">
        <v>55</v>
      </c>
      <c r="E541">
        <v>3</v>
      </c>
      <c r="F541" t="s">
        <v>35</v>
      </c>
      <c r="G541" t="s">
        <v>36</v>
      </c>
      <c r="H541" t="s">
        <v>50</v>
      </c>
      <c r="I541" t="s">
        <v>22</v>
      </c>
      <c r="J541" t="s">
        <v>12</v>
      </c>
      <c r="K541" s="2">
        <v>21000</v>
      </c>
      <c r="L541" s="3">
        <v>15</v>
      </c>
      <c r="M541" s="3">
        <v>59</v>
      </c>
      <c r="N541" s="3">
        <v>211.7</v>
      </c>
      <c r="O541" s="2">
        <v>391</v>
      </c>
      <c r="P541">
        <v>1</v>
      </c>
      <c r="Q541" t="s">
        <v>23</v>
      </c>
      <c r="R541" s="4">
        <v>203.69</v>
      </c>
      <c r="S541" s="4">
        <v>44.68</v>
      </c>
      <c r="T541" t="s">
        <v>31</v>
      </c>
      <c r="U541" s="4">
        <v>13.64</v>
      </c>
      <c r="V541" s="4">
        <v>9.6999999999999993</v>
      </c>
      <c r="W541" s="4">
        <v>159.01</v>
      </c>
    </row>
    <row r="542" spans="1:23" ht="15" customHeight="1" x14ac:dyDescent="0.25">
      <c r="A542">
        <v>459</v>
      </c>
      <c r="B542" s="1">
        <v>45746.583333333343</v>
      </c>
      <c r="C542">
        <v>14</v>
      </c>
      <c r="D542" t="s">
        <v>55</v>
      </c>
      <c r="E542">
        <v>3</v>
      </c>
      <c r="F542" t="s">
        <v>35</v>
      </c>
      <c r="G542" t="s">
        <v>36</v>
      </c>
      <c r="H542" t="s">
        <v>54</v>
      </c>
      <c r="I542" t="s">
        <v>16</v>
      </c>
      <c r="J542" t="s">
        <v>24</v>
      </c>
      <c r="K542" s="2">
        <v>8600</v>
      </c>
      <c r="L542" s="3">
        <v>14</v>
      </c>
      <c r="M542" s="3">
        <v>89.9</v>
      </c>
      <c r="N542" s="3">
        <v>367.5</v>
      </c>
      <c r="O542" s="2">
        <v>19</v>
      </c>
      <c r="P542">
        <v>0</v>
      </c>
      <c r="Q542" t="s">
        <v>14</v>
      </c>
      <c r="R542" s="4">
        <v>8.9600000000000009</v>
      </c>
      <c r="S542" s="4">
        <v>27.14</v>
      </c>
      <c r="T542" t="s">
        <v>31</v>
      </c>
      <c r="U542" s="4">
        <v>-0.63</v>
      </c>
      <c r="V542" s="4">
        <v>1.042</v>
      </c>
      <c r="W542" s="4">
        <v>0</v>
      </c>
    </row>
    <row r="543" spans="1:23" ht="15" customHeight="1" x14ac:dyDescent="0.25">
      <c r="A543">
        <v>1563</v>
      </c>
      <c r="B543" s="1">
        <v>45746.583333333343</v>
      </c>
      <c r="C543">
        <v>14</v>
      </c>
      <c r="D543" t="s">
        <v>55</v>
      </c>
      <c r="E543">
        <v>3</v>
      </c>
      <c r="F543" t="s">
        <v>35</v>
      </c>
      <c r="G543" t="s">
        <v>36</v>
      </c>
      <c r="H543" t="s">
        <v>49</v>
      </c>
      <c r="I543" t="s">
        <v>27</v>
      </c>
      <c r="J543" t="s">
        <v>18</v>
      </c>
      <c r="K543" s="2">
        <v>26000</v>
      </c>
      <c r="L543" s="3">
        <v>18.3</v>
      </c>
      <c r="M543" s="3">
        <v>59</v>
      </c>
      <c r="N543" s="3">
        <v>603</v>
      </c>
      <c r="O543" s="2">
        <v>55</v>
      </c>
      <c r="P543">
        <v>0</v>
      </c>
      <c r="Q543" t="s">
        <v>14</v>
      </c>
      <c r="R543" s="4">
        <v>76.069999999999993</v>
      </c>
      <c r="S543" s="4">
        <v>151.29</v>
      </c>
      <c r="T543" t="s">
        <v>31</v>
      </c>
      <c r="U543" s="4">
        <v>-2.65</v>
      </c>
      <c r="V543" s="4">
        <v>2.9260000000000002</v>
      </c>
      <c r="W543" s="4">
        <v>0</v>
      </c>
    </row>
    <row r="544" spans="1:23" ht="15" customHeight="1" x14ac:dyDescent="0.25">
      <c r="A544">
        <v>1195</v>
      </c>
      <c r="B544" s="1">
        <v>45746.583333333343</v>
      </c>
      <c r="C544">
        <v>14</v>
      </c>
      <c r="D544" t="s">
        <v>55</v>
      </c>
      <c r="E544">
        <v>3</v>
      </c>
      <c r="F544" t="s">
        <v>35</v>
      </c>
      <c r="G544" t="s">
        <v>36</v>
      </c>
      <c r="H544" t="s">
        <v>51</v>
      </c>
      <c r="I544" t="s">
        <v>25</v>
      </c>
      <c r="J544" t="s">
        <v>15</v>
      </c>
      <c r="K544" s="2">
        <v>17400</v>
      </c>
      <c r="L544" s="3">
        <v>20.7</v>
      </c>
      <c r="M544" s="3">
        <v>64.099999999999994</v>
      </c>
      <c r="N544" s="3">
        <v>603.5</v>
      </c>
      <c r="O544" s="2">
        <v>1558</v>
      </c>
      <c r="P544">
        <v>0</v>
      </c>
      <c r="Q544" t="s">
        <v>14</v>
      </c>
      <c r="R544" s="4">
        <v>248.13</v>
      </c>
      <c r="S544" s="4">
        <v>67.12</v>
      </c>
      <c r="T544" t="s">
        <v>31</v>
      </c>
      <c r="U544" s="4">
        <v>15.84</v>
      </c>
      <c r="V544" s="4">
        <v>14.26</v>
      </c>
      <c r="W544" s="4">
        <v>181.01</v>
      </c>
    </row>
    <row r="545" spans="1:23" ht="15" customHeight="1" x14ac:dyDescent="0.25">
      <c r="A545">
        <v>91</v>
      </c>
      <c r="B545" s="1">
        <v>45746.583333333343</v>
      </c>
      <c r="C545">
        <v>14</v>
      </c>
      <c r="D545" t="s">
        <v>55</v>
      </c>
      <c r="E545">
        <v>3</v>
      </c>
      <c r="F545" t="s">
        <v>35</v>
      </c>
      <c r="G545" t="s">
        <v>36</v>
      </c>
      <c r="H545" t="s">
        <v>53</v>
      </c>
      <c r="I545" t="s">
        <v>19</v>
      </c>
      <c r="J545" t="s">
        <v>26</v>
      </c>
      <c r="K545" s="2">
        <v>12500</v>
      </c>
      <c r="L545" s="3">
        <v>17.8</v>
      </c>
      <c r="M545" s="3">
        <v>54</v>
      </c>
      <c r="N545" s="3">
        <v>512.9</v>
      </c>
      <c r="O545" s="2">
        <v>5</v>
      </c>
      <c r="P545">
        <v>0</v>
      </c>
      <c r="Q545" t="s">
        <v>14</v>
      </c>
      <c r="R545" s="4">
        <v>16.79</v>
      </c>
      <c r="S545" s="4">
        <v>82.2</v>
      </c>
      <c r="T545" t="s">
        <v>31</v>
      </c>
      <c r="U545" s="4">
        <v>-2.25</v>
      </c>
      <c r="V545" s="4">
        <v>1.343</v>
      </c>
      <c r="W545" s="4">
        <v>0</v>
      </c>
    </row>
    <row r="546" spans="1:23" ht="15" customHeight="1" x14ac:dyDescent="0.25">
      <c r="A546">
        <v>1931</v>
      </c>
      <c r="B546" s="1">
        <v>45746.583333333343</v>
      </c>
      <c r="C546">
        <v>14</v>
      </c>
      <c r="D546" t="s">
        <v>55</v>
      </c>
      <c r="E546">
        <v>3</v>
      </c>
      <c r="F546" t="s">
        <v>35</v>
      </c>
      <c r="G546" t="s">
        <v>36</v>
      </c>
      <c r="H546" t="s">
        <v>52</v>
      </c>
      <c r="I546" t="s">
        <v>13</v>
      </c>
      <c r="J546" t="s">
        <v>21</v>
      </c>
      <c r="K546" s="2">
        <v>9800</v>
      </c>
      <c r="L546" s="3">
        <v>20.7</v>
      </c>
      <c r="M546" s="3">
        <v>80.099999999999994</v>
      </c>
      <c r="N546" s="3">
        <v>504.3</v>
      </c>
      <c r="O546" s="2">
        <v>122</v>
      </c>
      <c r="P546">
        <v>0</v>
      </c>
      <c r="Q546" t="s">
        <v>14</v>
      </c>
      <c r="R546" s="4">
        <v>28.06</v>
      </c>
      <c r="S546" s="4">
        <v>0</v>
      </c>
      <c r="T546" t="s">
        <v>31</v>
      </c>
      <c r="U546" s="4">
        <v>2.4700000000000002</v>
      </c>
      <c r="V546" s="4">
        <v>2.863</v>
      </c>
      <c r="W546" s="4">
        <v>28.06</v>
      </c>
    </row>
    <row r="547" spans="1:23" ht="15" customHeight="1" x14ac:dyDescent="0.25">
      <c r="A547">
        <v>827</v>
      </c>
      <c r="B547" s="1">
        <v>45746.583333333343</v>
      </c>
      <c r="C547">
        <v>14</v>
      </c>
      <c r="D547" t="s">
        <v>55</v>
      </c>
      <c r="E547">
        <v>3</v>
      </c>
      <c r="F547" t="s">
        <v>35</v>
      </c>
      <c r="G547" t="s">
        <v>36</v>
      </c>
      <c r="H547" t="s">
        <v>50</v>
      </c>
      <c r="I547" t="s">
        <v>22</v>
      </c>
      <c r="J547" t="s">
        <v>12</v>
      </c>
      <c r="K547" s="2">
        <v>21000</v>
      </c>
      <c r="L547" s="3">
        <v>23.6</v>
      </c>
      <c r="M547" s="3">
        <v>48</v>
      </c>
      <c r="N547" s="3">
        <v>705.9</v>
      </c>
      <c r="O547" s="2">
        <v>415</v>
      </c>
      <c r="P547">
        <v>1</v>
      </c>
      <c r="Q547" t="s">
        <v>23</v>
      </c>
      <c r="R547" s="4">
        <v>199.09</v>
      </c>
      <c r="S547" s="4">
        <v>120.45</v>
      </c>
      <c r="T547" t="s">
        <v>31</v>
      </c>
      <c r="U547" s="4">
        <v>6.76</v>
      </c>
      <c r="V547" s="4">
        <v>9.48</v>
      </c>
      <c r="W547" s="4">
        <v>78.64</v>
      </c>
    </row>
    <row r="548" spans="1:23" ht="15" customHeight="1" x14ac:dyDescent="0.25">
      <c r="A548">
        <v>1564</v>
      </c>
      <c r="B548" s="1">
        <v>45746.833333333343</v>
      </c>
      <c r="C548">
        <v>20</v>
      </c>
      <c r="D548" t="s">
        <v>55</v>
      </c>
      <c r="E548">
        <v>3</v>
      </c>
      <c r="F548" t="s">
        <v>35</v>
      </c>
      <c r="G548" t="s">
        <v>36</v>
      </c>
      <c r="H548" t="s">
        <v>49</v>
      </c>
      <c r="I548" t="s">
        <v>27</v>
      </c>
      <c r="J548" t="s">
        <v>18</v>
      </c>
      <c r="K548" s="2">
        <v>26000</v>
      </c>
      <c r="L548" s="3"/>
      <c r="M548" s="3"/>
      <c r="N548" s="3">
        <v>0</v>
      </c>
      <c r="O548" s="2">
        <v>73</v>
      </c>
      <c r="P548">
        <v>1</v>
      </c>
      <c r="Q548" t="s">
        <v>17</v>
      </c>
      <c r="R548" s="4">
        <v>136.4</v>
      </c>
      <c r="S548" s="4">
        <v>0</v>
      </c>
      <c r="T548" t="s">
        <v>31</v>
      </c>
      <c r="U548" s="4">
        <v>11.77</v>
      </c>
      <c r="V548" s="4">
        <v>5.2460000000000004</v>
      </c>
      <c r="W548" s="4">
        <v>136.4</v>
      </c>
    </row>
    <row r="549" spans="1:23" ht="15" customHeight="1" x14ac:dyDescent="0.25">
      <c r="A549">
        <v>460</v>
      </c>
      <c r="B549" s="1">
        <v>45746.833333333343</v>
      </c>
      <c r="C549">
        <v>20</v>
      </c>
      <c r="D549" t="s">
        <v>55</v>
      </c>
      <c r="E549">
        <v>3</v>
      </c>
      <c r="F549" t="s">
        <v>35</v>
      </c>
      <c r="G549" t="s">
        <v>36</v>
      </c>
      <c r="H549" t="s">
        <v>54</v>
      </c>
      <c r="I549" t="s">
        <v>16</v>
      </c>
      <c r="J549" t="s">
        <v>24</v>
      </c>
      <c r="K549" s="2">
        <v>8600</v>
      </c>
      <c r="L549" s="3">
        <v>12.6</v>
      </c>
      <c r="M549" s="3">
        <v>92.6</v>
      </c>
      <c r="N549" s="3">
        <v>0</v>
      </c>
      <c r="O549" s="2">
        <v>21</v>
      </c>
      <c r="P549">
        <v>0</v>
      </c>
      <c r="Q549" t="s">
        <v>14</v>
      </c>
      <c r="R549" s="4">
        <v>13.1</v>
      </c>
      <c r="S549" s="4">
        <v>0</v>
      </c>
      <c r="T549" t="s">
        <v>31</v>
      </c>
      <c r="U549" s="4">
        <v>1.1100000000000001</v>
      </c>
      <c r="V549" s="4">
        <v>1.5229999999999999</v>
      </c>
      <c r="W549" s="4">
        <v>13.1</v>
      </c>
    </row>
    <row r="550" spans="1:23" ht="15" customHeight="1" x14ac:dyDescent="0.25">
      <c r="A550">
        <v>1932</v>
      </c>
      <c r="B550" s="1">
        <v>45746.833333333343</v>
      </c>
      <c r="C550">
        <v>20</v>
      </c>
      <c r="D550" t="s">
        <v>55</v>
      </c>
      <c r="E550">
        <v>3</v>
      </c>
      <c r="F550" t="s">
        <v>35</v>
      </c>
      <c r="G550" t="s">
        <v>36</v>
      </c>
      <c r="H550" t="s">
        <v>52</v>
      </c>
      <c r="I550" t="s">
        <v>13</v>
      </c>
      <c r="J550" t="s">
        <v>21</v>
      </c>
      <c r="K550" s="2">
        <v>9800</v>
      </c>
      <c r="L550" s="3">
        <v>16</v>
      </c>
      <c r="M550" s="3">
        <v>79.2</v>
      </c>
      <c r="N550" s="3">
        <v>0</v>
      </c>
      <c r="O550" s="2">
        <v>332</v>
      </c>
      <c r="P550">
        <v>0</v>
      </c>
      <c r="Q550" t="s">
        <v>14</v>
      </c>
      <c r="R550" s="4">
        <v>100.77</v>
      </c>
      <c r="S550" s="4">
        <v>0</v>
      </c>
      <c r="T550" t="s">
        <v>31</v>
      </c>
      <c r="U550" s="4">
        <v>8.52</v>
      </c>
      <c r="V550" s="4">
        <v>10.282999999999999</v>
      </c>
      <c r="W550" s="4">
        <v>100.77</v>
      </c>
    </row>
    <row r="551" spans="1:23" ht="15" customHeight="1" x14ac:dyDescent="0.25">
      <c r="A551">
        <v>828</v>
      </c>
      <c r="B551" s="1">
        <v>45746.833333333343</v>
      </c>
      <c r="C551">
        <v>20</v>
      </c>
      <c r="D551" t="s">
        <v>55</v>
      </c>
      <c r="E551">
        <v>3</v>
      </c>
      <c r="F551" t="s">
        <v>35</v>
      </c>
      <c r="G551" t="s">
        <v>36</v>
      </c>
      <c r="H551" t="s">
        <v>50</v>
      </c>
      <c r="I551" t="s">
        <v>22</v>
      </c>
      <c r="J551" t="s">
        <v>12</v>
      </c>
      <c r="K551" s="2">
        <v>21000</v>
      </c>
      <c r="L551" s="3">
        <v>19.399999999999999</v>
      </c>
      <c r="M551" s="3">
        <v>70.2</v>
      </c>
      <c r="N551" s="3">
        <v>0</v>
      </c>
      <c r="O551" s="2">
        <v>401</v>
      </c>
      <c r="P551">
        <v>0</v>
      </c>
      <c r="Q551" t="s">
        <v>14</v>
      </c>
      <c r="R551" s="4">
        <v>283.25</v>
      </c>
      <c r="S551" s="4">
        <v>0</v>
      </c>
      <c r="T551" t="s">
        <v>31</v>
      </c>
      <c r="U551" s="4">
        <v>24.22</v>
      </c>
      <c r="V551" s="4">
        <v>13.488</v>
      </c>
      <c r="W551" s="4">
        <v>283.25</v>
      </c>
    </row>
    <row r="552" spans="1:23" ht="15" customHeight="1" x14ac:dyDescent="0.25">
      <c r="A552">
        <v>1196</v>
      </c>
      <c r="B552" s="1">
        <v>45746.833333333343</v>
      </c>
      <c r="C552">
        <v>20</v>
      </c>
      <c r="D552" t="s">
        <v>55</v>
      </c>
      <c r="E552">
        <v>3</v>
      </c>
      <c r="F552" t="s">
        <v>35</v>
      </c>
      <c r="G552" t="s">
        <v>36</v>
      </c>
      <c r="H552" t="s">
        <v>51</v>
      </c>
      <c r="I552" t="s">
        <v>25</v>
      </c>
      <c r="J552" t="s">
        <v>15</v>
      </c>
      <c r="K552" s="2">
        <v>17400</v>
      </c>
      <c r="L552" s="3">
        <v>17.7</v>
      </c>
      <c r="M552" s="3">
        <v>69.599999999999994</v>
      </c>
      <c r="N552" s="3">
        <v>0</v>
      </c>
      <c r="O552" s="2">
        <v>1574</v>
      </c>
      <c r="P552">
        <v>0</v>
      </c>
      <c r="Q552" t="s">
        <v>14</v>
      </c>
      <c r="R552" s="4">
        <v>331</v>
      </c>
      <c r="S552" s="4">
        <v>0</v>
      </c>
      <c r="T552" t="s">
        <v>31</v>
      </c>
      <c r="U552" s="4">
        <v>28.57</v>
      </c>
      <c r="V552" s="4">
        <v>19.023</v>
      </c>
      <c r="W552" s="4">
        <v>331</v>
      </c>
    </row>
    <row r="553" spans="1:23" ht="15" customHeight="1" x14ac:dyDescent="0.25">
      <c r="A553">
        <v>92</v>
      </c>
      <c r="B553" s="1">
        <v>45746.833333333343</v>
      </c>
      <c r="C553">
        <v>20</v>
      </c>
      <c r="D553" t="s">
        <v>55</v>
      </c>
      <c r="E553">
        <v>3</v>
      </c>
      <c r="F553" t="s">
        <v>35</v>
      </c>
      <c r="G553" t="s">
        <v>36</v>
      </c>
      <c r="H553" t="s">
        <v>53</v>
      </c>
      <c r="I553" t="s">
        <v>19</v>
      </c>
      <c r="J553" t="s">
        <v>26</v>
      </c>
      <c r="K553" s="2">
        <v>12500</v>
      </c>
      <c r="L553" s="3">
        <v>14</v>
      </c>
      <c r="M553" s="3">
        <v>59.2</v>
      </c>
      <c r="N553" s="3">
        <v>0</v>
      </c>
      <c r="O553" s="2">
        <v>0</v>
      </c>
      <c r="P553">
        <v>0</v>
      </c>
      <c r="Q553" t="s">
        <v>14</v>
      </c>
      <c r="R553" s="4">
        <v>24.46</v>
      </c>
      <c r="S553" s="4">
        <v>0</v>
      </c>
      <c r="T553" t="s">
        <v>31</v>
      </c>
      <c r="U553" s="4">
        <v>2.16</v>
      </c>
      <c r="V553" s="4">
        <v>1.9570000000000001</v>
      </c>
      <c r="W553" s="4">
        <v>24.46</v>
      </c>
    </row>
    <row r="554" spans="1:23" ht="15" customHeight="1" x14ac:dyDescent="0.25">
      <c r="A554">
        <v>461</v>
      </c>
      <c r="B554" s="1">
        <v>45750</v>
      </c>
      <c r="C554">
        <v>0</v>
      </c>
      <c r="D554" t="s">
        <v>56</v>
      </c>
      <c r="E554">
        <v>4</v>
      </c>
      <c r="F554" t="s">
        <v>35</v>
      </c>
      <c r="G554" t="s">
        <v>33</v>
      </c>
      <c r="H554" t="s">
        <v>54</v>
      </c>
      <c r="I554" t="s">
        <v>16</v>
      </c>
      <c r="J554" t="s">
        <v>24</v>
      </c>
      <c r="K554" s="2">
        <v>8600</v>
      </c>
      <c r="L554" s="3">
        <v>10.3</v>
      </c>
      <c r="M554" s="3">
        <v>91.1</v>
      </c>
      <c r="N554" s="3">
        <v>0</v>
      </c>
      <c r="O554" s="2">
        <v>0</v>
      </c>
      <c r="P554">
        <v>1</v>
      </c>
      <c r="Q554" t="s">
        <v>17</v>
      </c>
      <c r="R554" s="4">
        <v>20.84</v>
      </c>
      <c r="S554" s="4">
        <v>0</v>
      </c>
      <c r="T554" t="s">
        <v>31</v>
      </c>
      <c r="U554" s="4">
        <v>1.79</v>
      </c>
      <c r="V554" s="4">
        <v>2.423</v>
      </c>
      <c r="W554" s="4">
        <v>20.84</v>
      </c>
    </row>
    <row r="555" spans="1:23" ht="15" customHeight="1" x14ac:dyDescent="0.25">
      <c r="A555">
        <v>93</v>
      </c>
      <c r="B555" s="1">
        <v>45750</v>
      </c>
      <c r="C555">
        <v>0</v>
      </c>
      <c r="D555" t="s">
        <v>56</v>
      </c>
      <c r="E555">
        <v>4</v>
      </c>
      <c r="F555" t="s">
        <v>35</v>
      </c>
      <c r="G555" t="s">
        <v>33</v>
      </c>
      <c r="H555" t="s">
        <v>53</v>
      </c>
      <c r="I555" t="s">
        <v>19</v>
      </c>
      <c r="J555" t="s">
        <v>26</v>
      </c>
      <c r="K555" s="2">
        <v>12500</v>
      </c>
      <c r="L555" s="3"/>
      <c r="M555" s="3">
        <v>65.3</v>
      </c>
      <c r="N555" s="3">
        <v>0</v>
      </c>
      <c r="O555" s="2">
        <v>36</v>
      </c>
      <c r="P555">
        <v>0</v>
      </c>
      <c r="Q555" t="s">
        <v>14</v>
      </c>
      <c r="R555" s="4">
        <v>26.13</v>
      </c>
      <c r="S555" s="4">
        <v>0</v>
      </c>
      <c r="T555" t="s">
        <v>31</v>
      </c>
      <c r="U555" s="4">
        <v>2.1800000000000002</v>
      </c>
      <c r="V555" s="4">
        <v>2.09</v>
      </c>
      <c r="W555" s="4">
        <v>26.13</v>
      </c>
    </row>
    <row r="556" spans="1:23" ht="15" customHeight="1" x14ac:dyDescent="0.25">
      <c r="A556">
        <v>829</v>
      </c>
      <c r="B556" s="1">
        <v>45750</v>
      </c>
      <c r="C556">
        <v>0</v>
      </c>
      <c r="D556" t="s">
        <v>56</v>
      </c>
      <c r="E556">
        <v>4</v>
      </c>
      <c r="F556" t="s">
        <v>35</v>
      </c>
      <c r="G556" t="s">
        <v>33</v>
      </c>
      <c r="H556" t="s">
        <v>50</v>
      </c>
      <c r="I556" t="s">
        <v>22</v>
      </c>
      <c r="J556" t="s">
        <v>12</v>
      </c>
      <c r="K556" s="2">
        <v>21000</v>
      </c>
      <c r="L556" s="3">
        <v>12</v>
      </c>
      <c r="M556" s="3">
        <v>65.8</v>
      </c>
      <c r="N556" s="3">
        <v>0</v>
      </c>
      <c r="O556" s="2">
        <v>188</v>
      </c>
      <c r="P556">
        <v>1</v>
      </c>
      <c r="Q556" t="s">
        <v>17</v>
      </c>
      <c r="R556" s="4">
        <v>168.6</v>
      </c>
      <c r="S556" s="4">
        <v>0</v>
      </c>
      <c r="T556" t="s">
        <v>31</v>
      </c>
      <c r="U556" s="4">
        <v>15.07</v>
      </c>
      <c r="V556" s="4">
        <v>8.0289999999999999</v>
      </c>
      <c r="W556" s="4">
        <v>168.6</v>
      </c>
    </row>
    <row r="557" spans="1:23" ht="15" customHeight="1" x14ac:dyDescent="0.25">
      <c r="A557">
        <v>1933</v>
      </c>
      <c r="B557" s="1">
        <v>45750</v>
      </c>
      <c r="C557">
        <v>0</v>
      </c>
      <c r="D557" t="s">
        <v>56</v>
      </c>
      <c r="E557">
        <v>4</v>
      </c>
      <c r="F557" t="s">
        <v>35</v>
      </c>
      <c r="G557" t="s">
        <v>33</v>
      </c>
      <c r="H557" t="s">
        <v>52</v>
      </c>
      <c r="I557" t="s">
        <v>13</v>
      </c>
      <c r="J557" t="s">
        <v>21</v>
      </c>
      <c r="K557" s="2">
        <v>9800</v>
      </c>
      <c r="L557" s="3">
        <v>12</v>
      </c>
      <c r="M557" s="3">
        <v>81</v>
      </c>
      <c r="N557" s="3">
        <v>0</v>
      </c>
      <c r="O557" s="2">
        <v>312</v>
      </c>
      <c r="P557">
        <v>1</v>
      </c>
      <c r="Q557" t="s">
        <v>17</v>
      </c>
      <c r="R557" s="4">
        <v>101.05</v>
      </c>
      <c r="S557" s="4">
        <v>0</v>
      </c>
      <c r="T557" t="s">
        <v>31</v>
      </c>
      <c r="U557" s="4">
        <v>8.83</v>
      </c>
      <c r="V557" s="4">
        <v>10.311</v>
      </c>
      <c r="W557" s="4">
        <v>101.05</v>
      </c>
    </row>
    <row r="558" spans="1:23" ht="15" customHeight="1" x14ac:dyDescent="0.25">
      <c r="A558">
        <v>1197</v>
      </c>
      <c r="B558" s="1">
        <v>45750</v>
      </c>
      <c r="C558">
        <v>0</v>
      </c>
      <c r="D558" t="s">
        <v>56</v>
      </c>
      <c r="E558">
        <v>4</v>
      </c>
      <c r="F558" t="s">
        <v>35</v>
      </c>
      <c r="G558" t="s">
        <v>33</v>
      </c>
      <c r="H558" t="s">
        <v>51</v>
      </c>
      <c r="I558" t="s">
        <v>25</v>
      </c>
      <c r="J558" t="s">
        <v>15</v>
      </c>
      <c r="K558" s="2">
        <v>17400</v>
      </c>
      <c r="L558" s="3">
        <v>14</v>
      </c>
      <c r="M558" s="3">
        <v>80.7</v>
      </c>
      <c r="N558" s="3">
        <v>0</v>
      </c>
      <c r="O558" s="2">
        <v>23</v>
      </c>
      <c r="P558">
        <v>0</v>
      </c>
      <c r="Q558" t="s">
        <v>14</v>
      </c>
      <c r="R558" s="4">
        <v>49.29</v>
      </c>
      <c r="S558" s="4">
        <v>0</v>
      </c>
      <c r="T558" t="s">
        <v>31</v>
      </c>
      <c r="U558" s="4">
        <v>4.2</v>
      </c>
      <c r="V558" s="4">
        <v>2.8330000000000002</v>
      </c>
      <c r="W558" s="4">
        <v>49.29</v>
      </c>
    </row>
    <row r="559" spans="1:23" ht="15" customHeight="1" x14ac:dyDescent="0.25">
      <c r="A559">
        <v>1565</v>
      </c>
      <c r="B559" s="1">
        <v>45750</v>
      </c>
      <c r="C559">
        <v>0</v>
      </c>
      <c r="D559" t="s">
        <v>56</v>
      </c>
      <c r="E559">
        <v>4</v>
      </c>
      <c r="F559" t="s">
        <v>35</v>
      </c>
      <c r="G559" t="s">
        <v>33</v>
      </c>
      <c r="H559" t="s">
        <v>49</v>
      </c>
      <c r="I559" t="s">
        <v>27</v>
      </c>
      <c r="J559" t="s">
        <v>18</v>
      </c>
      <c r="K559" s="2">
        <v>26000</v>
      </c>
      <c r="L559" s="3">
        <v>9.1</v>
      </c>
      <c r="M559" s="3">
        <v>70.599999999999994</v>
      </c>
      <c r="N559" s="3">
        <v>0</v>
      </c>
      <c r="O559" s="2">
        <v>64</v>
      </c>
      <c r="P559">
        <v>1</v>
      </c>
      <c r="Q559" t="s">
        <v>17</v>
      </c>
      <c r="R559" s="4">
        <v>118.17</v>
      </c>
      <c r="S559" s="4">
        <v>0</v>
      </c>
      <c r="T559" t="s">
        <v>31</v>
      </c>
      <c r="U559" s="4">
        <v>10.39</v>
      </c>
      <c r="V559" s="4">
        <v>4.5449999999999999</v>
      </c>
      <c r="W559" s="4">
        <v>118.17</v>
      </c>
    </row>
    <row r="560" spans="1:23" ht="15" customHeight="1" x14ac:dyDescent="0.25">
      <c r="A560">
        <v>1566</v>
      </c>
      <c r="B560" s="1">
        <v>45750.333333333343</v>
      </c>
      <c r="C560">
        <v>8</v>
      </c>
      <c r="D560" t="s">
        <v>56</v>
      </c>
      <c r="E560">
        <v>4</v>
      </c>
      <c r="F560" t="s">
        <v>35</v>
      </c>
      <c r="G560" t="s">
        <v>33</v>
      </c>
      <c r="H560" t="s">
        <v>49</v>
      </c>
      <c r="I560" t="s">
        <v>27</v>
      </c>
      <c r="J560" t="s">
        <v>18</v>
      </c>
      <c r="K560" s="2">
        <v>26000</v>
      </c>
      <c r="L560" s="3">
        <v>12.4</v>
      </c>
      <c r="M560" s="3">
        <v>93</v>
      </c>
      <c r="N560" s="3">
        <v>172</v>
      </c>
      <c r="O560" s="2">
        <v>153</v>
      </c>
      <c r="P560">
        <v>1</v>
      </c>
      <c r="Q560" t="s">
        <v>17</v>
      </c>
      <c r="R560" s="4">
        <v>166.25</v>
      </c>
      <c r="S560" s="4">
        <v>48.28</v>
      </c>
      <c r="T560" t="s">
        <v>34</v>
      </c>
      <c r="U560" s="4">
        <v>15.95</v>
      </c>
      <c r="V560" s="4">
        <v>6.3940000000000001</v>
      </c>
      <c r="W560" s="4">
        <v>117.97</v>
      </c>
    </row>
    <row r="561" spans="1:23" ht="15" customHeight="1" x14ac:dyDescent="0.25">
      <c r="A561">
        <v>1198</v>
      </c>
      <c r="B561" s="1">
        <v>45750.333333333343</v>
      </c>
      <c r="C561">
        <v>8</v>
      </c>
      <c r="D561" t="s">
        <v>56</v>
      </c>
      <c r="E561">
        <v>4</v>
      </c>
      <c r="F561" t="s">
        <v>35</v>
      </c>
      <c r="G561" t="s">
        <v>33</v>
      </c>
      <c r="H561" t="s">
        <v>51</v>
      </c>
      <c r="I561" t="s">
        <v>25</v>
      </c>
      <c r="J561" t="s">
        <v>15</v>
      </c>
      <c r="K561" s="2">
        <v>17400</v>
      </c>
      <c r="L561" s="3">
        <v>14.8</v>
      </c>
      <c r="M561" s="3">
        <v>84</v>
      </c>
      <c r="N561" s="3">
        <v>113.9</v>
      </c>
      <c r="O561" s="2">
        <v>149</v>
      </c>
      <c r="P561">
        <v>0</v>
      </c>
      <c r="Q561" t="s">
        <v>14</v>
      </c>
      <c r="R561" s="4">
        <v>54.13</v>
      </c>
      <c r="S561" s="4">
        <v>14.07</v>
      </c>
      <c r="T561" t="s">
        <v>34</v>
      </c>
      <c r="U561" s="4">
        <v>5.64</v>
      </c>
      <c r="V561" s="4">
        <v>3.1110000000000002</v>
      </c>
      <c r="W561" s="4">
        <v>40.06</v>
      </c>
    </row>
    <row r="562" spans="1:23" ht="15" customHeight="1" x14ac:dyDescent="0.25">
      <c r="A562">
        <v>94</v>
      </c>
      <c r="B562" s="1">
        <v>45750.333333333343</v>
      </c>
      <c r="C562">
        <v>8</v>
      </c>
      <c r="D562" t="s">
        <v>56</v>
      </c>
      <c r="E562">
        <v>4</v>
      </c>
      <c r="F562" t="s">
        <v>35</v>
      </c>
      <c r="G562" t="s">
        <v>33</v>
      </c>
      <c r="H562" t="s">
        <v>53</v>
      </c>
      <c r="I562" t="s">
        <v>19</v>
      </c>
      <c r="J562" t="s">
        <v>26</v>
      </c>
      <c r="K562" s="2">
        <v>12500</v>
      </c>
      <c r="L562" s="3">
        <v>9.1</v>
      </c>
      <c r="M562" s="3">
        <v>69.3</v>
      </c>
      <c r="N562" s="3">
        <v>213.1</v>
      </c>
      <c r="O562" s="2">
        <v>303</v>
      </c>
      <c r="P562">
        <v>1</v>
      </c>
      <c r="Q562" t="s">
        <v>17</v>
      </c>
      <c r="R562" s="4">
        <v>69.739999999999995</v>
      </c>
      <c r="S562" s="4">
        <v>31.09</v>
      </c>
      <c r="T562" t="s">
        <v>34</v>
      </c>
      <c r="U562" s="4">
        <v>5.29</v>
      </c>
      <c r="V562" s="4">
        <v>5.5789999999999997</v>
      </c>
      <c r="W562" s="4">
        <v>38.65</v>
      </c>
    </row>
    <row r="563" spans="1:23" ht="15" customHeight="1" x14ac:dyDescent="0.25">
      <c r="A563">
        <v>830</v>
      </c>
      <c r="B563" s="1">
        <v>45750.333333333343</v>
      </c>
      <c r="C563">
        <v>8</v>
      </c>
      <c r="D563" t="s">
        <v>56</v>
      </c>
      <c r="E563">
        <v>4</v>
      </c>
      <c r="F563" t="s">
        <v>35</v>
      </c>
      <c r="G563" t="s">
        <v>33</v>
      </c>
      <c r="H563" t="s">
        <v>50</v>
      </c>
      <c r="I563" t="s">
        <v>22</v>
      </c>
      <c r="J563" t="s">
        <v>12</v>
      </c>
      <c r="K563" s="2">
        <v>21000</v>
      </c>
      <c r="L563" s="3">
        <v>14.1</v>
      </c>
      <c r="M563" s="3">
        <v>51.4</v>
      </c>
      <c r="N563" s="3">
        <v>184</v>
      </c>
      <c r="O563" s="2">
        <v>406</v>
      </c>
      <c r="P563">
        <v>1</v>
      </c>
      <c r="Q563" t="s">
        <v>17</v>
      </c>
      <c r="R563" s="4">
        <v>198.37</v>
      </c>
      <c r="S563" s="4">
        <v>39.19</v>
      </c>
      <c r="T563" t="s">
        <v>34</v>
      </c>
      <c r="U563" s="4">
        <v>22.08</v>
      </c>
      <c r="V563" s="4">
        <v>9.4459999999999997</v>
      </c>
      <c r="W563" s="4">
        <v>159.18</v>
      </c>
    </row>
    <row r="564" spans="1:23" ht="15" customHeight="1" x14ac:dyDescent="0.25">
      <c r="A564">
        <v>1934</v>
      </c>
      <c r="B564" s="1">
        <v>45750.333333333343</v>
      </c>
      <c r="C564">
        <v>8</v>
      </c>
      <c r="D564" t="s">
        <v>56</v>
      </c>
      <c r="E564">
        <v>4</v>
      </c>
      <c r="F564" t="s">
        <v>35</v>
      </c>
      <c r="G564" t="s">
        <v>33</v>
      </c>
      <c r="H564" t="s">
        <v>52</v>
      </c>
      <c r="I564" t="s">
        <v>13</v>
      </c>
      <c r="J564" t="s">
        <v>21</v>
      </c>
      <c r="K564" s="2">
        <v>9800</v>
      </c>
      <c r="L564" s="3">
        <v>14.6</v>
      </c>
      <c r="M564" s="3"/>
      <c r="N564" s="3">
        <v>129.30000000000001</v>
      </c>
      <c r="O564" s="2">
        <v>59</v>
      </c>
      <c r="P564">
        <v>1</v>
      </c>
      <c r="Q564" t="s">
        <v>23</v>
      </c>
      <c r="R564" s="4">
        <v>18.88</v>
      </c>
      <c r="S564" s="4">
        <v>0</v>
      </c>
      <c r="T564" t="s">
        <v>34</v>
      </c>
      <c r="U564" s="4">
        <v>2.67</v>
      </c>
      <c r="V564" s="4">
        <v>1.927</v>
      </c>
      <c r="W564" s="4">
        <v>18.88</v>
      </c>
    </row>
    <row r="565" spans="1:23" ht="15" customHeight="1" x14ac:dyDescent="0.25">
      <c r="A565">
        <v>462</v>
      </c>
      <c r="B565" s="1">
        <v>45750.333333333343</v>
      </c>
      <c r="C565">
        <v>8</v>
      </c>
      <c r="D565" t="s">
        <v>56</v>
      </c>
      <c r="E565">
        <v>4</v>
      </c>
      <c r="F565" t="s">
        <v>35</v>
      </c>
      <c r="G565" t="s">
        <v>33</v>
      </c>
      <c r="H565" t="s">
        <v>54</v>
      </c>
      <c r="I565" t="s">
        <v>16</v>
      </c>
      <c r="J565" t="s">
        <v>24</v>
      </c>
      <c r="K565" s="2">
        <v>8600</v>
      </c>
      <c r="L565" s="3">
        <v>10.199999999999999</v>
      </c>
      <c r="M565" s="3">
        <v>98.1</v>
      </c>
      <c r="N565" s="3">
        <v>121.7</v>
      </c>
      <c r="O565" s="2">
        <v>791</v>
      </c>
      <c r="P565">
        <v>1</v>
      </c>
      <c r="Q565" t="s">
        <v>17</v>
      </c>
      <c r="R565" s="4">
        <v>82.48</v>
      </c>
      <c r="S565" s="4">
        <v>8.84</v>
      </c>
      <c r="T565" t="s">
        <v>34</v>
      </c>
      <c r="U565" s="4">
        <v>10.6</v>
      </c>
      <c r="V565" s="4">
        <v>9.5909999999999993</v>
      </c>
      <c r="W565" s="4">
        <v>73.64</v>
      </c>
    </row>
    <row r="566" spans="1:23" ht="15" customHeight="1" x14ac:dyDescent="0.25">
      <c r="A566">
        <v>831</v>
      </c>
      <c r="B566" s="1">
        <v>45750.583333333343</v>
      </c>
      <c r="C566">
        <v>14</v>
      </c>
      <c r="D566" t="s">
        <v>56</v>
      </c>
      <c r="E566">
        <v>4</v>
      </c>
      <c r="F566" t="s">
        <v>35</v>
      </c>
      <c r="G566" t="s">
        <v>33</v>
      </c>
      <c r="H566" t="s">
        <v>50</v>
      </c>
      <c r="I566" t="s">
        <v>22</v>
      </c>
      <c r="J566" t="s">
        <v>12</v>
      </c>
      <c r="K566" s="2">
        <v>21000</v>
      </c>
      <c r="L566" s="3">
        <v>23.1</v>
      </c>
      <c r="M566" s="3">
        <v>61.2</v>
      </c>
      <c r="N566" s="3">
        <v>704.3</v>
      </c>
      <c r="O566" s="2">
        <v>417</v>
      </c>
      <c r="P566">
        <v>1</v>
      </c>
      <c r="Q566" t="s">
        <v>23</v>
      </c>
      <c r="R566" s="4">
        <v>195.78</v>
      </c>
      <c r="S566" s="4">
        <v>134.31</v>
      </c>
      <c r="T566" t="s">
        <v>34</v>
      </c>
      <c r="U566" s="4">
        <v>8.5500000000000007</v>
      </c>
      <c r="V566" s="4">
        <v>9.3230000000000004</v>
      </c>
      <c r="W566" s="4">
        <v>61.47</v>
      </c>
    </row>
    <row r="567" spans="1:23" ht="15" customHeight="1" x14ac:dyDescent="0.25">
      <c r="A567">
        <v>1199</v>
      </c>
      <c r="B567" s="1">
        <v>45750.583333333343</v>
      </c>
      <c r="C567">
        <v>14</v>
      </c>
      <c r="D567" t="s">
        <v>56</v>
      </c>
      <c r="E567">
        <v>4</v>
      </c>
      <c r="F567" t="s">
        <v>35</v>
      </c>
      <c r="G567" t="s">
        <v>33</v>
      </c>
      <c r="H567" t="s">
        <v>51</v>
      </c>
      <c r="I567" t="s">
        <v>25</v>
      </c>
      <c r="J567" t="s">
        <v>15</v>
      </c>
      <c r="K567" s="2">
        <v>17400</v>
      </c>
      <c r="L567" s="3">
        <v>19.3</v>
      </c>
      <c r="M567" s="3">
        <v>89.5</v>
      </c>
      <c r="N567" s="3">
        <v>394.4</v>
      </c>
      <c r="O567" s="2">
        <v>1272</v>
      </c>
      <c r="P567">
        <v>0</v>
      </c>
      <c r="Q567" t="s">
        <v>14</v>
      </c>
      <c r="R567" s="4">
        <v>191.43</v>
      </c>
      <c r="S567" s="4">
        <v>53.16</v>
      </c>
      <c r="T567" t="s">
        <v>34</v>
      </c>
      <c r="U567" s="4">
        <v>18.87</v>
      </c>
      <c r="V567" s="4">
        <v>11.002000000000001</v>
      </c>
      <c r="W567" s="4">
        <v>138.27000000000001</v>
      </c>
    </row>
    <row r="568" spans="1:23" ht="15" customHeight="1" x14ac:dyDescent="0.25">
      <c r="A568">
        <v>1935</v>
      </c>
      <c r="B568" s="1">
        <v>45750.583333333343</v>
      </c>
      <c r="C568">
        <v>14</v>
      </c>
      <c r="D568" t="s">
        <v>56</v>
      </c>
      <c r="E568">
        <v>4</v>
      </c>
      <c r="F568" t="s">
        <v>35</v>
      </c>
      <c r="G568" t="s">
        <v>33</v>
      </c>
      <c r="H568" t="s">
        <v>52</v>
      </c>
      <c r="I568" t="s">
        <v>13</v>
      </c>
      <c r="J568" t="s">
        <v>21</v>
      </c>
      <c r="K568" s="2">
        <v>9800</v>
      </c>
      <c r="L568" s="3">
        <v>19.600000000000001</v>
      </c>
      <c r="M568" s="3">
        <v>87</v>
      </c>
      <c r="N568" s="3">
        <v>665.7</v>
      </c>
      <c r="O568" s="2">
        <v>77</v>
      </c>
      <c r="P568">
        <v>0</v>
      </c>
      <c r="Q568" t="s">
        <v>14</v>
      </c>
      <c r="R568" s="4">
        <v>18.48</v>
      </c>
      <c r="S568" s="4">
        <v>0</v>
      </c>
      <c r="T568" t="s">
        <v>34</v>
      </c>
      <c r="U568" s="4">
        <v>2.54</v>
      </c>
      <c r="V568" s="4">
        <v>1.8859999999999999</v>
      </c>
      <c r="W568" s="4">
        <v>18.48</v>
      </c>
    </row>
    <row r="569" spans="1:23" ht="15" customHeight="1" x14ac:dyDescent="0.25">
      <c r="A569">
        <v>95</v>
      </c>
      <c r="B569" s="1">
        <v>45750.583333333343</v>
      </c>
      <c r="C569">
        <v>14</v>
      </c>
      <c r="D569" t="s">
        <v>56</v>
      </c>
      <c r="E569">
        <v>4</v>
      </c>
      <c r="F569" t="s">
        <v>35</v>
      </c>
      <c r="G569" t="s">
        <v>33</v>
      </c>
      <c r="H569" t="s">
        <v>53</v>
      </c>
      <c r="I569" t="s">
        <v>19</v>
      </c>
      <c r="J569" t="s">
        <v>26</v>
      </c>
      <c r="K569" s="2">
        <v>12500</v>
      </c>
      <c r="L569" s="3">
        <v>21</v>
      </c>
      <c r="M569" s="3">
        <v>46</v>
      </c>
      <c r="N569" s="3">
        <v>577.6</v>
      </c>
      <c r="O569" s="2">
        <v>607</v>
      </c>
      <c r="P569">
        <v>0</v>
      </c>
      <c r="Q569" t="s">
        <v>14</v>
      </c>
      <c r="R569" s="4">
        <v>109.25</v>
      </c>
      <c r="S569" s="4">
        <v>87.83</v>
      </c>
      <c r="T569" t="s">
        <v>34</v>
      </c>
      <c r="U569" s="4">
        <v>2.97</v>
      </c>
      <c r="V569" s="4">
        <v>8.74</v>
      </c>
      <c r="W569" s="4">
        <v>21.42</v>
      </c>
    </row>
    <row r="570" spans="1:23" ht="15" customHeight="1" x14ac:dyDescent="0.25">
      <c r="A570">
        <v>463</v>
      </c>
      <c r="B570" s="1">
        <v>45750.583333333343</v>
      </c>
      <c r="C570">
        <v>14</v>
      </c>
      <c r="D570" t="s">
        <v>56</v>
      </c>
      <c r="E570">
        <v>4</v>
      </c>
      <c r="F570" t="s">
        <v>35</v>
      </c>
      <c r="G570" t="s">
        <v>33</v>
      </c>
      <c r="H570" t="s">
        <v>54</v>
      </c>
      <c r="I570" t="s">
        <v>16</v>
      </c>
      <c r="J570" t="s">
        <v>24</v>
      </c>
      <c r="K570" s="2">
        <v>8600</v>
      </c>
      <c r="L570" s="3">
        <v>15.9</v>
      </c>
      <c r="M570" s="3">
        <v>91</v>
      </c>
      <c r="N570" s="3">
        <v>398.2</v>
      </c>
      <c r="O570" s="2">
        <v>848</v>
      </c>
      <c r="P570">
        <v>1</v>
      </c>
      <c r="Q570" t="s">
        <v>23</v>
      </c>
      <c r="R570" s="4">
        <v>76.58</v>
      </c>
      <c r="S570" s="4">
        <v>29.96</v>
      </c>
      <c r="T570" t="s">
        <v>34</v>
      </c>
      <c r="U570" s="4">
        <v>6.48</v>
      </c>
      <c r="V570" s="4">
        <v>8.9049999999999994</v>
      </c>
      <c r="W570" s="4">
        <v>46.62</v>
      </c>
    </row>
    <row r="571" spans="1:23" ht="15" customHeight="1" x14ac:dyDescent="0.25">
      <c r="A571">
        <v>1567</v>
      </c>
      <c r="B571" s="1">
        <v>45750.583333333343</v>
      </c>
      <c r="C571">
        <v>14</v>
      </c>
      <c r="D571" t="s">
        <v>56</v>
      </c>
      <c r="E571">
        <v>4</v>
      </c>
      <c r="F571" t="s">
        <v>35</v>
      </c>
      <c r="G571" t="s">
        <v>33</v>
      </c>
      <c r="H571" t="s">
        <v>49</v>
      </c>
      <c r="I571" t="s">
        <v>27</v>
      </c>
      <c r="J571" t="s">
        <v>18</v>
      </c>
      <c r="K571" s="2">
        <v>26000</v>
      </c>
      <c r="L571" s="3">
        <v>23.2</v>
      </c>
      <c r="M571" s="3">
        <v>72.400000000000006</v>
      </c>
      <c r="N571" s="3">
        <v>534</v>
      </c>
      <c r="O571" s="2">
        <v>168</v>
      </c>
      <c r="P571">
        <v>1</v>
      </c>
      <c r="Q571" t="s">
        <v>23</v>
      </c>
      <c r="R571" s="4">
        <v>147.65</v>
      </c>
      <c r="S571" s="4">
        <v>159.68</v>
      </c>
      <c r="T571" t="s">
        <v>34</v>
      </c>
      <c r="U571" s="4">
        <v>-0.67</v>
      </c>
      <c r="V571" s="4">
        <v>5.6790000000000003</v>
      </c>
      <c r="W571" s="4">
        <v>0</v>
      </c>
    </row>
    <row r="572" spans="1:23" ht="15" customHeight="1" x14ac:dyDescent="0.25">
      <c r="A572">
        <v>832</v>
      </c>
      <c r="B572" s="1">
        <v>45750.833333333343</v>
      </c>
      <c r="C572">
        <v>20</v>
      </c>
      <c r="D572" t="s">
        <v>56</v>
      </c>
      <c r="E572">
        <v>4</v>
      </c>
      <c r="F572" t="s">
        <v>35</v>
      </c>
      <c r="G572" t="s">
        <v>33</v>
      </c>
      <c r="H572" t="s">
        <v>50</v>
      </c>
      <c r="I572" t="s">
        <v>22</v>
      </c>
      <c r="J572" t="s">
        <v>12</v>
      </c>
      <c r="K572" s="2">
        <v>21000</v>
      </c>
      <c r="L572" s="3">
        <v>21.8</v>
      </c>
      <c r="M572" s="3">
        <v>67.599999999999994</v>
      </c>
      <c r="N572" s="3">
        <v>0</v>
      </c>
      <c r="O572" s="2">
        <v>404</v>
      </c>
      <c r="P572">
        <v>0</v>
      </c>
      <c r="Q572" t="s">
        <v>14</v>
      </c>
      <c r="R572" s="4">
        <v>258.13</v>
      </c>
      <c r="S572" s="4">
        <v>0</v>
      </c>
      <c r="T572" t="s">
        <v>37</v>
      </c>
      <c r="U572" s="4">
        <v>54.08</v>
      </c>
      <c r="V572" s="4">
        <v>12.292</v>
      </c>
      <c r="W572" s="4">
        <v>258.13</v>
      </c>
    </row>
    <row r="573" spans="1:23" ht="15" customHeight="1" x14ac:dyDescent="0.25">
      <c r="A573">
        <v>1568</v>
      </c>
      <c r="B573" s="1">
        <v>45750.833333333343</v>
      </c>
      <c r="C573">
        <v>20</v>
      </c>
      <c r="D573" t="s">
        <v>56</v>
      </c>
      <c r="E573">
        <v>4</v>
      </c>
      <c r="F573" t="s">
        <v>35</v>
      </c>
      <c r="G573" t="s">
        <v>33</v>
      </c>
      <c r="H573" t="s">
        <v>49</v>
      </c>
      <c r="I573" t="s">
        <v>27</v>
      </c>
      <c r="J573" t="s">
        <v>18</v>
      </c>
      <c r="K573" s="2">
        <v>26000</v>
      </c>
      <c r="L573" s="3">
        <v>17</v>
      </c>
      <c r="M573" s="3">
        <v>68.3</v>
      </c>
      <c r="N573" s="3">
        <v>0</v>
      </c>
      <c r="O573" s="2">
        <v>158</v>
      </c>
      <c r="P573">
        <v>0</v>
      </c>
      <c r="Q573" t="s">
        <v>14</v>
      </c>
      <c r="R573" s="4">
        <v>250.88</v>
      </c>
      <c r="S573" s="4">
        <v>0</v>
      </c>
      <c r="T573" t="s">
        <v>37</v>
      </c>
      <c r="U573" s="4"/>
      <c r="V573" s="4">
        <v>9.6489999999999991</v>
      </c>
      <c r="W573" s="4">
        <v>250.88</v>
      </c>
    </row>
    <row r="574" spans="1:23" ht="15" customHeight="1" x14ac:dyDescent="0.25">
      <c r="A574">
        <v>1936</v>
      </c>
      <c r="B574" s="1">
        <v>45750.833333333343</v>
      </c>
      <c r="C574">
        <v>20</v>
      </c>
      <c r="D574" t="s">
        <v>56</v>
      </c>
      <c r="E574">
        <v>4</v>
      </c>
      <c r="F574" t="s">
        <v>35</v>
      </c>
      <c r="G574" t="s">
        <v>33</v>
      </c>
      <c r="H574" t="s">
        <v>52</v>
      </c>
      <c r="I574" t="s">
        <v>13</v>
      </c>
      <c r="J574" t="s">
        <v>21</v>
      </c>
      <c r="K574" s="2">
        <v>9800</v>
      </c>
      <c r="L574" s="3"/>
      <c r="M574" s="3">
        <v>90.7</v>
      </c>
      <c r="N574" s="3">
        <v>0</v>
      </c>
      <c r="O574" s="2">
        <v>316</v>
      </c>
      <c r="P574">
        <v>1</v>
      </c>
      <c r="Q574" t="s">
        <v>23</v>
      </c>
      <c r="R574" s="4">
        <v>96.57</v>
      </c>
      <c r="S574" s="4">
        <v>0</v>
      </c>
      <c r="T574" t="s">
        <v>37</v>
      </c>
      <c r="U574" s="4">
        <v>20.59</v>
      </c>
      <c r="V574" s="4">
        <v>9.8539999999999992</v>
      </c>
      <c r="W574" s="4">
        <v>96.57</v>
      </c>
    </row>
    <row r="575" spans="1:23" ht="15" customHeight="1" x14ac:dyDescent="0.25">
      <c r="A575">
        <v>96</v>
      </c>
      <c r="B575" s="1">
        <v>45750.833333333343</v>
      </c>
      <c r="C575">
        <v>20</v>
      </c>
      <c r="D575" t="s">
        <v>56</v>
      </c>
      <c r="E575">
        <v>4</v>
      </c>
      <c r="F575" t="s">
        <v>35</v>
      </c>
      <c r="G575" t="s">
        <v>33</v>
      </c>
      <c r="H575" t="s">
        <v>53</v>
      </c>
      <c r="I575" t="s">
        <v>19</v>
      </c>
      <c r="J575" t="s">
        <v>26</v>
      </c>
      <c r="K575" s="2">
        <v>12500</v>
      </c>
      <c r="L575" s="3">
        <v>13.9</v>
      </c>
      <c r="M575" s="3">
        <v>69.7</v>
      </c>
      <c r="N575" s="3">
        <v>0</v>
      </c>
      <c r="O575" s="2">
        <v>47</v>
      </c>
      <c r="P575">
        <v>1</v>
      </c>
      <c r="Q575" t="s">
        <v>17</v>
      </c>
      <c r="R575" s="4">
        <v>37.76</v>
      </c>
      <c r="S575" s="4">
        <v>0</v>
      </c>
      <c r="T575" t="s">
        <v>37</v>
      </c>
      <c r="U575" s="4">
        <v>7.8</v>
      </c>
      <c r="V575" s="4">
        <v>3.0209999999999999</v>
      </c>
      <c r="W575" s="4">
        <v>37.76</v>
      </c>
    </row>
    <row r="576" spans="1:23" ht="15" customHeight="1" x14ac:dyDescent="0.25">
      <c r="A576">
        <v>464</v>
      </c>
      <c r="B576" s="1">
        <v>45750.833333333343</v>
      </c>
      <c r="C576">
        <v>20</v>
      </c>
      <c r="D576" t="s">
        <v>56</v>
      </c>
      <c r="E576">
        <v>4</v>
      </c>
      <c r="F576" t="s">
        <v>35</v>
      </c>
      <c r="G576" t="s">
        <v>33</v>
      </c>
      <c r="H576" t="s">
        <v>54</v>
      </c>
      <c r="I576" t="s">
        <v>16</v>
      </c>
      <c r="J576" t="s">
        <v>24</v>
      </c>
      <c r="K576" s="2">
        <v>8600</v>
      </c>
      <c r="L576" s="3">
        <v>14.9</v>
      </c>
      <c r="M576" s="3">
        <v>87.9</v>
      </c>
      <c r="N576" s="3">
        <v>0</v>
      </c>
      <c r="O576" s="2">
        <v>4</v>
      </c>
      <c r="P576">
        <v>1</v>
      </c>
      <c r="Q576" t="s">
        <v>23</v>
      </c>
      <c r="R576" s="4">
        <v>17.02</v>
      </c>
      <c r="S576" s="4">
        <v>0</v>
      </c>
      <c r="T576" t="s">
        <v>37</v>
      </c>
      <c r="U576" s="4">
        <v>3.74</v>
      </c>
      <c r="V576" s="4">
        <v>1.9790000000000001</v>
      </c>
      <c r="W576" s="4">
        <v>17.02</v>
      </c>
    </row>
    <row r="577" spans="1:23" ht="15" customHeight="1" x14ac:dyDescent="0.25">
      <c r="A577">
        <v>1200</v>
      </c>
      <c r="B577" s="1">
        <v>45750.833333333343</v>
      </c>
      <c r="C577">
        <v>20</v>
      </c>
      <c r="D577" t="s">
        <v>56</v>
      </c>
      <c r="E577">
        <v>4</v>
      </c>
      <c r="F577" t="s">
        <v>35</v>
      </c>
      <c r="G577" t="s">
        <v>33</v>
      </c>
      <c r="H577" t="s">
        <v>51</v>
      </c>
      <c r="I577" t="s">
        <v>25</v>
      </c>
      <c r="J577" t="s">
        <v>15</v>
      </c>
      <c r="K577" s="2">
        <v>17400</v>
      </c>
      <c r="L577" s="3">
        <v>16.899999999999999</v>
      </c>
      <c r="M577" s="3">
        <v>61.3</v>
      </c>
      <c r="N577" s="3">
        <v>0</v>
      </c>
      <c r="O577" s="2">
        <v>1231</v>
      </c>
      <c r="P577">
        <v>0</v>
      </c>
      <c r="Q577" t="s">
        <v>14</v>
      </c>
      <c r="R577" s="4">
        <v>265.19</v>
      </c>
      <c r="S577" s="4">
        <v>0</v>
      </c>
      <c r="T577" t="s">
        <v>37</v>
      </c>
      <c r="U577" s="4">
        <v>55.82</v>
      </c>
      <c r="V577" s="4">
        <v>15.241</v>
      </c>
      <c r="W577" s="4">
        <v>265.19</v>
      </c>
    </row>
    <row r="578" spans="1:23" ht="15" customHeight="1" x14ac:dyDescent="0.25">
      <c r="A578">
        <v>97</v>
      </c>
      <c r="B578" s="1">
        <v>45754</v>
      </c>
      <c r="C578">
        <v>0</v>
      </c>
      <c r="D578" t="s">
        <v>57</v>
      </c>
      <c r="E578">
        <v>4</v>
      </c>
      <c r="F578" t="s">
        <v>35</v>
      </c>
      <c r="G578" t="s">
        <v>33</v>
      </c>
      <c r="H578" t="s">
        <v>53</v>
      </c>
      <c r="I578" t="s">
        <v>19</v>
      </c>
      <c r="J578" t="s">
        <v>26</v>
      </c>
      <c r="K578" s="2">
        <v>12500</v>
      </c>
      <c r="L578" s="3">
        <v>4.5</v>
      </c>
      <c r="M578" s="3">
        <v>80.599999999999994</v>
      </c>
      <c r="N578" s="3">
        <v>0</v>
      </c>
      <c r="O578" s="2">
        <v>48</v>
      </c>
      <c r="P578">
        <v>0</v>
      </c>
      <c r="Q578" t="s">
        <v>14</v>
      </c>
      <c r="R578" s="4">
        <v>28.87</v>
      </c>
      <c r="S578" s="4">
        <v>0</v>
      </c>
      <c r="T578" t="s">
        <v>31</v>
      </c>
      <c r="U578" s="4">
        <v>2.57</v>
      </c>
      <c r="V578" s="4">
        <v>2.31</v>
      </c>
      <c r="W578" s="4">
        <v>28.87</v>
      </c>
    </row>
    <row r="579" spans="1:23" ht="15" customHeight="1" x14ac:dyDescent="0.25">
      <c r="A579">
        <v>1569</v>
      </c>
      <c r="B579" s="1">
        <v>45754</v>
      </c>
      <c r="C579">
        <v>0</v>
      </c>
      <c r="D579" t="s">
        <v>57</v>
      </c>
      <c r="E579">
        <v>4</v>
      </c>
      <c r="F579" t="s">
        <v>35</v>
      </c>
      <c r="G579" t="s">
        <v>33</v>
      </c>
      <c r="H579" t="s">
        <v>49</v>
      </c>
      <c r="I579" t="s">
        <v>27</v>
      </c>
      <c r="J579" t="s">
        <v>18</v>
      </c>
      <c r="K579" s="2">
        <v>26000</v>
      </c>
      <c r="L579" s="3">
        <v>5.5</v>
      </c>
      <c r="M579" s="3">
        <v>68.7</v>
      </c>
      <c r="N579" s="3">
        <v>0</v>
      </c>
      <c r="O579" s="2">
        <v>66</v>
      </c>
      <c r="P579">
        <v>1</v>
      </c>
      <c r="Q579" t="s">
        <v>17</v>
      </c>
      <c r="R579" s="4">
        <v>123.54</v>
      </c>
      <c r="S579" s="4">
        <v>0</v>
      </c>
      <c r="T579" t="s">
        <v>31</v>
      </c>
      <c r="U579" s="4">
        <v>10.6</v>
      </c>
      <c r="V579" s="4">
        <v>4.7519999999999998</v>
      </c>
      <c r="W579" s="4">
        <v>123.54</v>
      </c>
    </row>
    <row r="580" spans="1:23" ht="15" customHeight="1" x14ac:dyDescent="0.25">
      <c r="A580">
        <v>1201</v>
      </c>
      <c r="B580" s="1">
        <v>45754</v>
      </c>
      <c r="C580">
        <v>0</v>
      </c>
      <c r="D580" t="s">
        <v>57</v>
      </c>
      <c r="E580">
        <v>4</v>
      </c>
      <c r="F580" t="s">
        <v>35</v>
      </c>
      <c r="G580" t="s">
        <v>33</v>
      </c>
      <c r="H580" t="s">
        <v>51</v>
      </c>
      <c r="I580" t="s">
        <v>25</v>
      </c>
      <c r="J580" t="s">
        <v>15</v>
      </c>
      <c r="K580" s="2">
        <v>17400</v>
      </c>
      <c r="L580" s="3">
        <v>15.3</v>
      </c>
      <c r="M580" s="3">
        <v>71.900000000000006</v>
      </c>
      <c r="N580" s="3">
        <v>0</v>
      </c>
      <c r="O580" s="2">
        <v>0</v>
      </c>
      <c r="P580">
        <v>0</v>
      </c>
      <c r="Q580" t="s">
        <v>14</v>
      </c>
      <c r="R580" s="4">
        <v>47.66</v>
      </c>
      <c r="S580" s="4">
        <v>0</v>
      </c>
      <c r="T580" t="s">
        <v>31</v>
      </c>
      <c r="U580" s="4">
        <v>4.12</v>
      </c>
      <c r="V580" s="4">
        <v>2.7389999999999999</v>
      </c>
      <c r="W580" s="4">
        <v>47.66</v>
      </c>
    </row>
    <row r="581" spans="1:23" ht="15" customHeight="1" x14ac:dyDescent="0.25">
      <c r="A581">
        <v>833</v>
      </c>
      <c r="B581" s="1">
        <v>45754</v>
      </c>
      <c r="C581">
        <v>0</v>
      </c>
      <c r="D581" t="s">
        <v>57</v>
      </c>
      <c r="E581">
        <v>4</v>
      </c>
      <c r="F581" t="s">
        <v>35</v>
      </c>
      <c r="G581" t="s">
        <v>33</v>
      </c>
      <c r="H581" t="s">
        <v>50</v>
      </c>
      <c r="I581" t="s">
        <v>22</v>
      </c>
      <c r="J581" t="s">
        <v>12</v>
      </c>
      <c r="K581" s="2">
        <v>21000</v>
      </c>
      <c r="L581" s="3">
        <v>10.6</v>
      </c>
      <c r="M581" s="3">
        <v>70.2</v>
      </c>
      <c r="N581" s="3">
        <v>0</v>
      </c>
      <c r="O581" s="2"/>
      <c r="P581">
        <v>1</v>
      </c>
      <c r="Q581" t="s">
        <v>17</v>
      </c>
      <c r="R581" s="4">
        <v>183.5</v>
      </c>
      <c r="S581" s="4">
        <v>0</v>
      </c>
      <c r="T581" t="s">
        <v>31</v>
      </c>
      <c r="U581" s="4">
        <v>16</v>
      </c>
      <c r="V581" s="4">
        <v>8.7379999999999995</v>
      </c>
      <c r="W581" s="4">
        <v>183.5</v>
      </c>
    </row>
    <row r="582" spans="1:23" ht="15" customHeight="1" x14ac:dyDescent="0.25">
      <c r="A582">
        <v>465</v>
      </c>
      <c r="B582" s="1">
        <v>45754</v>
      </c>
      <c r="C582">
        <v>0</v>
      </c>
      <c r="D582" t="s">
        <v>57</v>
      </c>
      <c r="E582">
        <v>4</v>
      </c>
      <c r="F582" t="s">
        <v>35</v>
      </c>
      <c r="G582" t="s">
        <v>33</v>
      </c>
      <c r="H582" t="s">
        <v>54</v>
      </c>
      <c r="I582" t="s">
        <v>16</v>
      </c>
      <c r="J582" t="s">
        <v>24</v>
      </c>
      <c r="K582" s="2">
        <v>8600</v>
      </c>
      <c r="L582" s="3">
        <v>14.6</v>
      </c>
      <c r="M582" s="3">
        <v>99</v>
      </c>
      <c r="N582" s="3">
        <v>0</v>
      </c>
      <c r="O582" s="2">
        <v>52</v>
      </c>
      <c r="P582">
        <v>1</v>
      </c>
      <c r="Q582" t="s">
        <v>23</v>
      </c>
      <c r="R582" s="4">
        <v>22.25</v>
      </c>
      <c r="S582" s="4">
        <v>0</v>
      </c>
      <c r="T582" t="s">
        <v>31</v>
      </c>
      <c r="U582" s="4">
        <v>1.84</v>
      </c>
      <c r="V582" s="4">
        <v>2.5870000000000002</v>
      </c>
      <c r="W582" s="4">
        <v>22.25</v>
      </c>
    </row>
    <row r="583" spans="1:23" ht="15" customHeight="1" x14ac:dyDescent="0.25">
      <c r="A583">
        <v>1937</v>
      </c>
      <c r="B583" s="1">
        <v>45754</v>
      </c>
      <c r="C583">
        <v>0</v>
      </c>
      <c r="D583" t="s">
        <v>57</v>
      </c>
      <c r="E583">
        <v>4</v>
      </c>
      <c r="F583" t="s">
        <v>35</v>
      </c>
      <c r="G583" t="s">
        <v>33</v>
      </c>
      <c r="H583" t="s">
        <v>52</v>
      </c>
      <c r="I583" t="s">
        <v>13</v>
      </c>
      <c r="J583" t="s">
        <v>21</v>
      </c>
      <c r="K583" s="2">
        <v>9800</v>
      </c>
      <c r="L583" s="3">
        <v>9.9</v>
      </c>
      <c r="M583" s="3">
        <v>95.5</v>
      </c>
      <c r="N583" s="3">
        <v>0</v>
      </c>
      <c r="O583" s="2">
        <v>314</v>
      </c>
      <c r="P583">
        <v>1</v>
      </c>
      <c r="Q583" t="s">
        <v>17</v>
      </c>
      <c r="R583" s="4">
        <v>102.34</v>
      </c>
      <c r="S583" s="4">
        <v>0</v>
      </c>
      <c r="T583" t="s">
        <v>31</v>
      </c>
      <c r="U583" s="4">
        <v>9.1199999999999992</v>
      </c>
      <c r="V583" s="4">
        <v>10.443</v>
      </c>
      <c r="W583" s="4">
        <v>102.34</v>
      </c>
    </row>
    <row r="584" spans="1:23" ht="15" customHeight="1" x14ac:dyDescent="0.25">
      <c r="A584">
        <v>834</v>
      </c>
      <c r="B584" s="1">
        <v>45754.333333333343</v>
      </c>
      <c r="C584">
        <v>8</v>
      </c>
      <c r="D584" t="s">
        <v>57</v>
      </c>
      <c r="E584">
        <v>4</v>
      </c>
      <c r="F584" t="s">
        <v>35</v>
      </c>
      <c r="G584" t="s">
        <v>33</v>
      </c>
      <c r="H584" t="s">
        <v>50</v>
      </c>
      <c r="I584" t="s">
        <v>22</v>
      </c>
      <c r="J584" t="s">
        <v>12</v>
      </c>
      <c r="K584" s="2">
        <v>21000</v>
      </c>
      <c r="L584" s="3">
        <v>18.899999999999999</v>
      </c>
      <c r="M584" s="3">
        <v>58.3</v>
      </c>
      <c r="N584" s="3">
        <v>158.80000000000001</v>
      </c>
      <c r="O584" s="2">
        <v>418</v>
      </c>
      <c r="P584">
        <v>0</v>
      </c>
      <c r="Q584" t="s">
        <v>14</v>
      </c>
      <c r="R584" s="4">
        <v>219.61</v>
      </c>
      <c r="S584" s="4">
        <v>29.53</v>
      </c>
      <c r="T584" t="s">
        <v>34</v>
      </c>
      <c r="U584" s="4">
        <v>27.18</v>
      </c>
      <c r="V584" s="4">
        <v>10.458</v>
      </c>
      <c r="W584" s="4">
        <v>190.08</v>
      </c>
    </row>
    <row r="585" spans="1:23" ht="15" customHeight="1" x14ac:dyDescent="0.25">
      <c r="A585">
        <v>1202</v>
      </c>
      <c r="B585" s="1">
        <v>45754.333333333343</v>
      </c>
      <c r="C585">
        <v>8</v>
      </c>
      <c r="D585" t="s">
        <v>57</v>
      </c>
      <c r="E585">
        <v>4</v>
      </c>
      <c r="F585" t="s">
        <v>35</v>
      </c>
      <c r="G585" t="s">
        <v>33</v>
      </c>
      <c r="H585" t="s">
        <v>51</v>
      </c>
      <c r="I585" t="s">
        <v>25</v>
      </c>
      <c r="J585" t="s">
        <v>15</v>
      </c>
      <c r="K585" s="2">
        <v>17400</v>
      </c>
      <c r="L585" s="3">
        <v>15.3</v>
      </c>
      <c r="M585" s="3">
        <v>73.599999999999994</v>
      </c>
      <c r="N585" s="3">
        <v>190.1</v>
      </c>
      <c r="O585" s="2">
        <v>29</v>
      </c>
      <c r="P585">
        <v>0</v>
      </c>
      <c r="Q585" t="s">
        <v>14</v>
      </c>
      <c r="R585" s="4">
        <v>37.01</v>
      </c>
      <c r="S585" s="4">
        <v>23.68</v>
      </c>
      <c r="T585" t="s">
        <v>34</v>
      </c>
      <c r="U585" s="4">
        <v>1.87</v>
      </c>
      <c r="V585" s="4">
        <v>2.1269999999999998</v>
      </c>
      <c r="W585" s="4">
        <v>13.33</v>
      </c>
    </row>
    <row r="586" spans="1:23" ht="15" customHeight="1" x14ac:dyDescent="0.25">
      <c r="A586">
        <v>1938</v>
      </c>
      <c r="B586" s="1">
        <v>45754.333333333343</v>
      </c>
      <c r="C586">
        <v>8</v>
      </c>
      <c r="D586" t="s">
        <v>57</v>
      </c>
      <c r="E586">
        <v>4</v>
      </c>
      <c r="F586" t="s">
        <v>35</v>
      </c>
      <c r="G586" t="s">
        <v>33</v>
      </c>
      <c r="H586" t="s">
        <v>52</v>
      </c>
      <c r="I586" t="s">
        <v>13</v>
      </c>
      <c r="J586" t="s">
        <v>21</v>
      </c>
      <c r="K586" s="2">
        <v>9800</v>
      </c>
      <c r="L586" s="3">
        <v>8.1999999999999993</v>
      </c>
      <c r="M586" s="3">
        <v>74.099999999999994</v>
      </c>
      <c r="N586" s="3">
        <v>219.6</v>
      </c>
      <c r="O586" s="2">
        <v>58</v>
      </c>
      <c r="P586">
        <v>1</v>
      </c>
      <c r="Q586" t="s">
        <v>17</v>
      </c>
      <c r="R586" s="4">
        <v>22.81</v>
      </c>
      <c r="S586" s="4">
        <v>0</v>
      </c>
      <c r="T586" t="s">
        <v>34</v>
      </c>
      <c r="U586" s="4">
        <v>3.15</v>
      </c>
      <c r="V586" s="4">
        <v>2.3279999999999998</v>
      </c>
      <c r="W586" s="4">
        <v>22.81</v>
      </c>
    </row>
    <row r="587" spans="1:23" ht="15" customHeight="1" x14ac:dyDescent="0.25">
      <c r="A587">
        <v>98</v>
      </c>
      <c r="B587" s="1">
        <v>45754.333333333343</v>
      </c>
      <c r="C587">
        <v>8</v>
      </c>
      <c r="D587" t="s">
        <v>57</v>
      </c>
      <c r="E587">
        <v>4</v>
      </c>
      <c r="F587" t="s">
        <v>35</v>
      </c>
      <c r="G587" t="s">
        <v>33</v>
      </c>
      <c r="H587" t="s">
        <v>53</v>
      </c>
      <c r="I587" t="s">
        <v>19</v>
      </c>
      <c r="J587" t="s">
        <v>26</v>
      </c>
      <c r="K587" s="2">
        <v>12500</v>
      </c>
      <c r="L587" s="3">
        <v>11.8</v>
      </c>
      <c r="M587" s="3">
        <v>59.8</v>
      </c>
      <c r="N587" s="3">
        <v>204.6</v>
      </c>
      <c r="O587" s="2">
        <v>414</v>
      </c>
      <c r="P587">
        <v>1</v>
      </c>
      <c r="Q587" t="s">
        <v>17</v>
      </c>
      <c r="R587" s="4">
        <v>68.150000000000006</v>
      </c>
      <c r="S587" s="4">
        <v>32.200000000000003</v>
      </c>
      <c r="T587" t="s">
        <v>34</v>
      </c>
      <c r="U587" s="4">
        <v>4.87</v>
      </c>
      <c r="V587" s="4">
        <v>5.452</v>
      </c>
      <c r="W587" s="4">
        <v>35.950000000000003</v>
      </c>
    </row>
    <row r="588" spans="1:23" ht="15" customHeight="1" x14ac:dyDescent="0.25">
      <c r="A588">
        <v>466</v>
      </c>
      <c r="B588" s="1">
        <v>45754.333333333343</v>
      </c>
      <c r="C588">
        <v>8</v>
      </c>
      <c r="D588" t="s">
        <v>57</v>
      </c>
      <c r="E588">
        <v>4</v>
      </c>
      <c r="F588" t="s">
        <v>35</v>
      </c>
      <c r="G588" t="s">
        <v>33</v>
      </c>
      <c r="H588" t="s">
        <v>54</v>
      </c>
      <c r="I588" t="s">
        <v>16</v>
      </c>
      <c r="J588" t="s">
        <v>24</v>
      </c>
      <c r="K588" s="2">
        <v>8600</v>
      </c>
      <c r="L588" s="3">
        <v>12.9</v>
      </c>
      <c r="M588" s="3">
        <v>88.5</v>
      </c>
      <c r="N588" s="3">
        <v>166.1</v>
      </c>
      <c r="O588" s="2">
        <v>786</v>
      </c>
      <c r="P588">
        <v>1</v>
      </c>
      <c r="Q588" t="s">
        <v>17</v>
      </c>
      <c r="R588" s="4">
        <v>83.19</v>
      </c>
      <c r="S588" s="4">
        <v>12.72</v>
      </c>
      <c r="T588" t="s">
        <v>34</v>
      </c>
      <c r="U588" s="4">
        <v>10.01</v>
      </c>
      <c r="V588" s="4">
        <v>9.673</v>
      </c>
      <c r="W588" s="4">
        <v>70.47</v>
      </c>
    </row>
    <row r="589" spans="1:23" ht="15" customHeight="1" x14ac:dyDescent="0.25">
      <c r="A589">
        <v>1570</v>
      </c>
      <c r="B589" s="1">
        <v>45754.333333333343</v>
      </c>
      <c r="C589">
        <v>8</v>
      </c>
      <c r="D589" t="s">
        <v>57</v>
      </c>
      <c r="E589">
        <v>4</v>
      </c>
      <c r="F589" t="s">
        <v>35</v>
      </c>
      <c r="G589" t="s">
        <v>33</v>
      </c>
      <c r="H589" t="s">
        <v>49</v>
      </c>
      <c r="I589" t="s">
        <v>27</v>
      </c>
      <c r="J589" t="s">
        <v>18</v>
      </c>
      <c r="K589" s="2">
        <v>26000</v>
      </c>
      <c r="L589" s="3">
        <v>12.9</v>
      </c>
      <c r="M589" s="3">
        <v>69.099999999999994</v>
      </c>
      <c r="N589" s="3">
        <v>156.9</v>
      </c>
      <c r="O589" s="2">
        <v>143</v>
      </c>
      <c r="P589">
        <v>1</v>
      </c>
      <c r="Q589" t="s">
        <v>17</v>
      </c>
      <c r="R589" s="4">
        <v>153.32</v>
      </c>
      <c r="S589" s="4">
        <v>43.81</v>
      </c>
      <c r="T589" t="s">
        <v>34</v>
      </c>
      <c r="U589" s="4">
        <v>15.24</v>
      </c>
      <c r="V589" s="4">
        <v>5.8970000000000002</v>
      </c>
      <c r="W589" s="4">
        <v>109.51</v>
      </c>
    </row>
    <row r="590" spans="1:23" ht="15" customHeight="1" x14ac:dyDescent="0.25">
      <c r="A590">
        <v>835</v>
      </c>
      <c r="B590" s="1">
        <v>45754.583333333343</v>
      </c>
      <c r="C590">
        <v>14</v>
      </c>
      <c r="D590" t="s">
        <v>57</v>
      </c>
      <c r="E590">
        <v>4</v>
      </c>
      <c r="F590" t="s">
        <v>35</v>
      </c>
      <c r="G590" t="s">
        <v>33</v>
      </c>
      <c r="H590" t="s">
        <v>50</v>
      </c>
      <c r="I590" t="s">
        <v>22</v>
      </c>
      <c r="J590" t="s">
        <v>12</v>
      </c>
      <c r="K590" s="2">
        <v>21000</v>
      </c>
      <c r="L590" s="3">
        <v>25.2</v>
      </c>
      <c r="M590" s="3"/>
      <c r="N590" s="3">
        <v>577.1</v>
      </c>
      <c r="O590" s="2">
        <v>433</v>
      </c>
      <c r="P590">
        <v>1</v>
      </c>
      <c r="Q590" t="s">
        <v>20</v>
      </c>
      <c r="R590" s="4">
        <v>212.19</v>
      </c>
      <c r="S590" s="4">
        <v>124.78</v>
      </c>
      <c r="T590" t="s">
        <v>34</v>
      </c>
      <c r="U590" s="4">
        <v>11.7</v>
      </c>
      <c r="V590" s="4">
        <v>10.103999999999999</v>
      </c>
      <c r="W590" s="4">
        <v>87.41</v>
      </c>
    </row>
    <row r="591" spans="1:23" ht="15" customHeight="1" x14ac:dyDescent="0.25">
      <c r="A591">
        <v>467</v>
      </c>
      <c r="B591" s="1">
        <v>45754.583333333343</v>
      </c>
      <c r="C591">
        <v>14</v>
      </c>
      <c r="D591" t="s">
        <v>57</v>
      </c>
      <c r="E591">
        <v>4</v>
      </c>
      <c r="F591" t="s">
        <v>35</v>
      </c>
      <c r="G591" t="s">
        <v>33</v>
      </c>
      <c r="H591" t="s">
        <v>54</v>
      </c>
      <c r="I591" t="s">
        <v>16</v>
      </c>
      <c r="J591" t="s">
        <v>24</v>
      </c>
      <c r="K591" s="2">
        <v>8600</v>
      </c>
      <c r="L591" s="3">
        <v>17.3</v>
      </c>
      <c r="M591" s="3">
        <v>95.9</v>
      </c>
      <c r="N591" s="3"/>
      <c r="O591" s="2">
        <v>827</v>
      </c>
      <c r="P591">
        <v>0</v>
      </c>
      <c r="Q591" t="s">
        <v>14</v>
      </c>
      <c r="R591" s="4">
        <v>85.86</v>
      </c>
      <c r="S591" s="4">
        <v>26.44</v>
      </c>
      <c r="T591" t="s">
        <v>34</v>
      </c>
      <c r="U591" s="4">
        <v>8.35</v>
      </c>
      <c r="V591" s="4">
        <v>9.984</v>
      </c>
      <c r="W591" s="4">
        <v>59.42</v>
      </c>
    </row>
    <row r="592" spans="1:23" ht="15" customHeight="1" x14ac:dyDescent="0.25">
      <c r="A592">
        <v>99</v>
      </c>
      <c r="B592" s="1">
        <v>45754.583333333343</v>
      </c>
      <c r="C592">
        <v>14</v>
      </c>
      <c r="D592" t="s">
        <v>57</v>
      </c>
      <c r="E592">
        <v>4</v>
      </c>
      <c r="F592" t="s">
        <v>35</v>
      </c>
      <c r="G592" t="s">
        <v>33</v>
      </c>
      <c r="H592" t="s">
        <v>53</v>
      </c>
      <c r="I592" t="s">
        <v>19</v>
      </c>
      <c r="J592" t="s">
        <v>26</v>
      </c>
      <c r="K592" s="2">
        <v>12500</v>
      </c>
      <c r="L592" s="3">
        <v>21.1</v>
      </c>
      <c r="M592" s="3">
        <v>53.7</v>
      </c>
      <c r="N592" s="3">
        <v>601.6</v>
      </c>
      <c r="O592" s="2">
        <v>617</v>
      </c>
      <c r="P592">
        <v>0</v>
      </c>
      <c r="Q592" t="s">
        <v>14</v>
      </c>
      <c r="R592" s="4">
        <v>105.17</v>
      </c>
      <c r="S592" s="4">
        <v>91.01</v>
      </c>
      <c r="T592" t="s">
        <v>34</v>
      </c>
      <c r="U592" s="4">
        <v>1.9</v>
      </c>
      <c r="V592" s="4">
        <v>8.4139999999999997</v>
      </c>
      <c r="W592" s="4">
        <v>14.16</v>
      </c>
    </row>
    <row r="593" spans="1:23" ht="15" customHeight="1" x14ac:dyDescent="0.25">
      <c r="A593">
        <v>1203</v>
      </c>
      <c r="B593" s="1">
        <v>45754.583333333343</v>
      </c>
      <c r="C593">
        <v>14</v>
      </c>
      <c r="D593" t="s">
        <v>57</v>
      </c>
      <c r="E593">
        <v>4</v>
      </c>
      <c r="F593" t="s">
        <v>35</v>
      </c>
      <c r="G593" t="s">
        <v>33</v>
      </c>
      <c r="H593" t="s">
        <v>51</v>
      </c>
      <c r="I593" t="s">
        <v>25</v>
      </c>
      <c r="J593" t="s">
        <v>15</v>
      </c>
      <c r="K593" s="2">
        <v>17400</v>
      </c>
      <c r="L593" s="3">
        <v>23.1</v>
      </c>
      <c r="M593" s="3">
        <v>67.8</v>
      </c>
      <c r="N593" s="3">
        <v>743.3</v>
      </c>
      <c r="O593" s="2">
        <v>1393</v>
      </c>
      <c r="P593">
        <v>1</v>
      </c>
      <c r="Q593" t="s">
        <v>23</v>
      </c>
      <c r="R593" s="4">
        <v>194.86</v>
      </c>
      <c r="S593" s="4">
        <v>87.24</v>
      </c>
      <c r="T593" t="s">
        <v>34</v>
      </c>
      <c r="U593" s="4">
        <v>15.2</v>
      </c>
      <c r="V593" s="4">
        <v>11.199</v>
      </c>
      <c r="W593" s="4">
        <v>107.62</v>
      </c>
    </row>
    <row r="594" spans="1:23" ht="15" customHeight="1" x14ac:dyDescent="0.25">
      <c r="A594">
        <v>1939</v>
      </c>
      <c r="B594" s="1">
        <v>45754.583333333343</v>
      </c>
      <c r="C594">
        <v>14</v>
      </c>
      <c r="D594" t="s">
        <v>57</v>
      </c>
      <c r="E594">
        <v>4</v>
      </c>
      <c r="F594" t="s">
        <v>35</v>
      </c>
      <c r="G594" t="s">
        <v>33</v>
      </c>
      <c r="H594" t="s">
        <v>52</v>
      </c>
      <c r="I594" t="s">
        <v>13</v>
      </c>
      <c r="J594" t="s">
        <v>21</v>
      </c>
      <c r="K594" s="2">
        <v>9800</v>
      </c>
      <c r="L594" s="3">
        <v>24.8</v>
      </c>
      <c r="M594" s="3">
        <v>68.900000000000006</v>
      </c>
      <c r="N594" s="3">
        <v>470.5</v>
      </c>
      <c r="O594" s="2">
        <v>77</v>
      </c>
      <c r="P594">
        <v>1</v>
      </c>
      <c r="Q594" t="s">
        <v>20</v>
      </c>
      <c r="R594" s="4">
        <v>22.62</v>
      </c>
      <c r="S594" s="4">
        <v>0</v>
      </c>
      <c r="T594" t="s">
        <v>34</v>
      </c>
      <c r="U594" s="4">
        <v>3.19</v>
      </c>
      <c r="V594" s="4">
        <v>2.3079999999999998</v>
      </c>
      <c r="W594" s="4">
        <v>22.62</v>
      </c>
    </row>
    <row r="595" spans="1:23" ht="15" customHeight="1" x14ac:dyDescent="0.25">
      <c r="A595">
        <v>1571</v>
      </c>
      <c r="B595" s="1">
        <v>45754.583333333343</v>
      </c>
      <c r="C595">
        <v>14</v>
      </c>
      <c r="D595" t="s">
        <v>57</v>
      </c>
      <c r="E595">
        <v>4</v>
      </c>
      <c r="F595" t="s">
        <v>35</v>
      </c>
      <c r="G595" t="s">
        <v>33</v>
      </c>
      <c r="H595" t="s">
        <v>49</v>
      </c>
      <c r="I595" t="s">
        <v>27</v>
      </c>
      <c r="J595" t="s">
        <v>18</v>
      </c>
      <c r="K595" s="2">
        <v>26000</v>
      </c>
      <c r="L595" s="3">
        <v>17.399999999999999</v>
      </c>
      <c r="M595" s="3">
        <v>74.3</v>
      </c>
      <c r="N595" s="3">
        <v>523.20000000000005</v>
      </c>
      <c r="O595" s="2">
        <v>156</v>
      </c>
      <c r="P595">
        <v>0</v>
      </c>
      <c r="Q595" t="s">
        <v>14</v>
      </c>
      <c r="R595" s="4">
        <v>149.61000000000001</v>
      </c>
      <c r="S595" s="4">
        <v>135.26</v>
      </c>
      <c r="T595" t="s">
        <v>34</v>
      </c>
      <c r="U595" s="4">
        <v>2.0499999999999998</v>
      </c>
      <c r="V595" s="4">
        <v>5.7539999999999996</v>
      </c>
      <c r="W595" s="4">
        <v>14.35</v>
      </c>
    </row>
    <row r="596" spans="1:23" ht="15" customHeight="1" x14ac:dyDescent="0.25">
      <c r="A596">
        <v>1940</v>
      </c>
      <c r="B596" s="1">
        <v>45754.833333333343</v>
      </c>
      <c r="C596">
        <v>20</v>
      </c>
      <c r="D596" t="s">
        <v>57</v>
      </c>
      <c r="E596">
        <v>4</v>
      </c>
      <c r="F596" t="s">
        <v>35</v>
      </c>
      <c r="G596" t="s">
        <v>33</v>
      </c>
      <c r="H596" t="s">
        <v>52</v>
      </c>
      <c r="I596" t="s">
        <v>13</v>
      </c>
      <c r="J596" t="s">
        <v>21</v>
      </c>
      <c r="K596" s="2">
        <v>9800</v>
      </c>
      <c r="L596" s="3">
        <v>16.399999999999999</v>
      </c>
      <c r="M596" s="3">
        <v>91.7</v>
      </c>
      <c r="N596" s="3">
        <v>0</v>
      </c>
      <c r="O596" s="2">
        <v>306</v>
      </c>
      <c r="P596">
        <v>0</v>
      </c>
      <c r="Q596" t="s">
        <v>14</v>
      </c>
      <c r="R596" s="4">
        <v>97.28</v>
      </c>
      <c r="S596" s="4">
        <v>0</v>
      </c>
      <c r="T596" t="s">
        <v>37</v>
      </c>
      <c r="U596" s="4">
        <v>20.16</v>
      </c>
      <c r="V596" s="4">
        <v>9.9269999999999996</v>
      </c>
      <c r="W596" s="4">
        <v>97.28</v>
      </c>
    </row>
    <row r="597" spans="1:23" ht="15" customHeight="1" x14ac:dyDescent="0.25">
      <c r="A597">
        <v>100</v>
      </c>
      <c r="B597" s="1">
        <v>45754.833333333343</v>
      </c>
      <c r="C597">
        <v>20</v>
      </c>
      <c r="D597" t="s">
        <v>57</v>
      </c>
      <c r="E597">
        <v>4</v>
      </c>
      <c r="F597" t="s">
        <v>35</v>
      </c>
      <c r="G597" t="s">
        <v>33</v>
      </c>
      <c r="H597" t="s">
        <v>53</v>
      </c>
      <c r="I597" t="s">
        <v>19</v>
      </c>
      <c r="J597" t="s">
        <v>26</v>
      </c>
      <c r="K597" s="2">
        <v>12500</v>
      </c>
      <c r="L597" s="3">
        <v>14.5</v>
      </c>
      <c r="M597" s="3">
        <v>62.8</v>
      </c>
      <c r="N597" s="3">
        <v>0</v>
      </c>
      <c r="O597" s="2">
        <v>99</v>
      </c>
      <c r="P597">
        <v>1</v>
      </c>
      <c r="Q597" t="s">
        <v>23</v>
      </c>
      <c r="R597" s="4">
        <v>42.51</v>
      </c>
      <c r="S597" s="4">
        <v>0</v>
      </c>
      <c r="T597" t="s">
        <v>37</v>
      </c>
      <c r="U597" s="4">
        <v>9.09</v>
      </c>
      <c r="V597" s="4">
        <v>3.4009999999999998</v>
      </c>
      <c r="W597" s="4">
        <v>42.51</v>
      </c>
    </row>
    <row r="598" spans="1:23" ht="15" customHeight="1" x14ac:dyDescent="0.25">
      <c r="A598">
        <v>836</v>
      </c>
      <c r="B598" s="1">
        <v>45754.833333333343</v>
      </c>
      <c r="C598">
        <v>20</v>
      </c>
      <c r="D598" t="s">
        <v>57</v>
      </c>
      <c r="E598">
        <v>4</v>
      </c>
      <c r="F598" t="s">
        <v>35</v>
      </c>
      <c r="G598" t="s">
        <v>33</v>
      </c>
      <c r="H598" t="s">
        <v>50</v>
      </c>
      <c r="I598" t="s">
        <v>22</v>
      </c>
      <c r="J598" t="s">
        <v>12</v>
      </c>
      <c r="K598" s="2">
        <v>21000</v>
      </c>
      <c r="L598" s="3">
        <v>22.6</v>
      </c>
      <c r="M598" s="3">
        <v>68.3</v>
      </c>
      <c r="N598" s="3">
        <v>0</v>
      </c>
      <c r="O598" s="2">
        <v>407</v>
      </c>
      <c r="P598">
        <v>0</v>
      </c>
      <c r="Q598" t="s">
        <v>14</v>
      </c>
      <c r="R598" s="4">
        <v>300.74</v>
      </c>
      <c r="S598" s="4">
        <v>0</v>
      </c>
      <c r="T598" t="s">
        <v>37</v>
      </c>
      <c r="U598" s="4">
        <v>63.76</v>
      </c>
      <c r="V598" s="4">
        <v>14.321</v>
      </c>
      <c r="W598" s="4">
        <v>300.74</v>
      </c>
    </row>
    <row r="599" spans="1:23" ht="15" customHeight="1" x14ac:dyDescent="0.25">
      <c r="A599">
        <v>1572</v>
      </c>
      <c r="B599" s="1">
        <v>45754.833333333343</v>
      </c>
      <c r="C599">
        <v>20</v>
      </c>
      <c r="D599" t="s">
        <v>57</v>
      </c>
      <c r="E599">
        <v>4</v>
      </c>
      <c r="F599" t="s">
        <v>35</v>
      </c>
      <c r="G599" t="s">
        <v>33</v>
      </c>
      <c r="H599" t="s">
        <v>49</v>
      </c>
      <c r="I599" t="s">
        <v>27</v>
      </c>
      <c r="J599" t="s">
        <v>18</v>
      </c>
      <c r="K599" s="2">
        <v>26000</v>
      </c>
      <c r="L599" s="3">
        <v>19</v>
      </c>
      <c r="M599" s="3">
        <v>61</v>
      </c>
      <c r="N599" s="3">
        <v>0</v>
      </c>
      <c r="O599" s="2">
        <v>157</v>
      </c>
      <c r="P599">
        <v>0</v>
      </c>
      <c r="Q599" t="s">
        <v>14</v>
      </c>
      <c r="R599" s="4">
        <v>247.89</v>
      </c>
      <c r="S599" s="4">
        <v>0</v>
      </c>
      <c r="T599" t="s">
        <v>37</v>
      </c>
      <c r="U599" s="4">
        <v>52.48</v>
      </c>
      <c r="V599" s="4">
        <v>9.5340000000000007</v>
      </c>
      <c r="W599" s="4">
        <v>247.89</v>
      </c>
    </row>
    <row r="600" spans="1:23" ht="15" customHeight="1" x14ac:dyDescent="0.25">
      <c r="A600">
        <v>468</v>
      </c>
      <c r="B600" s="1">
        <v>45754.833333333343</v>
      </c>
      <c r="C600">
        <v>20</v>
      </c>
      <c r="D600" t="s">
        <v>57</v>
      </c>
      <c r="E600">
        <v>4</v>
      </c>
      <c r="F600" t="s">
        <v>35</v>
      </c>
      <c r="G600" t="s">
        <v>33</v>
      </c>
      <c r="H600" t="s">
        <v>54</v>
      </c>
      <c r="I600" t="s">
        <v>16</v>
      </c>
      <c r="J600" t="s">
        <v>24</v>
      </c>
      <c r="K600" s="2">
        <v>8600</v>
      </c>
      <c r="L600" s="3">
        <v>13.5</v>
      </c>
      <c r="M600" s="3"/>
      <c r="N600" s="3">
        <v>0</v>
      </c>
      <c r="O600" s="2">
        <v>107</v>
      </c>
      <c r="P600">
        <v>1</v>
      </c>
      <c r="Q600" t="s">
        <v>17</v>
      </c>
      <c r="R600" s="4">
        <v>25.45</v>
      </c>
      <c r="S600" s="4">
        <v>0</v>
      </c>
      <c r="T600" t="s">
        <v>37</v>
      </c>
      <c r="U600" s="4">
        <v>5.54</v>
      </c>
      <c r="V600" s="4">
        <v>2.9590000000000001</v>
      </c>
      <c r="W600" s="4">
        <v>25.45</v>
      </c>
    </row>
    <row r="601" spans="1:23" ht="15" customHeight="1" x14ac:dyDescent="0.25">
      <c r="A601">
        <v>1204</v>
      </c>
      <c r="B601" s="1">
        <v>45754.833333333343</v>
      </c>
      <c r="C601">
        <v>20</v>
      </c>
      <c r="D601" t="s">
        <v>57</v>
      </c>
      <c r="E601">
        <v>4</v>
      </c>
      <c r="F601" t="s">
        <v>35</v>
      </c>
      <c r="G601" t="s">
        <v>33</v>
      </c>
      <c r="H601" t="s">
        <v>51</v>
      </c>
      <c r="I601" t="s">
        <v>25</v>
      </c>
      <c r="J601" t="s">
        <v>15</v>
      </c>
      <c r="K601" s="2">
        <v>17400</v>
      </c>
      <c r="L601" s="3">
        <v>20.3</v>
      </c>
      <c r="M601" s="3">
        <v>76.7</v>
      </c>
      <c r="N601" s="3">
        <v>0</v>
      </c>
      <c r="O601" s="2">
        <v>1363</v>
      </c>
      <c r="P601">
        <v>0</v>
      </c>
      <c r="Q601" t="s">
        <v>14</v>
      </c>
      <c r="R601" s="4">
        <v>290.77999999999997</v>
      </c>
      <c r="S601" s="4">
        <v>0</v>
      </c>
      <c r="T601" t="s">
        <v>37</v>
      </c>
      <c r="U601" s="4">
        <v>62.75</v>
      </c>
      <c r="V601" s="4">
        <v>16.710999999999999</v>
      </c>
      <c r="W601" s="4">
        <v>290.77999999999997</v>
      </c>
    </row>
    <row r="602" spans="1:23" ht="15" customHeight="1" x14ac:dyDescent="0.25">
      <c r="A602">
        <v>1941</v>
      </c>
      <c r="B602" s="1">
        <v>45758</v>
      </c>
      <c r="C602">
        <v>0</v>
      </c>
      <c r="D602" t="s">
        <v>58</v>
      </c>
      <c r="E602">
        <v>4</v>
      </c>
      <c r="F602" t="s">
        <v>35</v>
      </c>
      <c r="G602" t="s">
        <v>33</v>
      </c>
      <c r="H602" t="s">
        <v>52</v>
      </c>
      <c r="I602" t="s">
        <v>13</v>
      </c>
      <c r="J602" t="s">
        <v>21</v>
      </c>
      <c r="K602" s="2">
        <v>9800</v>
      </c>
      <c r="L602" s="3">
        <v>9.6999999999999993</v>
      </c>
      <c r="M602" s="3">
        <v>92.6</v>
      </c>
      <c r="N602" s="3">
        <v>0</v>
      </c>
      <c r="O602" s="2">
        <v>300</v>
      </c>
      <c r="P602">
        <v>1</v>
      </c>
      <c r="Q602" t="s">
        <v>17</v>
      </c>
      <c r="R602" s="4">
        <v>100.21</v>
      </c>
      <c r="S602" s="4">
        <v>0</v>
      </c>
      <c r="T602" t="s">
        <v>31</v>
      </c>
      <c r="U602" s="4">
        <v>8.51</v>
      </c>
      <c r="V602" s="4">
        <v>10.226000000000001</v>
      </c>
      <c r="W602" s="4">
        <v>100.21</v>
      </c>
    </row>
    <row r="603" spans="1:23" ht="15" customHeight="1" x14ac:dyDescent="0.25">
      <c r="A603">
        <v>1573</v>
      </c>
      <c r="B603" s="1">
        <v>45758</v>
      </c>
      <c r="C603">
        <v>0</v>
      </c>
      <c r="D603" t="s">
        <v>58</v>
      </c>
      <c r="E603">
        <v>4</v>
      </c>
      <c r="F603" t="s">
        <v>35</v>
      </c>
      <c r="G603" t="s">
        <v>33</v>
      </c>
      <c r="H603" t="s">
        <v>49</v>
      </c>
      <c r="I603" t="s">
        <v>27</v>
      </c>
      <c r="J603" t="s">
        <v>18</v>
      </c>
      <c r="K603" s="2">
        <v>26000</v>
      </c>
      <c r="L603" s="3">
        <v>11.1</v>
      </c>
      <c r="M603" s="3">
        <v>71.5</v>
      </c>
      <c r="N603" s="3">
        <v>0</v>
      </c>
      <c r="O603" s="2">
        <v>76</v>
      </c>
      <c r="P603">
        <v>1</v>
      </c>
      <c r="Q603" t="s">
        <v>17</v>
      </c>
      <c r="R603" s="4">
        <v>114.66</v>
      </c>
      <c r="S603" s="4">
        <v>0</v>
      </c>
      <c r="T603" t="s">
        <v>31</v>
      </c>
      <c r="U603" s="4">
        <v>9.84</v>
      </c>
      <c r="V603" s="4">
        <v>4.41</v>
      </c>
      <c r="W603" s="4">
        <v>114.66</v>
      </c>
    </row>
    <row r="604" spans="1:23" ht="15" customHeight="1" x14ac:dyDescent="0.25">
      <c r="A604">
        <v>469</v>
      </c>
      <c r="B604" s="1">
        <v>45758</v>
      </c>
      <c r="C604">
        <v>0</v>
      </c>
      <c r="D604" t="s">
        <v>58</v>
      </c>
      <c r="E604">
        <v>4</v>
      </c>
      <c r="F604" t="s">
        <v>35</v>
      </c>
      <c r="G604" t="s">
        <v>33</v>
      </c>
      <c r="H604" t="s">
        <v>54</v>
      </c>
      <c r="I604" t="s">
        <v>16</v>
      </c>
      <c r="J604" t="s">
        <v>24</v>
      </c>
      <c r="K604" s="2">
        <v>8600</v>
      </c>
      <c r="L604" s="3">
        <v>9.9</v>
      </c>
      <c r="M604" s="3">
        <v>86.2</v>
      </c>
      <c r="N604" s="3">
        <v>0</v>
      </c>
      <c r="O604" s="2"/>
      <c r="P604">
        <v>1</v>
      </c>
      <c r="Q604" t="s">
        <v>17</v>
      </c>
      <c r="R604" s="4">
        <v>23.28</v>
      </c>
      <c r="S604" s="4">
        <v>0</v>
      </c>
      <c r="T604" t="s">
        <v>31</v>
      </c>
      <c r="U604" s="4">
        <v>2.0299999999999998</v>
      </c>
      <c r="V604" s="4">
        <v>2.7069999999999999</v>
      </c>
      <c r="W604" s="4">
        <v>23.28</v>
      </c>
    </row>
    <row r="605" spans="1:23" ht="15" customHeight="1" x14ac:dyDescent="0.25">
      <c r="A605">
        <v>1205</v>
      </c>
      <c r="B605" s="1">
        <v>45758</v>
      </c>
      <c r="C605">
        <v>0</v>
      </c>
      <c r="D605" t="s">
        <v>58</v>
      </c>
      <c r="E605">
        <v>4</v>
      </c>
      <c r="F605" t="s">
        <v>35</v>
      </c>
      <c r="G605" t="s">
        <v>33</v>
      </c>
      <c r="H605" t="s">
        <v>51</v>
      </c>
      <c r="I605" t="s">
        <v>25</v>
      </c>
      <c r="J605" t="s">
        <v>15</v>
      </c>
      <c r="K605" s="2">
        <v>17400</v>
      </c>
      <c r="L605" s="3">
        <v>12.4</v>
      </c>
      <c r="M605" s="3">
        <v>74.900000000000006</v>
      </c>
      <c r="N605" s="3">
        <v>0</v>
      </c>
      <c r="O605" s="2">
        <v>0</v>
      </c>
      <c r="P605">
        <v>0</v>
      </c>
      <c r="Q605" t="s">
        <v>14</v>
      </c>
      <c r="R605" s="4">
        <v>43.82</v>
      </c>
      <c r="S605" s="4">
        <v>0</v>
      </c>
      <c r="T605" t="s">
        <v>31</v>
      </c>
      <c r="U605" s="4">
        <v>3.79</v>
      </c>
      <c r="V605" s="4">
        <v>2.5179999999999998</v>
      </c>
      <c r="W605" s="4">
        <v>43.82</v>
      </c>
    </row>
    <row r="606" spans="1:23" ht="15" customHeight="1" x14ac:dyDescent="0.25">
      <c r="A606">
        <v>101</v>
      </c>
      <c r="B606" s="1">
        <v>45758</v>
      </c>
      <c r="C606">
        <v>0</v>
      </c>
      <c r="D606" t="s">
        <v>58</v>
      </c>
      <c r="E606">
        <v>4</v>
      </c>
      <c r="F606" t="s">
        <v>35</v>
      </c>
      <c r="G606" t="s">
        <v>33</v>
      </c>
      <c r="H606" t="s">
        <v>53</v>
      </c>
      <c r="I606" t="s">
        <v>19</v>
      </c>
      <c r="J606" t="s">
        <v>26</v>
      </c>
      <c r="K606" s="2">
        <v>12500</v>
      </c>
      <c r="L606" s="3">
        <v>13.2</v>
      </c>
      <c r="M606" s="3">
        <v>73.599999999999994</v>
      </c>
      <c r="N606" s="3">
        <v>0</v>
      </c>
      <c r="O606" s="2">
        <v>9</v>
      </c>
      <c r="P606">
        <v>0</v>
      </c>
      <c r="Q606" t="s">
        <v>14</v>
      </c>
      <c r="R606" s="4">
        <v>23.65</v>
      </c>
      <c r="S606" s="4">
        <v>0</v>
      </c>
      <c r="T606" t="s">
        <v>31</v>
      </c>
      <c r="U606" s="4">
        <v>2.0099999999999998</v>
      </c>
      <c r="V606" s="4">
        <v>1.8919999999999999</v>
      </c>
      <c r="W606" s="4">
        <v>23.65</v>
      </c>
    </row>
    <row r="607" spans="1:23" ht="15" customHeight="1" x14ac:dyDescent="0.25">
      <c r="A607">
        <v>837</v>
      </c>
      <c r="B607" s="1">
        <v>45758</v>
      </c>
      <c r="C607">
        <v>0</v>
      </c>
      <c r="D607" t="s">
        <v>58</v>
      </c>
      <c r="E607">
        <v>4</v>
      </c>
      <c r="F607" t="s">
        <v>35</v>
      </c>
      <c r="G607" t="s">
        <v>33</v>
      </c>
      <c r="H607" t="s">
        <v>50</v>
      </c>
      <c r="I607" t="s">
        <v>22</v>
      </c>
      <c r="J607" t="s">
        <v>12</v>
      </c>
      <c r="K607" s="2">
        <v>21000</v>
      </c>
      <c r="L607" s="3">
        <v>15.9</v>
      </c>
      <c r="M607" s="3">
        <v>66.7</v>
      </c>
      <c r="N607" s="3">
        <v>0</v>
      </c>
      <c r="O607" s="2">
        <v>196</v>
      </c>
      <c r="P607">
        <v>1</v>
      </c>
      <c r="Q607" t="s">
        <v>23</v>
      </c>
      <c r="R607" s="4">
        <v>175.54</v>
      </c>
      <c r="S607" s="4">
        <v>0</v>
      </c>
      <c r="T607" t="s">
        <v>31</v>
      </c>
      <c r="U607" s="4">
        <v>14.76</v>
      </c>
      <c r="V607" s="4">
        <v>8.359</v>
      </c>
      <c r="W607" s="4">
        <v>175.54</v>
      </c>
    </row>
    <row r="608" spans="1:23" ht="15" customHeight="1" x14ac:dyDescent="0.25">
      <c r="A608">
        <v>102</v>
      </c>
      <c r="B608" s="1">
        <v>45758.333333333343</v>
      </c>
      <c r="C608">
        <v>8</v>
      </c>
      <c r="D608" t="s">
        <v>58</v>
      </c>
      <c r="E608">
        <v>4</v>
      </c>
      <c r="F608" t="s">
        <v>35</v>
      </c>
      <c r="G608" t="s">
        <v>33</v>
      </c>
      <c r="H608" t="s">
        <v>53</v>
      </c>
      <c r="I608" t="s">
        <v>19</v>
      </c>
      <c r="J608" t="s">
        <v>26</v>
      </c>
      <c r="K608" s="2">
        <v>12500</v>
      </c>
      <c r="L608" s="3">
        <v>16.2</v>
      </c>
      <c r="M608" s="3">
        <v>57.3</v>
      </c>
      <c r="N608" s="3">
        <v>248.4</v>
      </c>
      <c r="O608" s="2">
        <v>279</v>
      </c>
      <c r="P608">
        <v>0</v>
      </c>
      <c r="Q608" t="s">
        <v>14</v>
      </c>
      <c r="R608" s="4">
        <v>66.09</v>
      </c>
      <c r="S608" s="4">
        <v>35.26</v>
      </c>
      <c r="T608" t="s">
        <v>34</v>
      </c>
      <c r="U608" s="4">
        <v>4.2</v>
      </c>
      <c r="V608" s="4">
        <v>5.2869999999999999</v>
      </c>
      <c r="W608" s="4">
        <v>30.83</v>
      </c>
    </row>
    <row r="609" spans="1:23" ht="15" customHeight="1" x14ac:dyDescent="0.25">
      <c r="A609">
        <v>1942</v>
      </c>
      <c r="B609" s="1">
        <v>45758.333333333343</v>
      </c>
      <c r="C609">
        <v>8</v>
      </c>
      <c r="D609" t="s">
        <v>58</v>
      </c>
      <c r="E609">
        <v>4</v>
      </c>
      <c r="F609" t="s">
        <v>35</v>
      </c>
      <c r="G609" t="s">
        <v>33</v>
      </c>
      <c r="H609" t="s">
        <v>52</v>
      </c>
      <c r="I609" t="s">
        <v>13</v>
      </c>
      <c r="J609" t="s">
        <v>21</v>
      </c>
      <c r="K609" s="2">
        <v>9800</v>
      </c>
      <c r="L609" s="3">
        <v>17.3</v>
      </c>
      <c r="M609" s="3">
        <v>87.2</v>
      </c>
      <c r="N609" s="3">
        <v>170.3</v>
      </c>
      <c r="O609" s="2"/>
      <c r="P609">
        <v>0</v>
      </c>
      <c r="Q609" t="s">
        <v>14</v>
      </c>
      <c r="R609" s="4">
        <v>17.89</v>
      </c>
      <c r="S609" s="4">
        <v>0</v>
      </c>
      <c r="T609" t="s">
        <v>34</v>
      </c>
      <c r="U609" s="4">
        <v>2.44</v>
      </c>
      <c r="V609" s="4">
        <v>1.8260000000000001</v>
      </c>
      <c r="W609" s="4">
        <v>17.89</v>
      </c>
    </row>
    <row r="610" spans="1:23" ht="15" customHeight="1" x14ac:dyDescent="0.25">
      <c r="A610">
        <v>838</v>
      </c>
      <c r="B610" s="1">
        <v>45758.333333333343</v>
      </c>
      <c r="C610">
        <v>8</v>
      </c>
      <c r="D610" t="s">
        <v>58</v>
      </c>
      <c r="E610">
        <v>4</v>
      </c>
      <c r="F610" t="s">
        <v>35</v>
      </c>
      <c r="G610" t="s">
        <v>33</v>
      </c>
      <c r="H610" t="s">
        <v>50</v>
      </c>
      <c r="I610" t="s">
        <v>22</v>
      </c>
      <c r="J610" t="s">
        <v>12</v>
      </c>
      <c r="K610" s="2">
        <v>21000</v>
      </c>
      <c r="L610" s="3">
        <v>14.2</v>
      </c>
      <c r="M610" s="3">
        <v>71.3</v>
      </c>
      <c r="N610" s="3">
        <v>160.69999999999999</v>
      </c>
      <c r="O610" s="2">
        <v>452</v>
      </c>
      <c r="P610">
        <v>1</v>
      </c>
      <c r="Q610" t="s">
        <v>17</v>
      </c>
      <c r="R610" s="4">
        <v>194.91</v>
      </c>
      <c r="S610" s="4">
        <v>33.08</v>
      </c>
      <c r="T610" t="s">
        <v>34</v>
      </c>
      <c r="U610" s="4">
        <v>21.86</v>
      </c>
      <c r="V610" s="4">
        <v>9.2810000000000006</v>
      </c>
      <c r="W610" s="4">
        <v>161.83000000000001</v>
      </c>
    </row>
    <row r="611" spans="1:23" ht="15" customHeight="1" x14ac:dyDescent="0.25">
      <c r="A611">
        <v>1574</v>
      </c>
      <c r="B611" s="1">
        <v>45758.333333333343</v>
      </c>
      <c r="C611">
        <v>8</v>
      </c>
      <c r="D611" t="s">
        <v>58</v>
      </c>
      <c r="E611">
        <v>4</v>
      </c>
      <c r="F611" t="s">
        <v>35</v>
      </c>
      <c r="G611" t="s">
        <v>33</v>
      </c>
      <c r="H611" t="s">
        <v>49</v>
      </c>
      <c r="I611" t="s">
        <v>27</v>
      </c>
      <c r="J611" t="s">
        <v>18</v>
      </c>
      <c r="K611" s="2">
        <v>26000</v>
      </c>
      <c r="L611" s="3">
        <v>13.5</v>
      </c>
      <c r="M611" s="3">
        <v>59.4</v>
      </c>
      <c r="N611" s="3">
        <v>192</v>
      </c>
      <c r="O611" s="2">
        <v>175</v>
      </c>
      <c r="P611">
        <v>1</v>
      </c>
      <c r="Q611" t="s">
        <v>17</v>
      </c>
      <c r="R611" s="4">
        <v>159.22999999999999</v>
      </c>
      <c r="S611" s="4">
        <v>52.07</v>
      </c>
      <c r="T611" t="s">
        <v>34</v>
      </c>
      <c r="U611" s="4">
        <v>14.8</v>
      </c>
      <c r="V611" s="4">
        <v>6.1239999999999997</v>
      </c>
      <c r="W611" s="4">
        <v>107.16</v>
      </c>
    </row>
    <row r="612" spans="1:23" ht="15" customHeight="1" x14ac:dyDescent="0.25">
      <c r="A612">
        <v>470</v>
      </c>
      <c r="B612" s="1">
        <v>45758.333333333343</v>
      </c>
      <c r="C612">
        <v>8</v>
      </c>
      <c r="D612" t="s">
        <v>58</v>
      </c>
      <c r="E612">
        <v>4</v>
      </c>
      <c r="F612" t="s">
        <v>35</v>
      </c>
      <c r="G612" t="s">
        <v>33</v>
      </c>
      <c r="H612" t="s">
        <v>54</v>
      </c>
      <c r="I612" t="s">
        <v>16</v>
      </c>
      <c r="J612" t="s">
        <v>24</v>
      </c>
      <c r="K612" s="2">
        <v>8600</v>
      </c>
      <c r="L612" s="3">
        <v>13.4</v>
      </c>
      <c r="M612" s="3">
        <v>98.1</v>
      </c>
      <c r="N612" s="3">
        <v>139.69999999999999</v>
      </c>
      <c r="O612" s="2">
        <v>777</v>
      </c>
      <c r="P612">
        <v>1</v>
      </c>
      <c r="Q612" t="s">
        <v>17</v>
      </c>
      <c r="R612" s="4">
        <v>86.32</v>
      </c>
      <c r="S612" s="4">
        <v>10.94</v>
      </c>
      <c r="T612" t="s">
        <v>34</v>
      </c>
      <c r="U612" s="4">
        <v>10.33</v>
      </c>
      <c r="V612" s="4">
        <v>10.037000000000001</v>
      </c>
      <c r="W612" s="4">
        <v>75.38</v>
      </c>
    </row>
    <row r="613" spans="1:23" ht="15" customHeight="1" x14ac:dyDescent="0.25">
      <c r="A613">
        <v>1206</v>
      </c>
      <c r="B613" s="1">
        <v>45758.333333333343</v>
      </c>
      <c r="C613">
        <v>8</v>
      </c>
      <c r="D613" t="s">
        <v>58</v>
      </c>
      <c r="E613">
        <v>4</v>
      </c>
      <c r="F613" t="s">
        <v>35</v>
      </c>
      <c r="G613" t="s">
        <v>33</v>
      </c>
      <c r="H613" t="s">
        <v>51</v>
      </c>
      <c r="I613" t="s">
        <v>25</v>
      </c>
      <c r="J613" t="s">
        <v>15</v>
      </c>
      <c r="K613" s="2">
        <v>17400</v>
      </c>
      <c r="L613" s="3">
        <v>15.7</v>
      </c>
      <c r="M613" s="3">
        <v>77.5</v>
      </c>
      <c r="N613" s="3">
        <v>224.6</v>
      </c>
      <c r="O613" s="2">
        <v>23</v>
      </c>
      <c r="P613">
        <v>0</v>
      </c>
      <c r="Q613" t="s">
        <v>14</v>
      </c>
      <c r="R613" s="4">
        <v>33.659999999999997</v>
      </c>
      <c r="S613" s="4">
        <v>27.98</v>
      </c>
      <c r="T613" t="s">
        <v>34</v>
      </c>
      <c r="U613" s="4">
        <v>0.77</v>
      </c>
      <c r="V613" s="4">
        <v>1.9339999999999999</v>
      </c>
      <c r="W613" s="4">
        <v>5.68</v>
      </c>
    </row>
    <row r="614" spans="1:23" ht="15" customHeight="1" x14ac:dyDescent="0.25">
      <c r="A614">
        <v>103</v>
      </c>
      <c r="B614" s="1">
        <v>45758.583333333343</v>
      </c>
      <c r="C614">
        <v>14</v>
      </c>
      <c r="D614" t="s">
        <v>58</v>
      </c>
      <c r="E614">
        <v>4</v>
      </c>
      <c r="F614" t="s">
        <v>35</v>
      </c>
      <c r="G614" t="s">
        <v>33</v>
      </c>
      <c r="H614" t="s">
        <v>53</v>
      </c>
      <c r="I614" t="s">
        <v>19</v>
      </c>
      <c r="J614" t="s">
        <v>26</v>
      </c>
      <c r="K614" s="2">
        <v>12500</v>
      </c>
      <c r="L614" s="3">
        <v>19.8</v>
      </c>
      <c r="M614" s="3">
        <v>58.8</v>
      </c>
      <c r="N614" s="3">
        <v>611.9</v>
      </c>
      <c r="O614" s="2">
        <v>559</v>
      </c>
      <c r="P614">
        <v>0</v>
      </c>
      <c r="Q614" t="s">
        <v>14</v>
      </c>
      <c r="R614" s="4">
        <v>93.67</v>
      </c>
      <c r="S614" s="4">
        <v>92.35</v>
      </c>
      <c r="T614" t="s">
        <v>34</v>
      </c>
      <c r="U614" s="4">
        <v>0.18</v>
      </c>
      <c r="V614" s="4">
        <v>7.4939999999999998</v>
      </c>
      <c r="W614" s="4">
        <v>1.32</v>
      </c>
    </row>
    <row r="615" spans="1:23" ht="15" customHeight="1" x14ac:dyDescent="0.25">
      <c r="A615">
        <v>471</v>
      </c>
      <c r="B615" s="1">
        <v>45758.583333333343</v>
      </c>
      <c r="C615">
        <v>14</v>
      </c>
      <c r="D615" t="s">
        <v>58</v>
      </c>
      <c r="E615">
        <v>4</v>
      </c>
      <c r="F615" t="s">
        <v>35</v>
      </c>
      <c r="G615" t="s">
        <v>33</v>
      </c>
      <c r="H615" t="s">
        <v>54</v>
      </c>
      <c r="I615" t="s">
        <v>16</v>
      </c>
      <c r="J615" t="s">
        <v>24</v>
      </c>
      <c r="K615" s="2">
        <v>8600</v>
      </c>
      <c r="L615" s="3">
        <v>18.2</v>
      </c>
      <c r="M615" s="3">
        <v>82</v>
      </c>
      <c r="N615" s="3">
        <v>404.9</v>
      </c>
      <c r="O615" s="2">
        <v>810</v>
      </c>
      <c r="P615">
        <v>0</v>
      </c>
      <c r="Q615" t="s">
        <v>14</v>
      </c>
      <c r="R615" s="4">
        <v>76.44</v>
      </c>
      <c r="S615" s="4">
        <v>29.6</v>
      </c>
      <c r="T615" t="s">
        <v>34</v>
      </c>
      <c r="U615" s="4">
        <v>6.47</v>
      </c>
      <c r="V615" s="4">
        <v>8.8879999999999999</v>
      </c>
      <c r="W615" s="4">
        <v>46.84</v>
      </c>
    </row>
    <row r="616" spans="1:23" ht="15" customHeight="1" x14ac:dyDescent="0.25">
      <c r="A616">
        <v>1575</v>
      </c>
      <c r="B616" s="1">
        <v>45758.583333333343</v>
      </c>
      <c r="C616">
        <v>14</v>
      </c>
      <c r="D616" t="s">
        <v>58</v>
      </c>
      <c r="E616">
        <v>4</v>
      </c>
      <c r="F616" t="s">
        <v>35</v>
      </c>
      <c r="G616" t="s">
        <v>33</v>
      </c>
      <c r="H616" t="s">
        <v>49</v>
      </c>
      <c r="I616" t="s">
        <v>27</v>
      </c>
      <c r="J616" t="s">
        <v>18</v>
      </c>
      <c r="K616" s="2">
        <v>26000</v>
      </c>
      <c r="L616" s="3">
        <v>20.9</v>
      </c>
      <c r="M616" s="3">
        <v>68.900000000000006</v>
      </c>
      <c r="N616" s="3">
        <v>466.8</v>
      </c>
      <c r="O616" s="2">
        <v>158</v>
      </c>
      <c r="P616">
        <v>0</v>
      </c>
      <c r="Q616" t="s">
        <v>14</v>
      </c>
      <c r="R616" s="4">
        <v>149.69</v>
      </c>
      <c r="S616" s="4">
        <v>116.9</v>
      </c>
      <c r="T616" t="s">
        <v>34</v>
      </c>
      <c r="U616" s="4">
        <v>4.5</v>
      </c>
      <c r="V616" s="4">
        <v>5.7569999999999997</v>
      </c>
      <c r="W616" s="4">
        <v>32.79</v>
      </c>
    </row>
    <row r="617" spans="1:23" ht="15" customHeight="1" x14ac:dyDescent="0.25">
      <c r="A617">
        <v>839</v>
      </c>
      <c r="B617" s="1">
        <v>45758.583333333343</v>
      </c>
      <c r="C617">
        <v>14</v>
      </c>
      <c r="D617" t="s">
        <v>58</v>
      </c>
      <c r="E617">
        <v>4</v>
      </c>
      <c r="F617" t="s">
        <v>35</v>
      </c>
      <c r="G617" t="s">
        <v>33</v>
      </c>
      <c r="H617" t="s">
        <v>50</v>
      </c>
      <c r="I617" t="s">
        <v>22</v>
      </c>
      <c r="J617" t="s">
        <v>12</v>
      </c>
      <c r="K617" s="2">
        <v>21000</v>
      </c>
      <c r="L617" s="3">
        <v>21.5</v>
      </c>
      <c r="M617" s="3">
        <v>62.9</v>
      </c>
      <c r="N617" s="3">
        <v>637.5</v>
      </c>
      <c r="O617" s="2">
        <v>452</v>
      </c>
      <c r="P617">
        <v>0</v>
      </c>
      <c r="Q617" t="s">
        <v>14</v>
      </c>
      <c r="R617" s="4">
        <v>200.65</v>
      </c>
      <c r="S617" s="4">
        <v>130.53</v>
      </c>
      <c r="T617" t="s">
        <v>34</v>
      </c>
      <c r="U617" s="4">
        <v>9.4499999999999993</v>
      </c>
      <c r="V617" s="4">
        <v>9.5549999999999997</v>
      </c>
      <c r="W617" s="4">
        <v>70.12</v>
      </c>
    </row>
    <row r="618" spans="1:23" ht="15" customHeight="1" x14ac:dyDescent="0.25">
      <c r="A618">
        <v>1207</v>
      </c>
      <c r="B618" s="1">
        <v>45758.583333333343</v>
      </c>
      <c r="C618">
        <v>14</v>
      </c>
      <c r="D618" t="s">
        <v>58</v>
      </c>
      <c r="E618">
        <v>4</v>
      </c>
      <c r="F618" t="s">
        <v>35</v>
      </c>
      <c r="G618" t="s">
        <v>33</v>
      </c>
      <c r="H618" t="s">
        <v>51</v>
      </c>
      <c r="I618" t="s">
        <v>25</v>
      </c>
      <c r="J618" t="s">
        <v>15</v>
      </c>
      <c r="K618" s="2">
        <v>17400</v>
      </c>
      <c r="L618" s="3">
        <v>21.1</v>
      </c>
      <c r="M618" s="3">
        <v>80.400000000000006</v>
      </c>
      <c r="N618" s="3">
        <v>459.4</v>
      </c>
      <c r="O618" s="2">
        <v>1254</v>
      </c>
      <c r="P618">
        <v>0</v>
      </c>
      <c r="Q618" t="s">
        <v>14</v>
      </c>
      <c r="R618" s="4">
        <v>196.33</v>
      </c>
      <c r="S618" s="4">
        <v>54.23</v>
      </c>
      <c r="T618" t="s">
        <v>34</v>
      </c>
      <c r="U618" s="4">
        <v>19.100000000000001</v>
      </c>
      <c r="V618" s="4">
        <v>11.282999999999999</v>
      </c>
      <c r="W618" s="4">
        <v>142.1</v>
      </c>
    </row>
    <row r="619" spans="1:23" ht="15" customHeight="1" x14ac:dyDescent="0.25">
      <c r="A619">
        <v>1943</v>
      </c>
      <c r="B619" s="1">
        <v>45758.583333333343</v>
      </c>
      <c r="C619">
        <v>14</v>
      </c>
      <c r="D619" t="s">
        <v>58</v>
      </c>
      <c r="E619">
        <v>4</v>
      </c>
      <c r="F619" t="s">
        <v>35</v>
      </c>
      <c r="G619" t="s">
        <v>33</v>
      </c>
      <c r="H619" t="s">
        <v>52</v>
      </c>
      <c r="I619" t="s">
        <v>13</v>
      </c>
      <c r="J619" t="s">
        <v>21</v>
      </c>
      <c r="K619" s="2">
        <v>9800</v>
      </c>
      <c r="L619" s="3">
        <v>17.3</v>
      </c>
      <c r="M619" s="3">
        <v>67.099999999999994</v>
      </c>
      <c r="N619" s="3">
        <v>622.9</v>
      </c>
      <c r="O619" s="2">
        <v>57</v>
      </c>
      <c r="P619">
        <v>0</v>
      </c>
      <c r="Q619" t="s">
        <v>14</v>
      </c>
      <c r="R619" s="4">
        <v>16.88</v>
      </c>
      <c r="S619" s="4">
        <v>0</v>
      </c>
      <c r="T619" t="s">
        <v>34</v>
      </c>
      <c r="U619" s="4">
        <v>2.2799999999999998</v>
      </c>
      <c r="V619" s="4">
        <v>1.722</v>
      </c>
      <c r="W619" s="4">
        <v>16.88</v>
      </c>
    </row>
    <row r="620" spans="1:23" ht="15" customHeight="1" x14ac:dyDescent="0.25">
      <c r="A620">
        <v>1576</v>
      </c>
      <c r="B620" s="1">
        <v>45758.833333333343</v>
      </c>
      <c r="C620">
        <v>20</v>
      </c>
      <c r="D620" t="s">
        <v>58</v>
      </c>
      <c r="E620">
        <v>4</v>
      </c>
      <c r="F620" t="s">
        <v>35</v>
      </c>
      <c r="G620" t="s">
        <v>33</v>
      </c>
      <c r="H620" t="s">
        <v>49</v>
      </c>
      <c r="I620" t="s">
        <v>27</v>
      </c>
      <c r="J620" t="s">
        <v>18</v>
      </c>
      <c r="K620" s="2">
        <v>26000</v>
      </c>
      <c r="L620" s="3">
        <v>18</v>
      </c>
      <c r="M620" s="3">
        <v>73</v>
      </c>
      <c r="N620" s="3">
        <v>0</v>
      </c>
      <c r="O620" s="2">
        <v>161</v>
      </c>
      <c r="P620">
        <v>0</v>
      </c>
      <c r="Q620" t="s">
        <v>14</v>
      </c>
      <c r="R620" s="4">
        <v>239.76</v>
      </c>
      <c r="S620" s="4">
        <v>0</v>
      </c>
      <c r="T620" t="s">
        <v>37</v>
      </c>
      <c r="U620" s="4">
        <v>49.25</v>
      </c>
      <c r="V620" s="4">
        <v>9.2219999999999995</v>
      </c>
      <c r="W620" s="4">
        <v>239.76</v>
      </c>
    </row>
    <row r="621" spans="1:23" ht="15" customHeight="1" x14ac:dyDescent="0.25">
      <c r="A621">
        <v>1944</v>
      </c>
      <c r="B621" s="1">
        <v>45758.833333333343</v>
      </c>
      <c r="C621">
        <v>20</v>
      </c>
      <c r="D621" t="s">
        <v>58</v>
      </c>
      <c r="E621">
        <v>4</v>
      </c>
      <c r="F621" t="s">
        <v>35</v>
      </c>
      <c r="G621" t="s">
        <v>33</v>
      </c>
      <c r="H621" t="s">
        <v>52</v>
      </c>
      <c r="I621" t="s">
        <v>13</v>
      </c>
      <c r="J621" t="s">
        <v>21</v>
      </c>
      <c r="K621" s="2">
        <v>9800</v>
      </c>
      <c r="L621" s="3">
        <v>18.100000000000001</v>
      </c>
      <c r="M621" s="3">
        <v>84.6</v>
      </c>
      <c r="N621" s="3">
        <v>0</v>
      </c>
      <c r="O621" s="2">
        <v>321</v>
      </c>
      <c r="P621">
        <v>0</v>
      </c>
      <c r="Q621" t="s">
        <v>14</v>
      </c>
      <c r="R621" s="4">
        <v>92.45</v>
      </c>
      <c r="S621" s="4">
        <v>0</v>
      </c>
      <c r="T621" t="s">
        <v>37</v>
      </c>
      <c r="U621" s="4">
        <v>19.22</v>
      </c>
      <c r="V621" s="4">
        <v>9.4339999999999993</v>
      </c>
      <c r="W621" s="4">
        <v>92.45</v>
      </c>
    </row>
    <row r="622" spans="1:23" ht="15" customHeight="1" x14ac:dyDescent="0.25">
      <c r="A622">
        <v>104</v>
      </c>
      <c r="B622" s="1">
        <v>45758.833333333343</v>
      </c>
      <c r="C622">
        <v>20</v>
      </c>
      <c r="D622" t="s">
        <v>58</v>
      </c>
      <c r="E622">
        <v>4</v>
      </c>
      <c r="F622" t="s">
        <v>35</v>
      </c>
      <c r="G622" t="s">
        <v>33</v>
      </c>
      <c r="H622" t="s">
        <v>53</v>
      </c>
      <c r="I622" t="s">
        <v>19</v>
      </c>
      <c r="J622" t="s">
        <v>26</v>
      </c>
      <c r="K622" s="2">
        <v>12500</v>
      </c>
      <c r="L622" s="3">
        <v>15.1</v>
      </c>
      <c r="M622" s="3">
        <v>68</v>
      </c>
      <c r="N622" s="3">
        <v>0</v>
      </c>
      <c r="O622" s="2">
        <v>63</v>
      </c>
      <c r="P622">
        <v>1</v>
      </c>
      <c r="Q622" t="s">
        <v>23</v>
      </c>
      <c r="R622" s="4">
        <v>39.42</v>
      </c>
      <c r="S622" s="4">
        <v>0</v>
      </c>
      <c r="T622" t="s">
        <v>37</v>
      </c>
      <c r="U622" s="4">
        <v>8.44</v>
      </c>
      <c r="V622" s="4">
        <v>3.1539999999999999</v>
      </c>
      <c r="W622" s="4">
        <v>39.42</v>
      </c>
    </row>
    <row r="623" spans="1:23" ht="15" customHeight="1" x14ac:dyDescent="0.25">
      <c r="A623">
        <v>472</v>
      </c>
      <c r="B623" s="1">
        <v>45758.833333333343</v>
      </c>
      <c r="C623">
        <v>20</v>
      </c>
      <c r="D623" t="s">
        <v>58</v>
      </c>
      <c r="E623">
        <v>4</v>
      </c>
      <c r="F623" t="s">
        <v>35</v>
      </c>
      <c r="G623" t="s">
        <v>33</v>
      </c>
      <c r="H623" t="s">
        <v>54</v>
      </c>
      <c r="I623" t="s">
        <v>16</v>
      </c>
      <c r="J623" t="s">
        <v>24</v>
      </c>
      <c r="K623" s="2">
        <v>8600</v>
      </c>
      <c r="L623" s="3">
        <v>13</v>
      </c>
      <c r="M623" s="3">
        <v>90.1</v>
      </c>
      <c r="N623" s="3">
        <v>0</v>
      </c>
      <c r="O623" s="2">
        <v>191</v>
      </c>
      <c r="P623">
        <v>1</v>
      </c>
      <c r="Q623" t="s">
        <v>17</v>
      </c>
      <c r="R623" s="4">
        <v>31.17</v>
      </c>
      <c r="S623" s="4">
        <v>0</v>
      </c>
      <c r="T623" t="s">
        <v>37</v>
      </c>
      <c r="U623" s="4">
        <v>6.63</v>
      </c>
      <c r="V623" s="4">
        <v>3.6240000000000001</v>
      </c>
      <c r="W623" s="4">
        <v>31.17</v>
      </c>
    </row>
    <row r="624" spans="1:23" ht="15" customHeight="1" x14ac:dyDescent="0.25">
      <c r="A624">
        <v>840</v>
      </c>
      <c r="B624" s="1">
        <v>45758.833333333343</v>
      </c>
      <c r="C624">
        <v>20</v>
      </c>
      <c r="D624" t="s">
        <v>58</v>
      </c>
      <c r="E624">
        <v>4</v>
      </c>
      <c r="F624" t="s">
        <v>35</v>
      </c>
      <c r="G624" t="s">
        <v>33</v>
      </c>
      <c r="H624" t="s">
        <v>50</v>
      </c>
      <c r="I624" t="s">
        <v>22</v>
      </c>
      <c r="J624" t="s">
        <v>12</v>
      </c>
      <c r="K624" s="2">
        <v>21000</v>
      </c>
      <c r="L624" s="3">
        <v>20.399999999999999</v>
      </c>
      <c r="M624" s="3">
        <v>52.7</v>
      </c>
      <c r="N624" s="3">
        <v>0</v>
      </c>
      <c r="O624" s="2">
        <v>443</v>
      </c>
      <c r="P624">
        <v>0</v>
      </c>
      <c r="Q624" t="s">
        <v>14</v>
      </c>
      <c r="R624" s="4">
        <v>285.81</v>
      </c>
      <c r="S624" s="4">
        <v>0</v>
      </c>
      <c r="T624" t="s">
        <v>37</v>
      </c>
      <c r="U624" s="4">
        <v>59.85</v>
      </c>
      <c r="V624" s="4">
        <v>13.61</v>
      </c>
      <c r="W624" s="4">
        <v>285.81</v>
      </c>
    </row>
    <row r="625" spans="1:23" ht="15" customHeight="1" x14ac:dyDescent="0.25">
      <c r="A625">
        <v>1208</v>
      </c>
      <c r="B625" s="1">
        <v>45758.833333333343</v>
      </c>
      <c r="C625">
        <v>20</v>
      </c>
      <c r="D625" t="s">
        <v>58</v>
      </c>
      <c r="E625">
        <v>4</v>
      </c>
      <c r="F625" t="s">
        <v>35</v>
      </c>
      <c r="G625" t="s">
        <v>33</v>
      </c>
      <c r="H625" t="s">
        <v>51</v>
      </c>
      <c r="I625" t="s">
        <v>25</v>
      </c>
      <c r="J625" t="s">
        <v>15</v>
      </c>
      <c r="K625" s="2">
        <v>17400</v>
      </c>
      <c r="L625" s="3">
        <v>20</v>
      </c>
      <c r="M625" s="3"/>
      <c r="N625" s="3">
        <v>0</v>
      </c>
      <c r="O625" s="2">
        <v>1183</v>
      </c>
      <c r="P625">
        <v>0</v>
      </c>
      <c r="Q625" t="s">
        <v>14</v>
      </c>
      <c r="R625" s="4">
        <v>274.48</v>
      </c>
      <c r="S625" s="4">
        <v>0</v>
      </c>
      <c r="T625" t="s">
        <v>37</v>
      </c>
      <c r="U625" s="4">
        <v>56.68</v>
      </c>
      <c r="V625" s="4">
        <v>15.775</v>
      </c>
      <c r="W625" s="4">
        <v>274.48</v>
      </c>
    </row>
    <row r="626" spans="1:23" ht="15" customHeight="1" x14ac:dyDescent="0.25">
      <c r="A626">
        <v>841</v>
      </c>
      <c r="B626" s="1">
        <v>45762</v>
      </c>
      <c r="C626">
        <v>0</v>
      </c>
      <c r="D626" t="s">
        <v>59</v>
      </c>
      <c r="E626">
        <v>4</v>
      </c>
      <c r="F626" t="s">
        <v>35</v>
      </c>
      <c r="G626" t="s">
        <v>33</v>
      </c>
      <c r="H626" t="s">
        <v>50</v>
      </c>
      <c r="I626" t="s">
        <v>22</v>
      </c>
      <c r="J626" t="s">
        <v>12</v>
      </c>
      <c r="K626" s="2">
        <v>21000</v>
      </c>
      <c r="L626" s="3">
        <v>12.7</v>
      </c>
      <c r="M626" s="3">
        <v>65.400000000000006</v>
      </c>
      <c r="N626" s="3">
        <v>0</v>
      </c>
      <c r="O626" s="2">
        <v>204</v>
      </c>
      <c r="P626">
        <v>1</v>
      </c>
      <c r="Q626" t="s">
        <v>17</v>
      </c>
      <c r="R626" s="4">
        <v>179.32</v>
      </c>
      <c r="S626" s="4">
        <v>0</v>
      </c>
      <c r="T626" t="s">
        <v>31</v>
      </c>
      <c r="U626" s="4">
        <v>15.03</v>
      </c>
      <c r="V626" s="4">
        <v>8.5389999999999997</v>
      </c>
      <c r="W626" s="4">
        <v>179.32</v>
      </c>
    </row>
    <row r="627" spans="1:23" ht="15" customHeight="1" x14ac:dyDescent="0.25">
      <c r="A627">
        <v>1945</v>
      </c>
      <c r="B627" s="1">
        <v>45762</v>
      </c>
      <c r="C627">
        <v>0</v>
      </c>
      <c r="D627" t="s">
        <v>59</v>
      </c>
      <c r="E627">
        <v>4</v>
      </c>
      <c r="F627" t="s">
        <v>35</v>
      </c>
      <c r="G627" t="s">
        <v>33</v>
      </c>
      <c r="H627" t="s">
        <v>52</v>
      </c>
      <c r="I627" t="s">
        <v>13</v>
      </c>
      <c r="J627" t="s">
        <v>21</v>
      </c>
      <c r="K627" s="2">
        <v>9800</v>
      </c>
      <c r="L627" s="3">
        <v>12.2</v>
      </c>
      <c r="M627" s="3">
        <v>78.900000000000006</v>
      </c>
      <c r="N627" s="3">
        <v>0</v>
      </c>
      <c r="O627" s="2">
        <v>317</v>
      </c>
      <c r="P627">
        <v>1</v>
      </c>
      <c r="Q627" t="s">
        <v>17</v>
      </c>
      <c r="R627" s="4">
        <v>99.41</v>
      </c>
      <c r="S627" s="4">
        <v>0</v>
      </c>
      <c r="T627" t="s">
        <v>31</v>
      </c>
      <c r="U627" s="4">
        <v>8.5399999999999991</v>
      </c>
      <c r="V627" s="4">
        <v>10.144</v>
      </c>
      <c r="W627" s="4">
        <v>99.41</v>
      </c>
    </row>
    <row r="628" spans="1:23" ht="15" customHeight="1" x14ac:dyDescent="0.25">
      <c r="A628">
        <v>1577</v>
      </c>
      <c r="B628" s="1">
        <v>45762</v>
      </c>
      <c r="C628">
        <v>0</v>
      </c>
      <c r="D628" t="s">
        <v>59</v>
      </c>
      <c r="E628">
        <v>4</v>
      </c>
      <c r="F628" t="s">
        <v>35</v>
      </c>
      <c r="G628" t="s">
        <v>33</v>
      </c>
      <c r="H628" t="s">
        <v>49</v>
      </c>
      <c r="I628" t="s">
        <v>27</v>
      </c>
      <c r="J628" t="s">
        <v>18</v>
      </c>
      <c r="K628" s="2">
        <v>26000</v>
      </c>
      <c r="L628" s="3">
        <v>10.5</v>
      </c>
      <c r="M628" s="3">
        <v>53.2</v>
      </c>
      <c r="N628" s="3">
        <v>0</v>
      </c>
      <c r="O628" s="2">
        <v>46</v>
      </c>
      <c r="P628">
        <v>1</v>
      </c>
      <c r="Q628" t="s">
        <v>17</v>
      </c>
      <c r="R628" s="4">
        <v>124.06</v>
      </c>
      <c r="S628" s="4">
        <v>0</v>
      </c>
      <c r="T628" t="s">
        <v>31</v>
      </c>
      <c r="U628" s="4">
        <v>10.53</v>
      </c>
      <c r="V628" s="4">
        <v>4.7720000000000002</v>
      </c>
      <c r="W628" s="4">
        <v>124.06</v>
      </c>
    </row>
    <row r="629" spans="1:23" ht="15" customHeight="1" x14ac:dyDescent="0.25">
      <c r="A629">
        <v>473</v>
      </c>
      <c r="B629" s="1">
        <v>45762</v>
      </c>
      <c r="C629">
        <v>0</v>
      </c>
      <c r="D629" t="s">
        <v>59</v>
      </c>
      <c r="E629">
        <v>4</v>
      </c>
      <c r="F629" t="s">
        <v>35</v>
      </c>
      <c r="G629" t="s">
        <v>33</v>
      </c>
      <c r="H629" t="s">
        <v>54</v>
      </c>
      <c r="I629" t="s">
        <v>16</v>
      </c>
      <c r="J629" t="s">
        <v>24</v>
      </c>
      <c r="K629" s="2">
        <v>8600</v>
      </c>
      <c r="L629" s="3">
        <v>12.1</v>
      </c>
      <c r="M629" s="3">
        <v>94</v>
      </c>
      <c r="N629" s="3">
        <v>0</v>
      </c>
      <c r="O629" s="2">
        <v>84</v>
      </c>
      <c r="P629">
        <v>1</v>
      </c>
      <c r="Q629" t="s">
        <v>17</v>
      </c>
      <c r="R629" s="4">
        <v>24.79</v>
      </c>
      <c r="S629" s="4">
        <v>0</v>
      </c>
      <c r="T629" t="s">
        <v>31</v>
      </c>
      <c r="U629" s="4">
        <v>2.17</v>
      </c>
      <c r="V629" s="4">
        <v>2.883</v>
      </c>
      <c r="W629" s="4">
        <v>24.79</v>
      </c>
    </row>
    <row r="630" spans="1:23" ht="15" customHeight="1" x14ac:dyDescent="0.25">
      <c r="A630">
        <v>105</v>
      </c>
      <c r="B630" s="1">
        <v>45762</v>
      </c>
      <c r="C630">
        <v>0</v>
      </c>
      <c r="D630" t="s">
        <v>59</v>
      </c>
      <c r="E630">
        <v>4</v>
      </c>
      <c r="F630" t="s">
        <v>35</v>
      </c>
      <c r="G630" t="s">
        <v>33</v>
      </c>
      <c r="H630" t="s">
        <v>53</v>
      </c>
      <c r="I630" t="s">
        <v>19</v>
      </c>
      <c r="J630" t="s">
        <v>26</v>
      </c>
      <c r="K630" s="2">
        <v>12500</v>
      </c>
      <c r="L630" s="3">
        <v>9.6</v>
      </c>
      <c r="M630" s="3">
        <v>64.8</v>
      </c>
      <c r="N630" s="3">
        <v>0</v>
      </c>
      <c r="O630" s="2">
        <v>3</v>
      </c>
      <c r="P630">
        <v>0</v>
      </c>
      <c r="Q630" t="s">
        <v>14</v>
      </c>
      <c r="R630" s="4">
        <v>23.33</v>
      </c>
      <c r="S630" s="4">
        <v>0</v>
      </c>
      <c r="T630" t="s">
        <v>31</v>
      </c>
      <c r="U630" s="4">
        <v>1.99</v>
      </c>
      <c r="V630" s="4">
        <v>1.8660000000000001</v>
      </c>
      <c r="W630" s="4">
        <v>23.33</v>
      </c>
    </row>
    <row r="631" spans="1:23" ht="15" customHeight="1" x14ac:dyDescent="0.25">
      <c r="A631">
        <v>1209</v>
      </c>
      <c r="B631" s="1">
        <v>45762</v>
      </c>
      <c r="C631">
        <v>0</v>
      </c>
      <c r="D631" t="s">
        <v>59</v>
      </c>
      <c r="E631">
        <v>4</v>
      </c>
      <c r="F631" t="s">
        <v>35</v>
      </c>
      <c r="G631" t="s">
        <v>33</v>
      </c>
      <c r="H631" t="s">
        <v>51</v>
      </c>
      <c r="I631" t="s">
        <v>25</v>
      </c>
      <c r="J631" t="s">
        <v>15</v>
      </c>
      <c r="K631" s="2">
        <v>17400</v>
      </c>
      <c r="L631" s="3">
        <v>14.7</v>
      </c>
      <c r="M631" s="3">
        <v>87.4</v>
      </c>
      <c r="N631" s="3">
        <v>0</v>
      </c>
      <c r="O631" s="2">
        <v>0</v>
      </c>
      <c r="P631">
        <v>0</v>
      </c>
      <c r="Q631" t="s">
        <v>14</v>
      </c>
      <c r="R631" s="4">
        <v>44.89</v>
      </c>
      <c r="S631" s="4">
        <v>0</v>
      </c>
      <c r="T631" t="s">
        <v>31</v>
      </c>
      <c r="U631" s="4">
        <v>3.92</v>
      </c>
      <c r="V631" s="4">
        <v>2.58</v>
      </c>
      <c r="W631" s="4">
        <v>44.89</v>
      </c>
    </row>
    <row r="632" spans="1:23" ht="15" customHeight="1" x14ac:dyDescent="0.25">
      <c r="A632">
        <v>842</v>
      </c>
      <c r="B632" s="1">
        <v>45762.333333333343</v>
      </c>
      <c r="C632">
        <v>8</v>
      </c>
      <c r="D632" t="s">
        <v>59</v>
      </c>
      <c r="E632">
        <v>4</v>
      </c>
      <c r="F632" t="s">
        <v>35</v>
      </c>
      <c r="G632" t="s">
        <v>33</v>
      </c>
      <c r="H632" t="s">
        <v>50</v>
      </c>
      <c r="I632" t="s">
        <v>22</v>
      </c>
      <c r="J632" t="s">
        <v>12</v>
      </c>
      <c r="K632" s="2">
        <v>21000</v>
      </c>
      <c r="L632" s="3">
        <v>16.7</v>
      </c>
      <c r="M632" s="3">
        <v>64.3</v>
      </c>
      <c r="N632" s="3">
        <v>244.7</v>
      </c>
      <c r="O632" s="2">
        <v>450</v>
      </c>
      <c r="P632">
        <v>0</v>
      </c>
      <c r="Q632" t="s">
        <v>14</v>
      </c>
      <c r="R632" s="4">
        <v>186.35</v>
      </c>
      <c r="S632" s="4">
        <v>49.08</v>
      </c>
      <c r="T632" t="s">
        <v>34</v>
      </c>
      <c r="U632" s="4">
        <v>18.739999999999998</v>
      </c>
      <c r="V632" s="4">
        <v>8.8740000000000006</v>
      </c>
      <c r="W632" s="4">
        <v>137.27000000000001</v>
      </c>
    </row>
    <row r="633" spans="1:23" ht="15" customHeight="1" x14ac:dyDescent="0.25">
      <c r="A633">
        <v>1946</v>
      </c>
      <c r="B633" s="1">
        <v>45762.333333333343</v>
      </c>
      <c r="C633">
        <v>8</v>
      </c>
      <c r="D633" t="s">
        <v>59</v>
      </c>
      <c r="E633">
        <v>4</v>
      </c>
      <c r="F633" t="s">
        <v>35</v>
      </c>
      <c r="G633" t="s">
        <v>33</v>
      </c>
      <c r="H633" t="s">
        <v>52</v>
      </c>
      <c r="I633" t="s">
        <v>13</v>
      </c>
      <c r="J633" t="s">
        <v>21</v>
      </c>
      <c r="K633" s="2">
        <v>9800</v>
      </c>
      <c r="L633" s="3">
        <v>13.9</v>
      </c>
      <c r="M633" s="3">
        <v>82.7</v>
      </c>
      <c r="N633" s="3">
        <v>205.5</v>
      </c>
      <c r="O633" s="2">
        <v>84</v>
      </c>
      <c r="P633">
        <v>1</v>
      </c>
      <c r="Q633" t="s">
        <v>17</v>
      </c>
      <c r="R633" s="4">
        <v>19.010000000000002</v>
      </c>
      <c r="S633" s="4">
        <v>0</v>
      </c>
      <c r="T633" t="s">
        <v>34</v>
      </c>
      <c r="U633" s="4">
        <v>2.63</v>
      </c>
      <c r="V633" s="4">
        <v>1.94</v>
      </c>
      <c r="W633" s="4">
        <v>19.010000000000002</v>
      </c>
    </row>
    <row r="634" spans="1:23" ht="15" customHeight="1" x14ac:dyDescent="0.25">
      <c r="A634">
        <v>106</v>
      </c>
      <c r="B634" s="1">
        <v>45762.333333333343</v>
      </c>
      <c r="C634">
        <v>8</v>
      </c>
      <c r="D634" t="s">
        <v>59</v>
      </c>
      <c r="E634">
        <v>4</v>
      </c>
      <c r="F634" t="s">
        <v>35</v>
      </c>
      <c r="G634" t="s">
        <v>33</v>
      </c>
      <c r="H634" t="s">
        <v>53</v>
      </c>
      <c r="I634" t="s">
        <v>19</v>
      </c>
      <c r="J634" t="s">
        <v>26</v>
      </c>
      <c r="K634" s="2">
        <v>12500</v>
      </c>
      <c r="L634" s="3">
        <v>11.5</v>
      </c>
      <c r="M634" s="3">
        <v>55.5</v>
      </c>
      <c r="N634" s="3">
        <v>233.4</v>
      </c>
      <c r="O634" s="2">
        <v>381</v>
      </c>
      <c r="P634">
        <v>1</v>
      </c>
      <c r="Q634" t="s">
        <v>17</v>
      </c>
      <c r="R634" s="4">
        <v>65.31</v>
      </c>
      <c r="S634" s="4">
        <v>34.61</v>
      </c>
      <c r="T634" t="s">
        <v>34</v>
      </c>
      <c r="U634" s="4">
        <v>4.17</v>
      </c>
      <c r="V634" s="4">
        <v>5.2249999999999996</v>
      </c>
      <c r="W634" s="4">
        <v>30.7</v>
      </c>
    </row>
    <row r="635" spans="1:23" ht="15" customHeight="1" x14ac:dyDescent="0.25">
      <c r="A635">
        <v>474</v>
      </c>
      <c r="B635" s="1">
        <v>45762.333333333343</v>
      </c>
      <c r="C635">
        <v>8</v>
      </c>
      <c r="D635" t="s">
        <v>59</v>
      </c>
      <c r="E635">
        <v>4</v>
      </c>
      <c r="F635" t="s">
        <v>35</v>
      </c>
      <c r="G635" t="s">
        <v>33</v>
      </c>
      <c r="H635" t="s">
        <v>54</v>
      </c>
      <c r="I635" t="s">
        <v>16</v>
      </c>
      <c r="J635" t="s">
        <v>24</v>
      </c>
      <c r="K635" s="2">
        <v>8600</v>
      </c>
      <c r="L635" s="3">
        <v>15.4</v>
      </c>
      <c r="M635" s="3">
        <v>92.5</v>
      </c>
      <c r="N635" s="3">
        <v>79.900000000000006</v>
      </c>
      <c r="O635" s="2">
        <v>717</v>
      </c>
      <c r="P635">
        <v>1</v>
      </c>
      <c r="Q635" t="s">
        <v>23</v>
      </c>
      <c r="R635" s="4">
        <v>106.17</v>
      </c>
      <c r="S635" s="4">
        <v>6.22</v>
      </c>
      <c r="T635" t="s">
        <v>34</v>
      </c>
      <c r="U635" s="4">
        <v>13.77</v>
      </c>
      <c r="V635" s="4">
        <v>12.345000000000001</v>
      </c>
      <c r="W635" s="4">
        <v>99.95</v>
      </c>
    </row>
    <row r="636" spans="1:23" ht="15" customHeight="1" x14ac:dyDescent="0.25">
      <c r="A636">
        <v>1210</v>
      </c>
      <c r="B636" s="1">
        <v>45762.333333333343</v>
      </c>
      <c r="C636">
        <v>8</v>
      </c>
      <c r="D636" t="s">
        <v>59</v>
      </c>
      <c r="E636">
        <v>4</v>
      </c>
      <c r="F636" t="s">
        <v>35</v>
      </c>
      <c r="G636" t="s">
        <v>33</v>
      </c>
      <c r="H636" t="s">
        <v>51</v>
      </c>
      <c r="I636" t="s">
        <v>25</v>
      </c>
      <c r="J636" t="s">
        <v>15</v>
      </c>
      <c r="K636" s="2">
        <v>17400</v>
      </c>
      <c r="L636" s="3">
        <v>17</v>
      </c>
      <c r="M636" s="3">
        <v>67.5</v>
      </c>
      <c r="N636" s="3">
        <v>213.4</v>
      </c>
      <c r="O636" s="2">
        <v>30</v>
      </c>
      <c r="P636">
        <v>0</v>
      </c>
      <c r="Q636" t="s">
        <v>14</v>
      </c>
      <c r="R636" s="4">
        <v>36.840000000000003</v>
      </c>
      <c r="S636" s="4">
        <v>28.11</v>
      </c>
      <c r="T636" t="s">
        <v>34</v>
      </c>
      <c r="U636" s="4">
        <v>1.25</v>
      </c>
      <c r="V636" s="4">
        <v>2.117</v>
      </c>
      <c r="W636" s="4">
        <v>8.73</v>
      </c>
    </row>
    <row r="637" spans="1:23" ht="15" customHeight="1" x14ac:dyDescent="0.25">
      <c r="A637">
        <v>1578</v>
      </c>
      <c r="B637" s="1">
        <v>45762.333333333343</v>
      </c>
      <c r="C637">
        <v>8</v>
      </c>
      <c r="D637" t="s">
        <v>59</v>
      </c>
      <c r="E637">
        <v>4</v>
      </c>
      <c r="F637" t="s">
        <v>35</v>
      </c>
      <c r="G637" t="s">
        <v>33</v>
      </c>
      <c r="H637" t="s">
        <v>49</v>
      </c>
      <c r="I637" t="s">
        <v>27</v>
      </c>
      <c r="J637" t="s">
        <v>18</v>
      </c>
      <c r="K637" s="2">
        <v>26000</v>
      </c>
      <c r="L637" s="3"/>
      <c r="M637" s="3">
        <v>69.8</v>
      </c>
      <c r="N637" s="3">
        <v>248.1</v>
      </c>
      <c r="O637" s="2">
        <v>183</v>
      </c>
      <c r="P637">
        <v>1</v>
      </c>
      <c r="Q637" t="s">
        <v>17</v>
      </c>
      <c r="R637" s="4">
        <v>158</v>
      </c>
      <c r="S637" s="4">
        <v>70.12</v>
      </c>
      <c r="T637" t="s">
        <v>34</v>
      </c>
      <c r="U637" s="4">
        <v>12.13</v>
      </c>
      <c r="V637" s="4">
        <v>6.077</v>
      </c>
      <c r="W637" s="4">
        <v>87.88</v>
      </c>
    </row>
    <row r="638" spans="1:23" ht="15" customHeight="1" x14ac:dyDescent="0.25">
      <c r="A638">
        <v>1211</v>
      </c>
      <c r="B638" s="1">
        <v>45762.583333333343</v>
      </c>
      <c r="C638">
        <v>14</v>
      </c>
      <c r="D638" t="s">
        <v>59</v>
      </c>
      <c r="E638">
        <v>4</v>
      </c>
      <c r="F638" t="s">
        <v>35</v>
      </c>
      <c r="G638" t="s">
        <v>33</v>
      </c>
      <c r="H638" t="s">
        <v>51</v>
      </c>
      <c r="I638" t="s">
        <v>25</v>
      </c>
      <c r="J638" t="s">
        <v>15</v>
      </c>
      <c r="K638" s="2">
        <v>17400</v>
      </c>
      <c r="L638" s="3">
        <v>24</v>
      </c>
      <c r="M638" s="3">
        <v>63.9</v>
      </c>
      <c r="N638" s="3">
        <v>692.9</v>
      </c>
      <c r="O638" s="2">
        <v>1346</v>
      </c>
      <c r="P638">
        <v>1</v>
      </c>
      <c r="Q638" t="s">
        <v>23</v>
      </c>
      <c r="R638" s="4">
        <v>202.71</v>
      </c>
      <c r="S638" s="4">
        <v>82.72</v>
      </c>
      <c r="T638" t="s">
        <v>34</v>
      </c>
      <c r="U638" s="4">
        <v>16.690000000000001</v>
      </c>
      <c r="V638" s="4">
        <v>11.65</v>
      </c>
      <c r="W638" s="4">
        <v>119.99</v>
      </c>
    </row>
    <row r="639" spans="1:23" ht="15" customHeight="1" x14ac:dyDescent="0.25">
      <c r="A639">
        <v>843</v>
      </c>
      <c r="B639" s="1">
        <v>45762.583333333343</v>
      </c>
      <c r="C639">
        <v>14</v>
      </c>
      <c r="D639" t="s">
        <v>59</v>
      </c>
      <c r="E639">
        <v>4</v>
      </c>
      <c r="F639" t="s">
        <v>35</v>
      </c>
      <c r="G639" t="s">
        <v>33</v>
      </c>
      <c r="H639" t="s">
        <v>50</v>
      </c>
      <c r="I639" t="s">
        <v>22</v>
      </c>
      <c r="J639" t="s">
        <v>12</v>
      </c>
      <c r="K639" s="2">
        <v>21000</v>
      </c>
      <c r="L639" s="3">
        <v>25.1</v>
      </c>
      <c r="M639" s="3">
        <v>47.4</v>
      </c>
      <c r="N639" s="3">
        <v>695</v>
      </c>
      <c r="O639" s="2">
        <v>413</v>
      </c>
      <c r="P639">
        <v>1</v>
      </c>
      <c r="Q639" t="s">
        <v>20</v>
      </c>
      <c r="R639" s="4">
        <v>197.13</v>
      </c>
      <c r="S639" s="4">
        <v>144.06</v>
      </c>
      <c r="T639" t="s">
        <v>34</v>
      </c>
      <c r="U639" s="4">
        <v>7.24</v>
      </c>
      <c r="V639" s="4">
        <v>9.3870000000000005</v>
      </c>
      <c r="W639" s="4">
        <v>53.07</v>
      </c>
    </row>
    <row r="640" spans="1:23" ht="15" customHeight="1" x14ac:dyDescent="0.25">
      <c r="A640">
        <v>107</v>
      </c>
      <c r="B640" s="1">
        <v>45762.583333333343</v>
      </c>
      <c r="C640">
        <v>14</v>
      </c>
      <c r="D640" t="s">
        <v>59</v>
      </c>
      <c r="E640">
        <v>4</v>
      </c>
      <c r="F640" t="s">
        <v>35</v>
      </c>
      <c r="G640" t="s">
        <v>33</v>
      </c>
      <c r="H640" t="s">
        <v>53</v>
      </c>
      <c r="I640" t="s">
        <v>19</v>
      </c>
      <c r="J640" t="s">
        <v>26</v>
      </c>
      <c r="K640" s="2">
        <v>12500</v>
      </c>
      <c r="L640" s="3">
        <v>24.4</v>
      </c>
      <c r="M640" s="3">
        <v>53</v>
      </c>
      <c r="N640" s="3">
        <v>580.79999999999995</v>
      </c>
      <c r="O640" s="2">
        <v>554</v>
      </c>
      <c r="P640">
        <v>1</v>
      </c>
      <c r="Q640" t="s">
        <v>20</v>
      </c>
      <c r="R640" s="4">
        <v>115.51</v>
      </c>
      <c r="S640" s="4">
        <v>80.89</v>
      </c>
      <c r="T640" t="s">
        <v>34</v>
      </c>
      <c r="U640" s="4">
        <v>4.63</v>
      </c>
      <c r="V640" s="4">
        <v>9.2409999999999997</v>
      </c>
      <c r="W640" s="4">
        <v>34.619999999999997</v>
      </c>
    </row>
    <row r="641" spans="1:23" ht="15" customHeight="1" x14ac:dyDescent="0.25">
      <c r="A641">
        <v>1579</v>
      </c>
      <c r="B641" s="1">
        <v>45762.583333333343</v>
      </c>
      <c r="C641">
        <v>14</v>
      </c>
      <c r="D641" t="s">
        <v>59</v>
      </c>
      <c r="E641">
        <v>4</v>
      </c>
      <c r="F641" t="s">
        <v>35</v>
      </c>
      <c r="G641" t="s">
        <v>33</v>
      </c>
      <c r="H641" t="s">
        <v>49</v>
      </c>
      <c r="I641" t="s">
        <v>27</v>
      </c>
      <c r="J641" t="s">
        <v>18</v>
      </c>
      <c r="K641" s="2">
        <v>26000</v>
      </c>
      <c r="L641" s="3">
        <v>21.8</v>
      </c>
      <c r="M641" s="3">
        <v>50.7</v>
      </c>
      <c r="N641" s="3">
        <v>608</v>
      </c>
      <c r="O641" s="2">
        <v>165</v>
      </c>
      <c r="P641">
        <v>0</v>
      </c>
      <c r="Q641" t="s">
        <v>14</v>
      </c>
      <c r="R641" s="4"/>
      <c r="S641" s="4">
        <v>152.03</v>
      </c>
      <c r="T641" t="s">
        <v>34</v>
      </c>
      <c r="U641" s="4">
        <v>-0.05</v>
      </c>
      <c r="V641" s="4"/>
      <c r="W641" s="4"/>
    </row>
    <row r="642" spans="1:23" ht="15" customHeight="1" x14ac:dyDescent="0.25">
      <c r="A642">
        <v>475</v>
      </c>
      <c r="B642" s="1">
        <v>45762.583333333343</v>
      </c>
      <c r="C642">
        <v>14</v>
      </c>
      <c r="D642" t="s">
        <v>59</v>
      </c>
      <c r="E642">
        <v>4</v>
      </c>
      <c r="F642" t="s">
        <v>35</v>
      </c>
      <c r="G642" t="s">
        <v>33</v>
      </c>
      <c r="H642" t="s">
        <v>54</v>
      </c>
      <c r="I642" t="s">
        <v>16</v>
      </c>
      <c r="J642" t="s">
        <v>24</v>
      </c>
      <c r="K642" s="2">
        <v>8600</v>
      </c>
      <c r="L642" s="3">
        <v>17.600000000000001</v>
      </c>
      <c r="M642" s="3">
        <v>76.400000000000006</v>
      </c>
      <c r="N642" s="3">
        <v>469.4</v>
      </c>
      <c r="O642" s="2">
        <v>819</v>
      </c>
      <c r="P642">
        <v>0</v>
      </c>
      <c r="Q642" t="s">
        <v>14</v>
      </c>
      <c r="R642" s="4">
        <v>77.459999999999994</v>
      </c>
      <c r="S642" s="4">
        <v>35.32</v>
      </c>
      <c r="T642" t="s">
        <v>34</v>
      </c>
      <c r="U642" s="4">
        <v>5.96</v>
      </c>
      <c r="V642" s="4">
        <v>9.0069999999999997</v>
      </c>
      <c r="W642" s="4">
        <v>42.14</v>
      </c>
    </row>
    <row r="643" spans="1:23" ht="15" customHeight="1" x14ac:dyDescent="0.25">
      <c r="A643">
        <v>1947</v>
      </c>
      <c r="B643" s="1">
        <v>45762.583333333343</v>
      </c>
      <c r="C643">
        <v>14</v>
      </c>
      <c r="D643" t="s">
        <v>59</v>
      </c>
      <c r="E643">
        <v>4</v>
      </c>
      <c r="F643" t="s">
        <v>35</v>
      </c>
      <c r="G643" t="s">
        <v>33</v>
      </c>
      <c r="H643" t="s">
        <v>52</v>
      </c>
      <c r="I643" t="s">
        <v>13</v>
      </c>
      <c r="J643" t="s">
        <v>21</v>
      </c>
      <c r="K643" s="2">
        <v>9800</v>
      </c>
      <c r="L643" s="3">
        <v>20.2</v>
      </c>
      <c r="M643" s="3">
        <v>72.2</v>
      </c>
      <c r="N643" s="3">
        <v>479.6</v>
      </c>
      <c r="O643" s="2">
        <v>73</v>
      </c>
      <c r="P643">
        <v>0</v>
      </c>
      <c r="Q643" t="s">
        <v>14</v>
      </c>
      <c r="R643" s="4">
        <v>17.79</v>
      </c>
      <c r="S643" s="4">
        <v>0</v>
      </c>
      <c r="T643" t="s">
        <v>34</v>
      </c>
      <c r="U643" s="4">
        <v>2.48</v>
      </c>
      <c r="V643" s="4">
        <v>1.8149999999999999</v>
      </c>
      <c r="W643" s="4">
        <v>17.79</v>
      </c>
    </row>
    <row r="644" spans="1:23" ht="15" customHeight="1" x14ac:dyDescent="0.25">
      <c r="A644">
        <v>844</v>
      </c>
      <c r="B644" s="1">
        <v>45762.833333333343</v>
      </c>
      <c r="C644">
        <v>20</v>
      </c>
      <c r="D644" t="s">
        <v>59</v>
      </c>
      <c r="E644">
        <v>4</v>
      </c>
      <c r="F644" t="s">
        <v>35</v>
      </c>
      <c r="G644" t="s">
        <v>33</v>
      </c>
      <c r="H644" t="s">
        <v>50</v>
      </c>
      <c r="I644" t="s">
        <v>22</v>
      </c>
      <c r="J644" t="s">
        <v>12</v>
      </c>
      <c r="K644" s="2">
        <v>21000</v>
      </c>
      <c r="L644" s="3">
        <v>17.899999999999999</v>
      </c>
      <c r="M644" s="3">
        <v>47.5</v>
      </c>
      <c r="N644" s="3">
        <v>0</v>
      </c>
      <c r="O644" s="2">
        <v>410</v>
      </c>
      <c r="P644">
        <v>0</v>
      </c>
      <c r="Q644" t="s">
        <v>14</v>
      </c>
      <c r="R644" s="4">
        <v>264.92</v>
      </c>
      <c r="S644" s="4">
        <v>0</v>
      </c>
      <c r="T644" t="s">
        <v>37</v>
      </c>
      <c r="U644" s="4">
        <v>54.47</v>
      </c>
      <c r="V644" s="4">
        <v>12.615</v>
      </c>
      <c r="W644" s="4">
        <v>264.92</v>
      </c>
    </row>
    <row r="645" spans="1:23" ht="15" customHeight="1" x14ac:dyDescent="0.25">
      <c r="A645">
        <v>1580</v>
      </c>
      <c r="B645" s="1">
        <v>45762.833333333343</v>
      </c>
      <c r="C645">
        <v>20</v>
      </c>
      <c r="D645" t="s">
        <v>59</v>
      </c>
      <c r="E645">
        <v>4</v>
      </c>
      <c r="F645" t="s">
        <v>35</v>
      </c>
      <c r="G645" t="s">
        <v>33</v>
      </c>
      <c r="H645" t="s">
        <v>49</v>
      </c>
      <c r="I645" t="s">
        <v>27</v>
      </c>
      <c r="J645" t="s">
        <v>18</v>
      </c>
      <c r="K645" s="2">
        <v>26000</v>
      </c>
      <c r="L645" s="3">
        <v>15.2</v>
      </c>
      <c r="M645" s="3">
        <v>81.8</v>
      </c>
      <c r="N645" s="3">
        <v>0</v>
      </c>
      <c r="O645" s="2">
        <v>171</v>
      </c>
      <c r="P645">
        <v>1</v>
      </c>
      <c r="Q645" t="s">
        <v>23</v>
      </c>
      <c r="R645" s="4">
        <v>246.01</v>
      </c>
      <c r="S645" s="4">
        <v>0</v>
      </c>
      <c r="T645" t="s">
        <v>37</v>
      </c>
      <c r="U645" s="4">
        <v>53.63</v>
      </c>
      <c r="V645" s="4">
        <v>9.4619999999999997</v>
      </c>
      <c r="W645" s="4">
        <v>246.01</v>
      </c>
    </row>
    <row r="646" spans="1:23" ht="15" customHeight="1" x14ac:dyDescent="0.25">
      <c r="A646">
        <v>1212</v>
      </c>
      <c r="B646" s="1">
        <v>45762.833333333343</v>
      </c>
      <c r="C646">
        <v>20</v>
      </c>
      <c r="D646" t="s">
        <v>59</v>
      </c>
      <c r="E646">
        <v>4</v>
      </c>
      <c r="F646" t="s">
        <v>35</v>
      </c>
      <c r="G646" t="s">
        <v>33</v>
      </c>
      <c r="H646" t="s">
        <v>51</v>
      </c>
      <c r="I646" t="s">
        <v>25</v>
      </c>
      <c r="J646" t="s">
        <v>15</v>
      </c>
      <c r="K646" s="2">
        <v>17400</v>
      </c>
      <c r="L646" s="3">
        <v>19</v>
      </c>
      <c r="M646" s="3">
        <v>70.900000000000006</v>
      </c>
      <c r="N646" s="3">
        <v>0</v>
      </c>
      <c r="O646" s="2">
        <v>1319</v>
      </c>
      <c r="P646">
        <v>0</v>
      </c>
      <c r="Q646" t="s">
        <v>14</v>
      </c>
      <c r="R646" s="4">
        <v>273.75</v>
      </c>
      <c r="S646" s="4">
        <v>0</v>
      </c>
      <c r="T646" t="s">
        <v>37</v>
      </c>
      <c r="U646" s="4">
        <v>58.53</v>
      </c>
      <c r="V646" s="4">
        <v>15.733000000000001</v>
      </c>
      <c r="W646" s="4">
        <v>273.75</v>
      </c>
    </row>
    <row r="647" spans="1:23" ht="15" customHeight="1" x14ac:dyDescent="0.25">
      <c r="A647">
        <v>108</v>
      </c>
      <c r="B647" s="1">
        <v>45762.833333333343</v>
      </c>
      <c r="C647">
        <v>20</v>
      </c>
      <c r="D647" t="s">
        <v>59</v>
      </c>
      <c r="E647">
        <v>4</v>
      </c>
      <c r="F647" t="s">
        <v>35</v>
      </c>
      <c r="G647" t="s">
        <v>33</v>
      </c>
      <c r="H647" t="s">
        <v>53</v>
      </c>
      <c r="I647" t="s">
        <v>19</v>
      </c>
      <c r="J647" t="s">
        <v>26</v>
      </c>
      <c r="K647" s="2">
        <v>12500</v>
      </c>
      <c r="L647" s="3">
        <v>14.7</v>
      </c>
      <c r="M647" s="3">
        <v>62.8</v>
      </c>
      <c r="N647" s="3">
        <v>0</v>
      </c>
      <c r="O647" s="2">
        <v>93</v>
      </c>
      <c r="P647">
        <v>1</v>
      </c>
      <c r="Q647" t="s">
        <v>23</v>
      </c>
      <c r="R647" s="4">
        <v>37.979999999999997</v>
      </c>
      <c r="S647" s="4">
        <v>0</v>
      </c>
      <c r="T647" t="s">
        <v>37</v>
      </c>
      <c r="U647" s="4">
        <v>8.06</v>
      </c>
      <c r="V647" s="4">
        <v>3.0379999999999998</v>
      </c>
      <c r="W647" s="4">
        <v>37.979999999999997</v>
      </c>
    </row>
    <row r="648" spans="1:23" ht="15" customHeight="1" x14ac:dyDescent="0.25">
      <c r="A648">
        <v>1948</v>
      </c>
      <c r="B648" s="1">
        <v>45762.833333333343</v>
      </c>
      <c r="C648">
        <v>20</v>
      </c>
      <c r="D648" t="s">
        <v>59</v>
      </c>
      <c r="E648">
        <v>4</v>
      </c>
      <c r="F648" t="s">
        <v>35</v>
      </c>
      <c r="G648" t="s">
        <v>33</v>
      </c>
      <c r="H648" t="s">
        <v>52</v>
      </c>
      <c r="I648" t="s">
        <v>13</v>
      </c>
      <c r="J648" t="s">
        <v>21</v>
      </c>
      <c r="K648" s="2">
        <v>9800</v>
      </c>
      <c r="L648" s="3">
        <v>13.6</v>
      </c>
      <c r="M648" s="3">
        <v>75.900000000000006</v>
      </c>
      <c r="N648" s="3">
        <v>0</v>
      </c>
      <c r="O648" s="2">
        <v>276</v>
      </c>
      <c r="P648">
        <v>1</v>
      </c>
      <c r="Q648" t="s">
        <v>17</v>
      </c>
      <c r="R648" s="4">
        <v>92.86</v>
      </c>
      <c r="S648" s="4">
        <v>0</v>
      </c>
      <c r="T648" t="s">
        <v>37</v>
      </c>
      <c r="U648" s="4">
        <v>19</v>
      </c>
      <c r="V648" s="4">
        <v>9.4760000000000009</v>
      </c>
      <c r="W648" s="4">
        <v>92.86</v>
      </c>
    </row>
    <row r="649" spans="1:23" ht="15" customHeight="1" x14ac:dyDescent="0.25">
      <c r="A649">
        <v>476</v>
      </c>
      <c r="B649" s="1">
        <v>45762.833333333343</v>
      </c>
      <c r="C649">
        <v>20</v>
      </c>
      <c r="D649" t="s">
        <v>59</v>
      </c>
      <c r="E649">
        <v>4</v>
      </c>
      <c r="F649" t="s">
        <v>35</v>
      </c>
      <c r="G649" t="s">
        <v>33</v>
      </c>
      <c r="H649" t="s">
        <v>54</v>
      </c>
      <c r="I649" t="s">
        <v>16</v>
      </c>
      <c r="J649" t="s">
        <v>24</v>
      </c>
      <c r="K649" s="2">
        <v>8600</v>
      </c>
      <c r="L649" s="3">
        <v>15.2</v>
      </c>
      <c r="M649" s="3">
        <v>80.099999999999994</v>
      </c>
      <c r="N649" s="3">
        <v>0</v>
      </c>
      <c r="O649" s="2">
        <v>52</v>
      </c>
      <c r="P649">
        <v>1</v>
      </c>
      <c r="Q649" t="s">
        <v>23</v>
      </c>
      <c r="R649" s="4">
        <v>20.94</v>
      </c>
      <c r="S649" s="4">
        <v>0</v>
      </c>
      <c r="T649" t="s">
        <v>37</v>
      </c>
      <c r="U649" s="4">
        <v>4.42</v>
      </c>
      <c r="V649" s="4">
        <v>2.4350000000000001</v>
      </c>
      <c r="W649" s="4">
        <v>20.94</v>
      </c>
    </row>
    <row r="650" spans="1:23" ht="15" customHeight="1" x14ac:dyDescent="0.25">
      <c r="A650">
        <v>109</v>
      </c>
      <c r="B650" s="1">
        <v>45766</v>
      </c>
      <c r="C650">
        <v>0</v>
      </c>
      <c r="D650" t="s">
        <v>60</v>
      </c>
      <c r="E650">
        <v>4</v>
      </c>
      <c r="F650" t="s">
        <v>35</v>
      </c>
      <c r="G650" t="s">
        <v>36</v>
      </c>
      <c r="H650" t="s">
        <v>53</v>
      </c>
      <c r="I650" t="s">
        <v>19</v>
      </c>
      <c r="J650" t="s">
        <v>26</v>
      </c>
      <c r="K650" s="2">
        <v>12500</v>
      </c>
      <c r="L650" s="3">
        <v>11.6</v>
      </c>
      <c r="M650" s="3">
        <v>64.400000000000006</v>
      </c>
      <c r="N650" s="3">
        <v>0</v>
      </c>
      <c r="O650" s="2"/>
      <c r="P650">
        <v>0</v>
      </c>
      <c r="Q650" t="s">
        <v>14</v>
      </c>
      <c r="R650" s="4">
        <v>23.23</v>
      </c>
      <c r="S650" s="4">
        <v>0</v>
      </c>
      <c r="T650" t="s">
        <v>31</v>
      </c>
      <c r="U650" s="4">
        <v>2.0299999999999998</v>
      </c>
      <c r="V650" s="4">
        <v>1.8580000000000001</v>
      </c>
      <c r="W650" s="4">
        <v>23.23</v>
      </c>
    </row>
    <row r="651" spans="1:23" ht="15" customHeight="1" x14ac:dyDescent="0.25">
      <c r="A651">
        <v>1213</v>
      </c>
      <c r="B651" s="1">
        <v>45766</v>
      </c>
      <c r="C651">
        <v>0</v>
      </c>
      <c r="D651" t="s">
        <v>60</v>
      </c>
      <c r="E651">
        <v>4</v>
      </c>
      <c r="F651" t="s">
        <v>35</v>
      </c>
      <c r="G651" t="s">
        <v>36</v>
      </c>
      <c r="H651" t="s">
        <v>51</v>
      </c>
      <c r="I651" t="s">
        <v>25</v>
      </c>
      <c r="J651" t="s">
        <v>15</v>
      </c>
      <c r="K651" s="2">
        <v>17400</v>
      </c>
      <c r="L651" s="3">
        <v>16.600000000000001</v>
      </c>
      <c r="M651" s="3">
        <v>76.099999999999994</v>
      </c>
      <c r="N651" s="3">
        <v>0</v>
      </c>
      <c r="O651" s="2">
        <v>76</v>
      </c>
      <c r="P651">
        <v>0</v>
      </c>
      <c r="Q651" t="s">
        <v>14</v>
      </c>
      <c r="R651" s="4">
        <v>52.78</v>
      </c>
      <c r="S651" s="4">
        <v>0</v>
      </c>
      <c r="T651" t="s">
        <v>31</v>
      </c>
      <c r="U651" s="4">
        <v>4.4800000000000004</v>
      </c>
      <c r="V651" s="4">
        <v>3.0329999999999999</v>
      </c>
      <c r="W651" s="4">
        <v>52.78</v>
      </c>
    </row>
    <row r="652" spans="1:23" ht="15" customHeight="1" x14ac:dyDescent="0.25">
      <c r="A652">
        <v>845</v>
      </c>
      <c r="B652" s="1">
        <v>45766</v>
      </c>
      <c r="C652">
        <v>0</v>
      </c>
      <c r="D652" t="s">
        <v>60</v>
      </c>
      <c r="E652">
        <v>4</v>
      </c>
      <c r="F652" t="s">
        <v>35</v>
      </c>
      <c r="G652" t="s">
        <v>36</v>
      </c>
      <c r="H652" t="s">
        <v>50</v>
      </c>
      <c r="I652" t="s">
        <v>22</v>
      </c>
      <c r="J652" t="s">
        <v>12</v>
      </c>
      <c r="K652" s="2">
        <v>21000</v>
      </c>
      <c r="L652" s="3">
        <v>19.3</v>
      </c>
      <c r="M652" s="3">
        <v>68.2</v>
      </c>
      <c r="N652" s="3">
        <v>0</v>
      </c>
      <c r="O652" s="2">
        <v>225</v>
      </c>
      <c r="P652">
        <v>0</v>
      </c>
      <c r="Q652" t="s">
        <v>14</v>
      </c>
      <c r="R652" s="4">
        <v>173.12</v>
      </c>
      <c r="S652" s="4">
        <v>0</v>
      </c>
      <c r="T652" t="s">
        <v>31</v>
      </c>
      <c r="U652" s="4">
        <v>14.87</v>
      </c>
      <c r="V652" s="4">
        <v>8.2439999999999998</v>
      </c>
      <c r="W652" s="4">
        <v>173.12</v>
      </c>
    </row>
    <row r="653" spans="1:23" ht="15" customHeight="1" x14ac:dyDescent="0.25">
      <c r="A653">
        <v>477</v>
      </c>
      <c r="B653" s="1">
        <v>45766</v>
      </c>
      <c r="C653">
        <v>0</v>
      </c>
      <c r="D653" t="s">
        <v>60</v>
      </c>
      <c r="E653">
        <v>4</v>
      </c>
      <c r="F653" t="s">
        <v>35</v>
      </c>
      <c r="G653" t="s">
        <v>36</v>
      </c>
      <c r="H653" t="s">
        <v>54</v>
      </c>
      <c r="I653" t="s">
        <v>16</v>
      </c>
      <c r="J653" t="s">
        <v>24</v>
      </c>
      <c r="K653" s="2">
        <v>8600</v>
      </c>
      <c r="L653" s="3">
        <v>9.6999999999999993</v>
      </c>
      <c r="M653" s="3">
        <v>85.5</v>
      </c>
      <c r="N653" s="3">
        <v>0</v>
      </c>
      <c r="O653" s="2">
        <v>0</v>
      </c>
      <c r="P653">
        <v>0</v>
      </c>
      <c r="Q653" t="s">
        <v>14</v>
      </c>
      <c r="R653" s="4">
        <v>12.76</v>
      </c>
      <c r="S653" s="4">
        <v>0</v>
      </c>
      <c r="T653" t="s">
        <v>31</v>
      </c>
      <c r="U653" s="4">
        <v>1.08</v>
      </c>
      <c r="V653" s="4">
        <v>1.484</v>
      </c>
      <c r="W653" s="4">
        <v>12.76</v>
      </c>
    </row>
    <row r="654" spans="1:23" ht="15" customHeight="1" x14ac:dyDescent="0.25">
      <c r="A654">
        <v>1949</v>
      </c>
      <c r="B654" s="1">
        <v>45766</v>
      </c>
      <c r="C654">
        <v>0</v>
      </c>
      <c r="D654" t="s">
        <v>60</v>
      </c>
      <c r="E654">
        <v>4</v>
      </c>
      <c r="F654" t="s">
        <v>35</v>
      </c>
      <c r="G654" t="s">
        <v>36</v>
      </c>
      <c r="H654" t="s">
        <v>52</v>
      </c>
      <c r="I654" t="s">
        <v>13</v>
      </c>
      <c r="J654" t="s">
        <v>21</v>
      </c>
      <c r="K654" s="2">
        <v>9800</v>
      </c>
      <c r="L654" s="3">
        <v>12.3</v>
      </c>
      <c r="M654" s="3">
        <v>65.2</v>
      </c>
      <c r="N654" s="3">
        <v>0</v>
      </c>
      <c r="O654" s="2">
        <v>317</v>
      </c>
      <c r="P654">
        <v>1</v>
      </c>
      <c r="Q654" t="s">
        <v>17</v>
      </c>
      <c r="R654" s="4">
        <v>98.51</v>
      </c>
      <c r="S654" s="4">
        <v>0</v>
      </c>
      <c r="T654" t="s">
        <v>31</v>
      </c>
      <c r="U654" s="4">
        <v>8.42</v>
      </c>
      <c r="V654" s="4">
        <v>10.052</v>
      </c>
      <c r="W654" s="4">
        <v>98.51</v>
      </c>
    </row>
    <row r="655" spans="1:23" ht="15" customHeight="1" x14ac:dyDescent="0.25">
      <c r="A655">
        <v>1581</v>
      </c>
      <c r="B655" s="1">
        <v>45766</v>
      </c>
      <c r="C655">
        <v>0</v>
      </c>
      <c r="D655" t="s">
        <v>60</v>
      </c>
      <c r="E655">
        <v>4</v>
      </c>
      <c r="F655" t="s">
        <v>35</v>
      </c>
      <c r="G655" t="s">
        <v>36</v>
      </c>
      <c r="H655" t="s">
        <v>49</v>
      </c>
      <c r="I655" t="s">
        <v>27</v>
      </c>
      <c r="J655" t="s">
        <v>18</v>
      </c>
      <c r="K655" s="2">
        <v>26000</v>
      </c>
      <c r="L655" s="3">
        <v>12.6</v>
      </c>
      <c r="M655" s="3">
        <v>73.2</v>
      </c>
      <c r="N655" s="3">
        <v>0</v>
      </c>
      <c r="O655" s="2">
        <v>20</v>
      </c>
      <c r="P655">
        <v>1</v>
      </c>
      <c r="Q655" t="s">
        <v>17</v>
      </c>
      <c r="R655" s="4">
        <v>83.55</v>
      </c>
      <c r="S655" s="4">
        <v>0</v>
      </c>
      <c r="T655" t="s">
        <v>31</v>
      </c>
      <c r="U655" s="4">
        <v>7.14</v>
      </c>
      <c r="V655" s="4">
        <v>3.2130000000000001</v>
      </c>
      <c r="W655" s="4">
        <v>83.55</v>
      </c>
    </row>
    <row r="656" spans="1:23" ht="15" customHeight="1" x14ac:dyDescent="0.25">
      <c r="A656">
        <v>478</v>
      </c>
      <c r="B656" s="1">
        <v>45766.333333333343</v>
      </c>
      <c r="C656">
        <v>8</v>
      </c>
      <c r="D656" t="s">
        <v>60</v>
      </c>
      <c r="E656">
        <v>4</v>
      </c>
      <c r="F656" t="s">
        <v>35</v>
      </c>
      <c r="G656" t="s">
        <v>36</v>
      </c>
      <c r="H656" t="s">
        <v>54</v>
      </c>
      <c r="I656" t="s">
        <v>16</v>
      </c>
      <c r="J656" t="s">
        <v>24</v>
      </c>
      <c r="K656" s="2">
        <v>8600</v>
      </c>
      <c r="L656" s="3">
        <v>15.2</v>
      </c>
      <c r="M656" s="3">
        <v>89.1</v>
      </c>
      <c r="N656" s="3">
        <v>148</v>
      </c>
      <c r="O656" s="2">
        <v>0</v>
      </c>
      <c r="P656">
        <v>0</v>
      </c>
      <c r="Q656" t="s">
        <v>14</v>
      </c>
      <c r="R656" s="4">
        <v>7.51</v>
      </c>
      <c r="S656" s="4">
        <v>11.16</v>
      </c>
      <c r="T656" t="s">
        <v>31</v>
      </c>
      <c r="U656" s="4">
        <v>-0.13</v>
      </c>
      <c r="V656" s="4">
        <v>0.873</v>
      </c>
      <c r="W656" s="4">
        <v>0</v>
      </c>
    </row>
    <row r="657" spans="1:23" ht="15" customHeight="1" x14ac:dyDescent="0.25">
      <c r="A657">
        <v>1950</v>
      </c>
      <c r="B657" s="1">
        <v>45766.333333333343</v>
      </c>
      <c r="C657">
        <v>8</v>
      </c>
      <c r="D657" t="s">
        <v>60</v>
      </c>
      <c r="E657">
        <v>4</v>
      </c>
      <c r="F657" t="s">
        <v>35</v>
      </c>
      <c r="G657" t="s">
        <v>36</v>
      </c>
      <c r="H657" t="s">
        <v>52</v>
      </c>
      <c r="I657" t="s">
        <v>13</v>
      </c>
      <c r="J657" t="s">
        <v>21</v>
      </c>
      <c r="K657" s="2">
        <v>9800</v>
      </c>
      <c r="L657" s="3">
        <v>17</v>
      </c>
      <c r="M657" s="3">
        <v>83.6</v>
      </c>
      <c r="N657" s="3">
        <v>212.7</v>
      </c>
      <c r="O657" s="2">
        <v>109</v>
      </c>
      <c r="P657">
        <v>0</v>
      </c>
      <c r="Q657" t="s">
        <v>14</v>
      </c>
      <c r="R657" s="4">
        <v>25.86</v>
      </c>
      <c r="S657" s="4">
        <v>0</v>
      </c>
      <c r="T657" t="s">
        <v>31</v>
      </c>
      <c r="U657" s="4">
        <v>2.21</v>
      </c>
      <c r="V657" s="4">
        <v>2.6389999999999998</v>
      </c>
      <c r="W657" s="4">
        <v>25.86</v>
      </c>
    </row>
    <row r="658" spans="1:23" ht="15" customHeight="1" x14ac:dyDescent="0.25">
      <c r="A658">
        <v>1214</v>
      </c>
      <c r="B658" s="1">
        <v>45766.333333333343</v>
      </c>
      <c r="C658">
        <v>8</v>
      </c>
      <c r="D658" t="s">
        <v>60</v>
      </c>
      <c r="E658">
        <v>4</v>
      </c>
      <c r="F658" t="s">
        <v>35</v>
      </c>
      <c r="G658" t="s">
        <v>36</v>
      </c>
      <c r="H658" t="s">
        <v>51</v>
      </c>
      <c r="I658" t="s">
        <v>25</v>
      </c>
      <c r="J658" t="s">
        <v>15</v>
      </c>
      <c r="K658" s="2">
        <v>17400</v>
      </c>
      <c r="L658" s="3">
        <v>19.2</v>
      </c>
      <c r="M658" s="3">
        <v>76.900000000000006</v>
      </c>
      <c r="N658" s="3">
        <v>247.4</v>
      </c>
      <c r="O658" s="2">
        <v>185</v>
      </c>
      <c r="P658">
        <v>0</v>
      </c>
      <c r="Q658" t="s">
        <v>14</v>
      </c>
      <c r="R658" s="4">
        <v>45.84</v>
      </c>
      <c r="S658" s="4">
        <v>30.49</v>
      </c>
      <c r="T658" t="s">
        <v>31</v>
      </c>
      <c r="U658" s="4">
        <v>1.33</v>
      </c>
      <c r="V658" s="4">
        <v>2.6339999999999999</v>
      </c>
      <c r="W658" s="4">
        <v>15.35</v>
      </c>
    </row>
    <row r="659" spans="1:23" ht="15" customHeight="1" x14ac:dyDescent="0.25">
      <c r="A659">
        <v>110</v>
      </c>
      <c r="B659" s="1">
        <v>45766.333333333343</v>
      </c>
      <c r="C659">
        <v>8</v>
      </c>
      <c r="D659" t="s">
        <v>60</v>
      </c>
      <c r="E659">
        <v>4</v>
      </c>
      <c r="F659" t="s">
        <v>35</v>
      </c>
      <c r="G659" t="s">
        <v>36</v>
      </c>
      <c r="H659" t="s">
        <v>53</v>
      </c>
      <c r="I659" t="s">
        <v>19</v>
      </c>
      <c r="J659" t="s">
        <v>26</v>
      </c>
      <c r="K659" s="2">
        <v>12500</v>
      </c>
      <c r="L659" s="3">
        <v>16.7</v>
      </c>
      <c r="M659" s="3">
        <v>42.7</v>
      </c>
      <c r="N659" s="3">
        <v>276.2</v>
      </c>
      <c r="O659" s="2">
        <v>4</v>
      </c>
      <c r="P659">
        <v>0</v>
      </c>
      <c r="Q659" t="s">
        <v>14</v>
      </c>
      <c r="R659" s="4">
        <v>16.420000000000002</v>
      </c>
      <c r="S659" s="4">
        <v>41.13</v>
      </c>
      <c r="T659" t="s">
        <v>31</v>
      </c>
      <c r="U659" s="4">
        <v>-0.82</v>
      </c>
      <c r="V659" s="4">
        <v>1.3140000000000001</v>
      </c>
      <c r="W659" s="4">
        <v>0</v>
      </c>
    </row>
    <row r="660" spans="1:23" ht="15" customHeight="1" x14ac:dyDescent="0.25">
      <c r="A660">
        <v>846</v>
      </c>
      <c r="B660" s="1">
        <v>45766.333333333343</v>
      </c>
      <c r="C660">
        <v>8</v>
      </c>
      <c r="D660" t="s">
        <v>60</v>
      </c>
      <c r="E660">
        <v>4</v>
      </c>
      <c r="F660" t="s">
        <v>35</v>
      </c>
      <c r="G660" t="s">
        <v>36</v>
      </c>
      <c r="H660" t="s">
        <v>50</v>
      </c>
      <c r="I660" t="s">
        <v>22</v>
      </c>
      <c r="J660" t="s">
        <v>12</v>
      </c>
      <c r="K660" s="2">
        <v>21000</v>
      </c>
      <c r="L660" s="3">
        <v>14.9</v>
      </c>
      <c r="M660" s="3">
        <v>62.5</v>
      </c>
      <c r="N660" s="3">
        <v>287.89999999999998</v>
      </c>
      <c r="O660" s="2">
        <v>436</v>
      </c>
      <c r="P660">
        <v>1</v>
      </c>
      <c r="Q660" t="s">
        <v>23</v>
      </c>
      <c r="R660" s="4">
        <v>198.39</v>
      </c>
      <c r="S660" s="4">
        <v>62.18</v>
      </c>
      <c r="T660" t="s">
        <v>31</v>
      </c>
      <c r="U660" s="4">
        <v>11.82</v>
      </c>
      <c r="V660" s="4">
        <v>9.4469999999999992</v>
      </c>
      <c r="W660" s="4">
        <v>136.21</v>
      </c>
    </row>
    <row r="661" spans="1:23" ht="15" customHeight="1" x14ac:dyDescent="0.25">
      <c r="A661">
        <v>1582</v>
      </c>
      <c r="B661" s="1">
        <v>45766.333333333343</v>
      </c>
      <c r="C661">
        <v>8</v>
      </c>
      <c r="D661" t="s">
        <v>60</v>
      </c>
      <c r="E661">
        <v>4</v>
      </c>
      <c r="F661" t="s">
        <v>35</v>
      </c>
      <c r="G661" t="s">
        <v>36</v>
      </c>
      <c r="H661" t="s">
        <v>49</v>
      </c>
      <c r="I661" t="s">
        <v>27</v>
      </c>
      <c r="J661" t="s">
        <v>18</v>
      </c>
      <c r="K661" s="2">
        <v>26000</v>
      </c>
      <c r="L661" s="3">
        <v>17.100000000000001</v>
      </c>
      <c r="M661" s="3">
        <v>67.7</v>
      </c>
      <c r="N661" s="3">
        <v>220.7</v>
      </c>
      <c r="O661" s="2">
        <v>75</v>
      </c>
      <c r="P661">
        <v>0</v>
      </c>
      <c r="Q661" t="s">
        <v>14</v>
      </c>
      <c r="R661" s="4">
        <v>77.510000000000005</v>
      </c>
      <c r="S661" s="4">
        <v>58.25</v>
      </c>
      <c r="T661" t="s">
        <v>31</v>
      </c>
      <c r="U661" s="4">
        <v>1.69</v>
      </c>
      <c r="V661" s="4">
        <v>2.9809999999999999</v>
      </c>
      <c r="W661" s="4">
        <v>19.260000000000002</v>
      </c>
    </row>
    <row r="662" spans="1:23" ht="15" customHeight="1" x14ac:dyDescent="0.25">
      <c r="A662">
        <v>847</v>
      </c>
      <c r="B662" s="1">
        <v>45766.583333333343</v>
      </c>
      <c r="C662">
        <v>14</v>
      </c>
      <c r="D662" t="s">
        <v>60</v>
      </c>
      <c r="E662">
        <v>4</v>
      </c>
      <c r="F662" t="s">
        <v>35</v>
      </c>
      <c r="G662" t="s">
        <v>36</v>
      </c>
      <c r="H662" t="s">
        <v>50</v>
      </c>
      <c r="I662" t="s">
        <v>22</v>
      </c>
      <c r="J662" t="s">
        <v>12</v>
      </c>
      <c r="K662" s="2">
        <v>21000</v>
      </c>
      <c r="L662" s="3">
        <v>27.7</v>
      </c>
      <c r="M662" s="3">
        <v>54.5</v>
      </c>
      <c r="N662" s="3">
        <v>596.70000000000005</v>
      </c>
      <c r="O662" s="2">
        <v>404</v>
      </c>
      <c r="P662">
        <v>1</v>
      </c>
      <c r="Q662" t="s">
        <v>20</v>
      </c>
      <c r="R662" s="4">
        <v>230.62</v>
      </c>
      <c r="S662" s="4">
        <v>111.39</v>
      </c>
      <c r="T662" t="s">
        <v>31</v>
      </c>
      <c r="U662" s="4">
        <v>10.3</v>
      </c>
      <c r="V662" s="4">
        <v>10.981999999999999</v>
      </c>
      <c r="W662" s="4">
        <v>119.23</v>
      </c>
    </row>
    <row r="663" spans="1:23" ht="15" customHeight="1" x14ac:dyDescent="0.25">
      <c r="A663">
        <v>1951</v>
      </c>
      <c r="B663" s="1">
        <v>45766.583333333343</v>
      </c>
      <c r="C663">
        <v>14</v>
      </c>
      <c r="D663" t="s">
        <v>60</v>
      </c>
      <c r="E663">
        <v>4</v>
      </c>
      <c r="F663" t="s">
        <v>35</v>
      </c>
      <c r="G663" t="s">
        <v>36</v>
      </c>
      <c r="H663" t="s">
        <v>52</v>
      </c>
      <c r="I663" t="s">
        <v>13</v>
      </c>
      <c r="J663" t="s">
        <v>21</v>
      </c>
      <c r="K663" s="2">
        <v>9800</v>
      </c>
      <c r="L663" s="3">
        <v>20.399999999999999</v>
      </c>
      <c r="M663" s="3">
        <v>71.7</v>
      </c>
      <c r="N663" s="3">
        <v>488.6</v>
      </c>
      <c r="O663" s="2">
        <v>123</v>
      </c>
      <c r="P663">
        <v>0</v>
      </c>
      <c r="Q663" t="s">
        <v>14</v>
      </c>
      <c r="R663" s="4">
        <v>26.83</v>
      </c>
      <c r="S663" s="4">
        <v>0</v>
      </c>
      <c r="T663" t="s">
        <v>31</v>
      </c>
      <c r="U663" s="4">
        <v>2.2400000000000002</v>
      </c>
      <c r="V663" s="4">
        <v>2.738</v>
      </c>
      <c r="W663" s="4">
        <v>26.83</v>
      </c>
    </row>
    <row r="664" spans="1:23" ht="15" customHeight="1" x14ac:dyDescent="0.25">
      <c r="A664">
        <v>1583</v>
      </c>
      <c r="B664" s="1">
        <v>45766.583333333343</v>
      </c>
      <c r="C664">
        <v>14</v>
      </c>
      <c r="D664" t="s">
        <v>60</v>
      </c>
      <c r="E664">
        <v>4</v>
      </c>
      <c r="F664" t="s">
        <v>35</v>
      </c>
      <c r="G664" t="s">
        <v>36</v>
      </c>
      <c r="H664" t="s">
        <v>49</v>
      </c>
      <c r="I664" t="s">
        <v>27</v>
      </c>
      <c r="J664" t="s">
        <v>18</v>
      </c>
      <c r="K664" s="2">
        <v>26000</v>
      </c>
      <c r="L664" s="3">
        <v>22.1</v>
      </c>
      <c r="M664" s="3">
        <v>53.8</v>
      </c>
      <c r="N664" s="3">
        <v>682.1</v>
      </c>
      <c r="O664" s="2">
        <v>74</v>
      </c>
      <c r="P664">
        <v>0</v>
      </c>
      <c r="Q664" t="s">
        <v>14</v>
      </c>
      <c r="R664" s="4">
        <v>78.739999999999995</v>
      </c>
      <c r="S664" s="4">
        <v>163.75</v>
      </c>
      <c r="T664" t="s">
        <v>31</v>
      </c>
      <c r="U664" s="4">
        <v>-2.9</v>
      </c>
      <c r="V664" s="4">
        <v>3.028</v>
      </c>
      <c r="W664" s="4">
        <v>0</v>
      </c>
    </row>
    <row r="665" spans="1:23" ht="15" customHeight="1" x14ac:dyDescent="0.25">
      <c r="A665">
        <v>111</v>
      </c>
      <c r="B665" s="1">
        <v>45766.583333333343</v>
      </c>
      <c r="C665">
        <v>14</v>
      </c>
      <c r="D665" t="s">
        <v>60</v>
      </c>
      <c r="E665">
        <v>4</v>
      </c>
      <c r="F665" t="s">
        <v>35</v>
      </c>
      <c r="G665" t="s">
        <v>36</v>
      </c>
      <c r="H665" t="s">
        <v>53</v>
      </c>
      <c r="I665" t="s">
        <v>19</v>
      </c>
      <c r="J665" t="s">
        <v>26</v>
      </c>
      <c r="K665" s="2">
        <v>12500</v>
      </c>
      <c r="L665" s="3">
        <v>23.3</v>
      </c>
      <c r="M665" s="3">
        <v>54.1</v>
      </c>
      <c r="N665" s="3">
        <v>694.3</v>
      </c>
      <c r="O665" s="2"/>
      <c r="P665">
        <v>0</v>
      </c>
      <c r="Q665" t="s">
        <v>14</v>
      </c>
      <c r="R665" s="4">
        <v>16.260000000000002</v>
      </c>
      <c r="S665" s="4">
        <v>94.15</v>
      </c>
      <c r="T665" t="s">
        <v>31</v>
      </c>
      <c r="U665" s="4">
        <v>-2.71</v>
      </c>
      <c r="V665" s="4">
        <v>1.3009999999999999</v>
      </c>
      <c r="W665" s="4">
        <v>0</v>
      </c>
    </row>
    <row r="666" spans="1:23" ht="15" customHeight="1" x14ac:dyDescent="0.25">
      <c r="A666">
        <v>479</v>
      </c>
      <c r="B666" s="1">
        <v>45766.583333333343</v>
      </c>
      <c r="C666">
        <v>14</v>
      </c>
      <c r="D666" t="s">
        <v>60</v>
      </c>
      <c r="E666">
        <v>4</v>
      </c>
      <c r="F666" t="s">
        <v>35</v>
      </c>
      <c r="G666" t="s">
        <v>36</v>
      </c>
      <c r="H666" t="s">
        <v>54</v>
      </c>
      <c r="I666" t="s">
        <v>16</v>
      </c>
      <c r="J666" t="s">
        <v>24</v>
      </c>
      <c r="K666" s="2">
        <v>8600</v>
      </c>
      <c r="L666" s="3">
        <v>17.399999999999999</v>
      </c>
      <c r="M666" s="3">
        <v>81.099999999999994</v>
      </c>
      <c r="N666" s="3">
        <v>486.3</v>
      </c>
      <c r="O666" s="2">
        <v>0</v>
      </c>
      <c r="P666">
        <v>0</v>
      </c>
      <c r="Q666" t="s">
        <v>14</v>
      </c>
      <c r="R666" s="4">
        <v>7.35</v>
      </c>
      <c r="S666" s="4">
        <v>36.590000000000003</v>
      </c>
      <c r="T666" t="s">
        <v>31</v>
      </c>
      <c r="U666" s="4">
        <v>-1.02</v>
      </c>
      <c r="V666" s="4">
        <v>0.85499999999999998</v>
      </c>
      <c r="W666" s="4">
        <v>0</v>
      </c>
    </row>
    <row r="667" spans="1:23" ht="15" customHeight="1" x14ac:dyDescent="0.25">
      <c r="A667">
        <v>1215</v>
      </c>
      <c r="B667" s="1">
        <v>45766.583333333343</v>
      </c>
      <c r="C667">
        <v>14</v>
      </c>
      <c r="D667" t="s">
        <v>60</v>
      </c>
      <c r="E667">
        <v>4</v>
      </c>
      <c r="F667" t="s">
        <v>35</v>
      </c>
      <c r="G667" t="s">
        <v>36</v>
      </c>
      <c r="H667" t="s">
        <v>51</v>
      </c>
      <c r="I667" t="s">
        <v>25</v>
      </c>
      <c r="J667" t="s">
        <v>15</v>
      </c>
      <c r="K667" s="2">
        <v>17400</v>
      </c>
      <c r="L667" s="3">
        <v>24.2</v>
      </c>
      <c r="M667" s="3">
        <v>74</v>
      </c>
      <c r="N667" s="3">
        <v>508.2</v>
      </c>
      <c r="O667" s="2">
        <v>1534</v>
      </c>
      <c r="P667">
        <v>1</v>
      </c>
      <c r="Q667" t="s">
        <v>20</v>
      </c>
      <c r="R667" s="4">
        <v>242.97</v>
      </c>
      <c r="S667" s="4">
        <v>62.96</v>
      </c>
      <c r="T667" t="s">
        <v>31</v>
      </c>
      <c r="U667" s="4">
        <v>15.44</v>
      </c>
      <c r="V667" s="4">
        <v>13.964</v>
      </c>
      <c r="W667" s="4">
        <v>180.01</v>
      </c>
    </row>
    <row r="668" spans="1:23" ht="15" customHeight="1" x14ac:dyDescent="0.25">
      <c r="A668">
        <v>1952</v>
      </c>
      <c r="B668" s="1">
        <v>45766.833333333343</v>
      </c>
      <c r="C668">
        <v>20</v>
      </c>
      <c r="D668" t="s">
        <v>60</v>
      </c>
      <c r="E668">
        <v>4</v>
      </c>
      <c r="F668" t="s">
        <v>35</v>
      </c>
      <c r="G668" t="s">
        <v>36</v>
      </c>
      <c r="H668" t="s">
        <v>52</v>
      </c>
      <c r="I668" t="s">
        <v>13</v>
      </c>
      <c r="J668" t="s">
        <v>21</v>
      </c>
      <c r="K668" s="2">
        <v>9800</v>
      </c>
      <c r="L668" s="3">
        <v>21.9</v>
      </c>
      <c r="M668" s="3">
        <v>78.400000000000006</v>
      </c>
      <c r="N668" s="3">
        <v>0</v>
      </c>
      <c r="O668" s="2"/>
      <c r="P668">
        <v>0</v>
      </c>
      <c r="Q668" t="s">
        <v>14</v>
      </c>
      <c r="R668" s="4">
        <v>93.35</v>
      </c>
      <c r="S668" s="4">
        <v>0</v>
      </c>
      <c r="T668" t="s">
        <v>31</v>
      </c>
      <c r="U668" s="4">
        <v>8.1199999999999992</v>
      </c>
      <c r="V668" s="4">
        <v>9.5259999999999998</v>
      </c>
      <c r="W668" s="4">
        <v>93.35</v>
      </c>
    </row>
    <row r="669" spans="1:23" ht="15" customHeight="1" x14ac:dyDescent="0.25">
      <c r="A669">
        <v>1216</v>
      </c>
      <c r="B669" s="1">
        <v>45766.833333333343</v>
      </c>
      <c r="C669">
        <v>20</v>
      </c>
      <c r="D669" t="s">
        <v>60</v>
      </c>
      <c r="E669">
        <v>4</v>
      </c>
      <c r="F669" t="s">
        <v>35</v>
      </c>
      <c r="G669" t="s">
        <v>36</v>
      </c>
      <c r="H669" t="s">
        <v>51</v>
      </c>
      <c r="I669" t="s">
        <v>25</v>
      </c>
      <c r="J669" t="s">
        <v>15</v>
      </c>
      <c r="K669" s="2">
        <v>17400</v>
      </c>
      <c r="L669" s="3">
        <v>18.100000000000001</v>
      </c>
      <c r="M669" s="3">
        <v>82.3</v>
      </c>
      <c r="N669" s="3">
        <v>0</v>
      </c>
      <c r="O669" s="2">
        <v>1496</v>
      </c>
      <c r="P669">
        <v>0</v>
      </c>
      <c r="Q669" t="s">
        <v>14</v>
      </c>
      <c r="R669" s="4">
        <v>324.54000000000002</v>
      </c>
      <c r="S669" s="4">
        <v>0</v>
      </c>
      <c r="T669" t="s">
        <v>31</v>
      </c>
      <c r="U669" s="4">
        <v>28.23</v>
      </c>
      <c r="V669" s="4">
        <v>18.652000000000001</v>
      </c>
      <c r="W669" s="4">
        <v>324.54000000000002</v>
      </c>
    </row>
    <row r="670" spans="1:23" ht="15" customHeight="1" x14ac:dyDescent="0.25">
      <c r="A670">
        <v>848</v>
      </c>
      <c r="B670" s="1">
        <v>45766.833333333343</v>
      </c>
      <c r="C670">
        <v>20</v>
      </c>
      <c r="D670" t="s">
        <v>60</v>
      </c>
      <c r="E670">
        <v>4</v>
      </c>
      <c r="F670" t="s">
        <v>35</v>
      </c>
      <c r="G670" t="s">
        <v>36</v>
      </c>
      <c r="H670" t="s">
        <v>50</v>
      </c>
      <c r="I670" t="s">
        <v>22</v>
      </c>
      <c r="J670" t="s">
        <v>12</v>
      </c>
      <c r="K670" s="2">
        <v>21000</v>
      </c>
      <c r="L670" s="3">
        <v>20.6</v>
      </c>
      <c r="M670" s="3">
        <v>66</v>
      </c>
      <c r="N670" s="3">
        <v>0</v>
      </c>
      <c r="O670" s="2">
        <v>345</v>
      </c>
      <c r="P670">
        <v>0</v>
      </c>
      <c r="Q670" t="s">
        <v>14</v>
      </c>
      <c r="R670" s="4">
        <v>285.70999999999998</v>
      </c>
      <c r="S670" s="4">
        <v>0</v>
      </c>
      <c r="T670" t="s">
        <v>31</v>
      </c>
      <c r="U670" s="4">
        <v>25.29</v>
      </c>
      <c r="V670" s="4">
        <v>13.605</v>
      </c>
      <c r="W670" s="4">
        <v>285.70999999999998</v>
      </c>
    </row>
    <row r="671" spans="1:23" ht="15" customHeight="1" x14ac:dyDescent="0.25">
      <c r="A671">
        <v>112</v>
      </c>
      <c r="B671" s="1">
        <v>45766.833333333343</v>
      </c>
      <c r="C671">
        <v>20</v>
      </c>
      <c r="D671" t="s">
        <v>60</v>
      </c>
      <c r="E671">
        <v>4</v>
      </c>
      <c r="F671" t="s">
        <v>35</v>
      </c>
      <c r="G671" t="s">
        <v>36</v>
      </c>
      <c r="H671" t="s">
        <v>53</v>
      </c>
      <c r="I671" t="s">
        <v>19</v>
      </c>
      <c r="J671" t="s">
        <v>26</v>
      </c>
      <c r="K671" s="2">
        <v>12500</v>
      </c>
      <c r="L671" s="3">
        <v>18.3</v>
      </c>
      <c r="M671" s="3"/>
      <c r="N671" s="3">
        <v>0</v>
      </c>
      <c r="O671" s="2">
        <v>0</v>
      </c>
      <c r="P671">
        <v>0</v>
      </c>
      <c r="Q671" t="s">
        <v>14</v>
      </c>
      <c r="R671" s="4">
        <v>23.67</v>
      </c>
      <c r="S671" s="4">
        <v>0</v>
      </c>
      <c r="T671" t="s">
        <v>31</v>
      </c>
      <c r="U671" s="4">
        <v>1.99</v>
      </c>
      <c r="V671" s="4">
        <v>1.8939999999999999</v>
      </c>
      <c r="W671" s="4">
        <v>23.67</v>
      </c>
    </row>
    <row r="672" spans="1:23" ht="15" customHeight="1" x14ac:dyDescent="0.25">
      <c r="A672">
        <v>480</v>
      </c>
      <c r="B672" s="1">
        <v>45766.833333333343</v>
      </c>
      <c r="C672">
        <v>20</v>
      </c>
      <c r="D672" t="s">
        <v>60</v>
      </c>
      <c r="E672">
        <v>4</v>
      </c>
      <c r="F672" t="s">
        <v>35</v>
      </c>
      <c r="G672" t="s">
        <v>36</v>
      </c>
      <c r="H672" t="s">
        <v>54</v>
      </c>
      <c r="I672" t="s">
        <v>16</v>
      </c>
      <c r="J672" t="s">
        <v>24</v>
      </c>
      <c r="K672" s="2">
        <v>8600</v>
      </c>
      <c r="L672" s="3">
        <v>14.9</v>
      </c>
      <c r="M672" s="3">
        <v>83.8</v>
      </c>
      <c r="N672" s="3">
        <v>0</v>
      </c>
      <c r="O672" s="2">
        <v>21</v>
      </c>
      <c r="P672">
        <v>0</v>
      </c>
      <c r="Q672" t="s">
        <v>14</v>
      </c>
      <c r="R672" s="4">
        <v>13.12</v>
      </c>
      <c r="S672" s="4">
        <v>0</v>
      </c>
      <c r="T672" t="s">
        <v>31</v>
      </c>
      <c r="U672" s="4">
        <v>1.1499999999999999</v>
      </c>
      <c r="V672" s="4">
        <v>1.526</v>
      </c>
      <c r="W672" s="4">
        <v>13.12</v>
      </c>
    </row>
    <row r="673" spans="1:23" ht="15" customHeight="1" x14ac:dyDescent="0.25">
      <c r="A673">
        <v>1584</v>
      </c>
      <c r="B673" s="1">
        <v>45766.833333333343</v>
      </c>
      <c r="C673">
        <v>20</v>
      </c>
      <c r="D673" t="s">
        <v>60</v>
      </c>
      <c r="E673">
        <v>4</v>
      </c>
      <c r="F673" t="s">
        <v>35</v>
      </c>
      <c r="G673" t="s">
        <v>36</v>
      </c>
      <c r="H673" t="s">
        <v>49</v>
      </c>
      <c r="I673" t="s">
        <v>27</v>
      </c>
      <c r="J673" t="s">
        <v>18</v>
      </c>
      <c r="K673" s="2">
        <v>26000</v>
      </c>
      <c r="L673" s="3">
        <v>17.2</v>
      </c>
      <c r="M673" s="3">
        <v>67</v>
      </c>
      <c r="N673" s="3">
        <v>0</v>
      </c>
      <c r="O673" s="2">
        <v>64</v>
      </c>
      <c r="P673">
        <v>0</v>
      </c>
      <c r="Q673" t="s">
        <v>14</v>
      </c>
      <c r="R673" s="4">
        <v>115.96</v>
      </c>
      <c r="S673" s="4">
        <v>0</v>
      </c>
      <c r="T673" t="s">
        <v>31</v>
      </c>
      <c r="U673" s="4">
        <v>10.130000000000001</v>
      </c>
      <c r="V673" s="4">
        <v>4.46</v>
      </c>
      <c r="W673" s="4">
        <v>115.96</v>
      </c>
    </row>
    <row r="674" spans="1:23" ht="15" customHeight="1" x14ac:dyDescent="0.25">
      <c r="A674">
        <v>1585</v>
      </c>
      <c r="B674" s="1">
        <v>45770</v>
      </c>
      <c r="C674">
        <v>0</v>
      </c>
      <c r="D674" t="s">
        <v>48</v>
      </c>
      <c r="E674">
        <v>4</v>
      </c>
      <c r="F674" t="s">
        <v>35</v>
      </c>
      <c r="G674" t="s">
        <v>33</v>
      </c>
      <c r="H674" t="s">
        <v>49</v>
      </c>
      <c r="I674" t="s">
        <v>27</v>
      </c>
      <c r="J674" t="s">
        <v>18</v>
      </c>
      <c r="K674" s="2">
        <v>26000</v>
      </c>
      <c r="L674" s="3">
        <v>13.9</v>
      </c>
      <c r="M674" s="3">
        <v>69.2</v>
      </c>
      <c r="N674" s="3">
        <v>0</v>
      </c>
      <c r="O674" s="2">
        <v>54</v>
      </c>
      <c r="P674">
        <v>1</v>
      </c>
      <c r="Q674" t="s">
        <v>17</v>
      </c>
      <c r="R674" s="4">
        <v>109.02</v>
      </c>
      <c r="S674" s="4">
        <v>0</v>
      </c>
      <c r="T674" t="s">
        <v>31</v>
      </c>
      <c r="U674" s="4">
        <v>9.41</v>
      </c>
      <c r="V674" s="4">
        <v>4.1929999999999996</v>
      </c>
      <c r="W674" s="4">
        <v>109.02</v>
      </c>
    </row>
    <row r="675" spans="1:23" ht="15" customHeight="1" x14ac:dyDescent="0.25">
      <c r="A675">
        <v>849</v>
      </c>
      <c r="B675" s="1">
        <v>45770</v>
      </c>
      <c r="C675">
        <v>0</v>
      </c>
      <c r="D675" t="s">
        <v>48</v>
      </c>
      <c r="E675">
        <v>4</v>
      </c>
      <c r="F675" t="s">
        <v>35</v>
      </c>
      <c r="G675" t="s">
        <v>33</v>
      </c>
      <c r="H675" t="s">
        <v>50</v>
      </c>
      <c r="I675" t="s">
        <v>22</v>
      </c>
      <c r="J675" t="s">
        <v>12</v>
      </c>
      <c r="K675" s="2">
        <v>21000</v>
      </c>
      <c r="L675" s="3">
        <v>15.3</v>
      </c>
      <c r="M675" s="3">
        <v>78.8</v>
      </c>
      <c r="N675" s="3">
        <v>0</v>
      </c>
      <c r="O675" s="2">
        <v>238</v>
      </c>
      <c r="P675">
        <v>1</v>
      </c>
      <c r="Q675" t="s">
        <v>23</v>
      </c>
      <c r="R675" s="4">
        <v>179.51</v>
      </c>
      <c r="S675" s="4">
        <v>0</v>
      </c>
      <c r="T675" t="s">
        <v>31</v>
      </c>
      <c r="U675" s="4"/>
      <c r="V675" s="4">
        <v>8.548</v>
      </c>
      <c r="W675" s="4">
        <v>179.51</v>
      </c>
    </row>
    <row r="676" spans="1:23" ht="15" customHeight="1" x14ac:dyDescent="0.25">
      <c r="A676">
        <v>1953</v>
      </c>
      <c r="B676" s="1">
        <v>45770</v>
      </c>
      <c r="C676">
        <v>0</v>
      </c>
      <c r="D676" t="s">
        <v>48</v>
      </c>
      <c r="E676">
        <v>4</v>
      </c>
      <c r="F676" t="s">
        <v>35</v>
      </c>
      <c r="G676" t="s">
        <v>33</v>
      </c>
      <c r="H676" t="s">
        <v>52</v>
      </c>
      <c r="I676" t="s">
        <v>13</v>
      </c>
      <c r="J676" t="s">
        <v>21</v>
      </c>
      <c r="K676" s="2">
        <v>9800</v>
      </c>
      <c r="L676" s="3">
        <v>15.9</v>
      </c>
      <c r="M676" s="3">
        <v>81</v>
      </c>
      <c r="N676" s="3">
        <v>0</v>
      </c>
      <c r="O676" s="2">
        <v>317</v>
      </c>
      <c r="P676">
        <v>1</v>
      </c>
      <c r="Q676" t="s">
        <v>23</v>
      </c>
      <c r="R676" s="4">
        <v>92.35</v>
      </c>
      <c r="S676" s="4">
        <v>0</v>
      </c>
      <c r="T676" t="s">
        <v>31</v>
      </c>
      <c r="U676" s="4">
        <v>7.83</v>
      </c>
      <c r="V676" s="4">
        <v>9.423</v>
      </c>
      <c r="W676" s="4">
        <v>92.35</v>
      </c>
    </row>
    <row r="677" spans="1:23" ht="15" customHeight="1" x14ac:dyDescent="0.25">
      <c r="A677">
        <v>1217</v>
      </c>
      <c r="B677" s="1">
        <v>45770</v>
      </c>
      <c r="C677">
        <v>0</v>
      </c>
      <c r="D677" t="s">
        <v>48</v>
      </c>
      <c r="E677">
        <v>4</v>
      </c>
      <c r="F677" t="s">
        <v>35</v>
      </c>
      <c r="G677" t="s">
        <v>33</v>
      </c>
      <c r="H677" t="s">
        <v>51</v>
      </c>
      <c r="I677" t="s">
        <v>25</v>
      </c>
      <c r="J677" t="s">
        <v>15</v>
      </c>
      <c r="K677" s="2">
        <v>17400</v>
      </c>
      <c r="L677" s="3">
        <v>17.2</v>
      </c>
      <c r="M677" s="3">
        <v>75.599999999999994</v>
      </c>
      <c r="N677" s="3">
        <v>0</v>
      </c>
      <c r="O677" s="2">
        <v>34</v>
      </c>
      <c r="P677">
        <v>0</v>
      </c>
      <c r="Q677" t="s">
        <v>14</v>
      </c>
      <c r="R677" s="4">
        <v>45.83</v>
      </c>
      <c r="S677" s="4">
        <v>0</v>
      </c>
      <c r="T677" t="s">
        <v>31</v>
      </c>
      <c r="U677" s="4">
        <v>3.92</v>
      </c>
      <c r="V677" s="4">
        <v>2.6339999999999999</v>
      </c>
      <c r="W677" s="4">
        <v>45.83</v>
      </c>
    </row>
    <row r="678" spans="1:23" ht="15" customHeight="1" x14ac:dyDescent="0.25">
      <c r="A678">
        <v>113</v>
      </c>
      <c r="B678" s="1">
        <v>45770</v>
      </c>
      <c r="C678">
        <v>0</v>
      </c>
      <c r="D678" t="s">
        <v>48</v>
      </c>
      <c r="E678">
        <v>4</v>
      </c>
      <c r="F678" t="s">
        <v>35</v>
      </c>
      <c r="G678" t="s">
        <v>33</v>
      </c>
      <c r="H678" t="s">
        <v>53</v>
      </c>
      <c r="I678" t="s">
        <v>19</v>
      </c>
      <c r="J678" t="s">
        <v>26</v>
      </c>
      <c r="K678" s="2">
        <v>12500</v>
      </c>
      <c r="L678" s="3">
        <v>12.5</v>
      </c>
      <c r="M678" s="3">
        <v>62.4</v>
      </c>
      <c r="N678" s="3">
        <v>0</v>
      </c>
      <c r="O678" s="2">
        <v>44</v>
      </c>
      <c r="P678">
        <v>0</v>
      </c>
      <c r="Q678" t="s">
        <v>14</v>
      </c>
      <c r="R678" s="4">
        <v>25.01</v>
      </c>
      <c r="S678" s="4">
        <v>0</v>
      </c>
      <c r="T678" t="s">
        <v>31</v>
      </c>
      <c r="U678" s="4">
        <v>2.25</v>
      </c>
      <c r="V678" s="4">
        <v>2.0009999999999999</v>
      </c>
      <c r="W678" s="4">
        <v>25.01</v>
      </c>
    </row>
    <row r="679" spans="1:23" ht="15" customHeight="1" x14ac:dyDescent="0.25">
      <c r="A679">
        <v>481</v>
      </c>
      <c r="B679" s="1">
        <v>45770</v>
      </c>
      <c r="C679">
        <v>0</v>
      </c>
      <c r="D679" t="s">
        <v>48</v>
      </c>
      <c r="E679">
        <v>4</v>
      </c>
      <c r="F679" t="s">
        <v>35</v>
      </c>
      <c r="G679" t="s">
        <v>33</v>
      </c>
      <c r="H679" t="s">
        <v>54</v>
      </c>
      <c r="I679" t="s">
        <v>16</v>
      </c>
      <c r="J679" t="s">
        <v>24</v>
      </c>
      <c r="K679" s="2">
        <v>8600</v>
      </c>
      <c r="L679" s="3">
        <v>12.9</v>
      </c>
      <c r="M679" s="3">
        <v>82.8</v>
      </c>
      <c r="N679" s="3">
        <v>0</v>
      </c>
      <c r="O679" s="2">
        <v>71</v>
      </c>
      <c r="P679">
        <v>1</v>
      </c>
      <c r="Q679" t="s">
        <v>17</v>
      </c>
      <c r="R679" s="4">
        <v>22.42</v>
      </c>
      <c r="S679" s="4">
        <v>0</v>
      </c>
      <c r="T679" t="s">
        <v>31</v>
      </c>
      <c r="U679" s="4">
        <v>1.97</v>
      </c>
      <c r="V679" s="4">
        <v>2.6070000000000002</v>
      </c>
      <c r="W679" s="4">
        <v>22.42</v>
      </c>
    </row>
    <row r="680" spans="1:23" ht="15" customHeight="1" x14ac:dyDescent="0.25">
      <c r="A680">
        <v>1218</v>
      </c>
      <c r="B680" s="1">
        <v>45770.333333333343</v>
      </c>
      <c r="C680">
        <v>8</v>
      </c>
      <c r="D680" t="s">
        <v>48</v>
      </c>
      <c r="E680">
        <v>4</v>
      </c>
      <c r="F680" t="s">
        <v>35</v>
      </c>
      <c r="G680" t="s">
        <v>33</v>
      </c>
      <c r="H680" t="s">
        <v>51</v>
      </c>
      <c r="I680" t="s">
        <v>25</v>
      </c>
      <c r="J680" t="s">
        <v>15</v>
      </c>
      <c r="K680" s="2">
        <v>17400</v>
      </c>
      <c r="L680" s="3">
        <v>18.8</v>
      </c>
      <c r="M680" s="3">
        <v>76.5</v>
      </c>
      <c r="N680" s="3">
        <v>258.89999999999998</v>
      </c>
      <c r="O680" s="2"/>
      <c r="P680">
        <v>0</v>
      </c>
      <c r="Q680" t="s">
        <v>14</v>
      </c>
      <c r="R680" s="4">
        <v>37.200000000000003</v>
      </c>
      <c r="S680" s="4">
        <v>32.92</v>
      </c>
      <c r="T680" t="s">
        <v>34</v>
      </c>
      <c r="U680" s="4">
        <v>0.6</v>
      </c>
      <c r="V680" s="4">
        <v>2.1379999999999999</v>
      </c>
      <c r="W680" s="4">
        <v>4.28</v>
      </c>
    </row>
    <row r="681" spans="1:23" ht="15" customHeight="1" x14ac:dyDescent="0.25">
      <c r="A681">
        <v>482</v>
      </c>
      <c r="B681" s="1">
        <v>45770.333333333343</v>
      </c>
      <c r="C681">
        <v>8</v>
      </c>
      <c r="D681" t="s">
        <v>48</v>
      </c>
      <c r="E681">
        <v>4</v>
      </c>
      <c r="F681" t="s">
        <v>35</v>
      </c>
      <c r="G681" t="s">
        <v>33</v>
      </c>
      <c r="H681" t="s">
        <v>54</v>
      </c>
      <c r="I681" t="s">
        <v>16</v>
      </c>
      <c r="J681" t="s">
        <v>24</v>
      </c>
      <c r="K681" s="2">
        <v>8600</v>
      </c>
      <c r="L681" s="3">
        <v>15.7</v>
      </c>
      <c r="M681" s="3">
        <v>89.3</v>
      </c>
      <c r="N681" s="3">
        <v>172.9</v>
      </c>
      <c r="O681" s="2">
        <v>801</v>
      </c>
      <c r="P681">
        <v>1</v>
      </c>
      <c r="Q681" t="s">
        <v>23</v>
      </c>
      <c r="R681" s="4">
        <v>84.17</v>
      </c>
      <c r="S681" s="4">
        <v>12.22</v>
      </c>
      <c r="T681" t="s">
        <v>34</v>
      </c>
      <c r="U681" s="4">
        <v>9.98</v>
      </c>
      <c r="V681" s="4">
        <v>9.7870000000000008</v>
      </c>
      <c r="W681" s="4">
        <v>71.95</v>
      </c>
    </row>
    <row r="682" spans="1:23" ht="15" customHeight="1" x14ac:dyDescent="0.25">
      <c r="A682">
        <v>1954</v>
      </c>
      <c r="B682" s="1">
        <v>45770.333333333343</v>
      </c>
      <c r="C682">
        <v>8</v>
      </c>
      <c r="D682" t="s">
        <v>48</v>
      </c>
      <c r="E682">
        <v>4</v>
      </c>
      <c r="F682" t="s">
        <v>35</v>
      </c>
      <c r="G682" t="s">
        <v>33</v>
      </c>
      <c r="H682" t="s">
        <v>52</v>
      </c>
      <c r="I682" t="s">
        <v>13</v>
      </c>
      <c r="J682" t="s">
        <v>21</v>
      </c>
      <c r="K682" s="2">
        <v>9800</v>
      </c>
      <c r="L682" s="3">
        <v>16.600000000000001</v>
      </c>
      <c r="M682" s="3">
        <v>80.5</v>
      </c>
      <c r="N682" s="3">
        <v>201.6</v>
      </c>
      <c r="O682" s="2">
        <v>47</v>
      </c>
      <c r="P682">
        <v>0</v>
      </c>
      <c r="Q682" t="s">
        <v>14</v>
      </c>
      <c r="R682" s="4">
        <v>17.25</v>
      </c>
      <c r="S682" s="4">
        <v>0</v>
      </c>
      <c r="T682" t="s">
        <v>34</v>
      </c>
      <c r="U682" s="4">
        <v>2.4500000000000002</v>
      </c>
      <c r="V682" s="4">
        <v>1.76</v>
      </c>
      <c r="W682" s="4">
        <v>17.25</v>
      </c>
    </row>
    <row r="683" spans="1:23" ht="15" customHeight="1" x14ac:dyDescent="0.25">
      <c r="A683">
        <v>850</v>
      </c>
      <c r="B683" s="1">
        <v>45770.333333333343</v>
      </c>
      <c r="C683">
        <v>8</v>
      </c>
      <c r="D683" t="s">
        <v>48</v>
      </c>
      <c r="E683">
        <v>4</v>
      </c>
      <c r="F683" t="s">
        <v>35</v>
      </c>
      <c r="G683" t="s">
        <v>33</v>
      </c>
      <c r="H683" t="s">
        <v>50</v>
      </c>
      <c r="I683" t="s">
        <v>22</v>
      </c>
      <c r="J683" t="s">
        <v>12</v>
      </c>
      <c r="K683" s="2">
        <v>21000</v>
      </c>
      <c r="L683" s="3">
        <v>17.600000000000001</v>
      </c>
      <c r="M683" s="3">
        <v>68.900000000000006</v>
      </c>
      <c r="N683" s="3">
        <v>202.4</v>
      </c>
      <c r="O683" s="2">
        <v>454</v>
      </c>
      <c r="P683">
        <v>0</v>
      </c>
      <c r="Q683" t="s">
        <v>14</v>
      </c>
      <c r="R683" s="4">
        <v>196.61</v>
      </c>
      <c r="S683" s="4">
        <v>39.130000000000003</v>
      </c>
      <c r="T683" t="s">
        <v>34</v>
      </c>
      <c r="U683" s="4">
        <v>21.29</v>
      </c>
      <c r="V683" s="4">
        <v>9.3620000000000001</v>
      </c>
      <c r="W683" s="4">
        <v>157.47999999999999</v>
      </c>
    </row>
    <row r="684" spans="1:23" ht="15" customHeight="1" x14ac:dyDescent="0.25">
      <c r="A684">
        <v>1586</v>
      </c>
      <c r="B684" s="1">
        <v>45770.333333333343</v>
      </c>
      <c r="C684">
        <v>8</v>
      </c>
      <c r="D684" t="s">
        <v>48</v>
      </c>
      <c r="E684">
        <v>4</v>
      </c>
      <c r="F684" t="s">
        <v>35</v>
      </c>
      <c r="G684" t="s">
        <v>33</v>
      </c>
      <c r="H684" t="s">
        <v>49</v>
      </c>
      <c r="I684" t="s">
        <v>27</v>
      </c>
      <c r="J684" t="s">
        <v>18</v>
      </c>
      <c r="K684" s="2">
        <v>26000</v>
      </c>
      <c r="L684" s="3">
        <v>15.2</v>
      </c>
      <c r="M684" s="3">
        <v>58.9</v>
      </c>
      <c r="N684" s="3">
        <v>193.4</v>
      </c>
      <c r="O684" s="2">
        <v>169</v>
      </c>
      <c r="P684">
        <v>1</v>
      </c>
      <c r="Q684" t="s">
        <v>23</v>
      </c>
      <c r="R684" s="4">
        <v>158.28</v>
      </c>
      <c r="S684" s="4">
        <v>52</v>
      </c>
      <c r="T684" t="s">
        <v>34</v>
      </c>
      <c r="U684" s="4">
        <v>15.03</v>
      </c>
      <c r="V684" s="4">
        <v>6.0880000000000001</v>
      </c>
      <c r="W684" s="4">
        <v>106.28</v>
      </c>
    </row>
    <row r="685" spans="1:23" ht="15" customHeight="1" x14ac:dyDescent="0.25">
      <c r="A685">
        <v>114</v>
      </c>
      <c r="B685" s="1">
        <v>45770.333333333343</v>
      </c>
      <c r="C685">
        <v>8</v>
      </c>
      <c r="D685" t="s">
        <v>48</v>
      </c>
      <c r="E685">
        <v>4</v>
      </c>
      <c r="F685" t="s">
        <v>35</v>
      </c>
      <c r="G685" t="s">
        <v>33</v>
      </c>
      <c r="H685" t="s">
        <v>53</v>
      </c>
      <c r="I685" t="s">
        <v>19</v>
      </c>
      <c r="J685" t="s">
        <v>26</v>
      </c>
      <c r="K685" s="2">
        <v>12500</v>
      </c>
      <c r="L685" s="3">
        <v>16.899999999999999</v>
      </c>
      <c r="M685" s="3">
        <v>50.5</v>
      </c>
      <c r="N685" s="3">
        <v>268.10000000000002</v>
      </c>
      <c r="O685" s="2">
        <v>304</v>
      </c>
      <c r="P685">
        <v>0</v>
      </c>
      <c r="Q685" t="s">
        <v>14</v>
      </c>
      <c r="R685" s="4">
        <v>67.569999999999993</v>
      </c>
      <c r="S685" s="4">
        <v>39.39</v>
      </c>
      <c r="T685" t="s">
        <v>34</v>
      </c>
      <c r="U685" s="4">
        <v>3.97</v>
      </c>
      <c r="V685" s="4">
        <v>5.4059999999999997</v>
      </c>
      <c r="W685" s="4">
        <v>28.18</v>
      </c>
    </row>
    <row r="686" spans="1:23" ht="15" customHeight="1" x14ac:dyDescent="0.25">
      <c r="A686">
        <v>851</v>
      </c>
      <c r="B686" s="1">
        <v>45770.583333333343</v>
      </c>
      <c r="C686">
        <v>14</v>
      </c>
      <c r="D686" t="s">
        <v>48</v>
      </c>
      <c r="E686">
        <v>4</v>
      </c>
      <c r="F686" t="s">
        <v>35</v>
      </c>
      <c r="G686" t="s">
        <v>33</v>
      </c>
      <c r="H686" t="s">
        <v>50</v>
      </c>
      <c r="I686" t="s">
        <v>22</v>
      </c>
      <c r="J686" t="s">
        <v>12</v>
      </c>
      <c r="K686" s="2">
        <v>21000</v>
      </c>
      <c r="L686" s="3">
        <v>27.4</v>
      </c>
      <c r="M686" s="3">
        <v>53.7</v>
      </c>
      <c r="N686" s="3">
        <v>535.9</v>
      </c>
      <c r="O686" s="2">
        <v>430</v>
      </c>
      <c r="P686">
        <v>1</v>
      </c>
      <c r="Q686" t="s">
        <v>20</v>
      </c>
      <c r="R686" s="4">
        <v>206.88</v>
      </c>
      <c r="S686" s="4">
        <v>109.04</v>
      </c>
      <c r="T686" t="s">
        <v>34</v>
      </c>
      <c r="U686" s="4">
        <v>13.8</v>
      </c>
      <c r="V686" s="4">
        <v>9.8510000000000009</v>
      </c>
      <c r="W686" s="4">
        <v>97.84</v>
      </c>
    </row>
    <row r="687" spans="1:23" ht="15" customHeight="1" x14ac:dyDescent="0.25">
      <c r="A687">
        <v>1955</v>
      </c>
      <c r="B687" s="1">
        <v>45770.583333333343</v>
      </c>
      <c r="C687">
        <v>14</v>
      </c>
      <c r="D687" t="s">
        <v>48</v>
      </c>
      <c r="E687">
        <v>4</v>
      </c>
      <c r="F687" t="s">
        <v>35</v>
      </c>
      <c r="G687" t="s">
        <v>33</v>
      </c>
      <c r="H687" t="s">
        <v>52</v>
      </c>
      <c r="I687" t="s">
        <v>13</v>
      </c>
      <c r="J687" t="s">
        <v>21</v>
      </c>
      <c r="K687" s="2">
        <v>9800</v>
      </c>
      <c r="L687" s="3">
        <v>22.8</v>
      </c>
      <c r="M687" s="3">
        <v>64.3</v>
      </c>
      <c r="N687" s="3">
        <v>636.4</v>
      </c>
      <c r="O687" s="2">
        <v>80</v>
      </c>
      <c r="P687">
        <v>0</v>
      </c>
      <c r="Q687" t="s">
        <v>14</v>
      </c>
      <c r="R687" s="4">
        <v>20.18</v>
      </c>
      <c r="S687" s="4">
        <v>0</v>
      </c>
      <c r="T687" t="s">
        <v>34</v>
      </c>
      <c r="U687" s="4">
        <v>2.73</v>
      </c>
      <c r="V687" s="4">
        <v>2.0590000000000002</v>
      </c>
      <c r="W687" s="4">
        <v>20.18</v>
      </c>
    </row>
    <row r="688" spans="1:23" ht="15" customHeight="1" x14ac:dyDescent="0.25">
      <c r="A688">
        <v>115</v>
      </c>
      <c r="B688" s="1">
        <v>45770.583333333343</v>
      </c>
      <c r="C688">
        <v>14</v>
      </c>
      <c r="D688" t="s">
        <v>48</v>
      </c>
      <c r="E688">
        <v>4</v>
      </c>
      <c r="F688" t="s">
        <v>35</v>
      </c>
      <c r="G688" t="s">
        <v>33</v>
      </c>
      <c r="H688" t="s">
        <v>53</v>
      </c>
      <c r="I688" t="s">
        <v>19</v>
      </c>
      <c r="J688" t="s">
        <v>26</v>
      </c>
      <c r="K688" s="2">
        <v>12500</v>
      </c>
      <c r="L688" s="3">
        <v>23.6</v>
      </c>
      <c r="M688" s="3">
        <v>43.2</v>
      </c>
      <c r="N688" s="3">
        <v>705</v>
      </c>
      <c r="O688" s="2">
        <v>560</v>
      </c>
      <c r="P688">
        <v>1</v>
      </c>
      <c r="Q688" t="s">
        <v>23</v>
      </c>
      <c r="R688" s="4">
        <v>98.61</v>
      </c>
      <c r="S688" s="4">
        <v>112.36</v>
      </c>
      <c r="T688" t="s">
        <v>34</v>
      </c>
      <c r="U688" s="4">
        <v>-0.79</v>
      </c>
      <c r="V688" s="4">
        <v>7.8890000000000002</v>
      </c>
      <c r="W688" s="4">
        <v>0</v>
      </c>
    </row>
    <row r="689" spans="1:23" ht="15" customHeight="1" x14ac:dyDescent="0.25">
      <c r="A689">
        <v>1587</v>
      </c>
      <c r="B689" s="1">
        <v>45770.583333333343</v>
      </c>
      <c r="C689">
        <v>14</v>
      </c>
      <c r="D689" t="s">
        <v>48</v>
      </c>
      <c r="E689">
        <v>4</v>
      </c>
      <c r="F689" t="s">
        <v>35</v>
      </c>
      <c r="G689" t="s">
        <v>33</v>
      </c>
      <c r="H689" t="s">
        <v>49</v>
      </c>
      <c r="I689" t="s">
        <v>27</v>
      </c>
      <c r="J689" t="s">
        <v>18</v>
      </c>
      <c r="K689" s="2">
        <v>26000</v>
      </c>
      <c r="L689" s="3">
        <v>20.100000000000001</v>
      </c>
      <c r="M689" s="3">
        <v>52.4</v>
      </c>
      <c r="N689" s="3">
        <v>658</v>
      </c>
      <c r="O689" s="2">
        <v>166</v>
      </c>
      <c r="P689">
        <v>0</v>
      </c>
      <c r="Q689" t="s">
        <v>14</v>
      </c>
      <c r="R689" s="4">
        <v>153.86000000000001</v>
      </c>
      <c r="S689" s="4">
        <v>172.28</v>
      </c>
      <c r="T689" t="s">
        <v>34</v>
      </c>
      <c r="U689" s="4">
        <v>-1.03</v>
      </c>
      <c r="V689" s="4">
        <v>5.9180000000000001</v>
      </c>
      <c r="W689" s="4">
        <v>0</v>
      </c>
    </row>
    <row r="690" spans="1:23" ht="15" customHeight="1" x14ac:dyDescent="0.25">
      <c r="A690">
        <v>483</v>
      </c>
      <c r="B690" s="1">
        <v>45770.583333333343</v>
      </c>
      <c r="C690">
        <v>14</v>
      </c>
      <c r="D690" t="s">
        <v>48</v>
      </c>
      <c r="E690">
        <v>4</v>
      </c>
      <c r="F690" t="s">
        <v>35</v>
      </c>
      <c r="G690" t="s">
        <v>33</v>
      </c>
      <c r="H690" t="s">
        <v>54</v>
      </c>
      <c r="I690" t="s">
        <v>16</v>
      </c>
      <c r="J690" t="s">
        <v>24</v>
      </c>
      <c r="K690" s="2">
        <v>8600</v>
      </c>
      <c r="L690" s="3">
        <v>17.8</v>
      </c>
      <c r="M690" s="3">
        <v>68.099999999999994</v>
      </c>
      <c r="N690" s="3">
        <v>669.4</v>
      </c>
      <c r="O690" s="2">
        <v>810</v>
      </c>
      <c r="P690">
        <v>0</v>
      </c>
      <c r="Q690" t="s">
        <v>14</v>
      </c>
      <c r="R690" s="4">
        <v>82.42</v>
      </c>
      <c r="S690" s="4">
        <v>52.77</v>
      </c>
      <c r="T690" t="s">
        <v>34</v>
      </c>
      <c r="U690" s="4">
        <v>4.0599999999999996</v>
      </c>
      <c r="V690" s="4">
        <v>9.5839999999999996</v>
      </c>
      <c r="W690" s="4">
        <v>29.65</v>
      </c>
    </row>
    <row r="691" spans="1:23" ht="15" customHeight="1" x14ac:dyDescent="0.25">
      <c r="A691">
        <v>1219</v>
      </c>
      <c r="B691" s="1">
        <v>45770.583333333343</v>
      </c>
      <c r="C691">
        <v>14</v>
      </c>
      <c r="D691" t="s">
        <v>48</v>
      </c>
      <c r="E691">
        <v>4</v>
      </c>
      <c r="F691" t="s">
        <v>35</v>
      </c>
      <c r="G691" t="s">
        <v>33</v>
      </c>
      <c r="H691" t="s">
        <v>51</v>
      </c>
      <c r="I691" t="s">
        <v>25</v>
      </c>
      <c r="J691" t="s">
        <v>15</v>
      </c>
      <c r="K691" s="2">
        <v>17400</v>
      </c>
      <c r="L691" s="3">
        <v>23.4</v>
      </c>
      <c r="M691" s="3">
        <v>65.099999999999994</v>
      </c>
      <c r="N691" s="3">
        <v>708.8</v>
      </c>
      <c r="O691" s="2">
        <v>1350</v>
      </c>
      <c r="P691">
        <v>1</v>
      </c>
      <c r="Q691" t="s">
        <v>23</v>
      </c>
      <c r="R691" s="4">
        <v>206.03</v>
      </c>
      <c r="S691" s="4">
        <v>87.17</v>
      </c>
      <c r="T691" t="s">
        <v>34</v>
      </c>
      <c r="U691" s="4">
        <v>16.510000000000002</v>
      </c>
      <c r="V691" s="4">
        <v>11.840999999999999</v>
      </c>
      <c r="W691" s="4">
        <v>118.86</v>
      </c>
    </row>
    <row r="692" spans="1:23" ht="15" customHeight="1" x14ac:dyDescent="0.25">
      <c r="A692">
        <v>116</v>
      </c>
      <c r="B692" s="1">
        <v>45770.833333333343</v>
      </c>
      <c r="C692">
        <v>20</v>
      </c>
      <c r="D692" t="s">
        <v>48</v>
      </c>
      <c r="E692">
        <v>4</v>
      </c>
      <c r="F692" t="s">
        <v>35</v>
      </c>
      <c r="G692" t="s">
        <v>33</v>
      </c>
      <c r="H692" t="s">
        <v>53</v>
      </c>
      <c r="I692" t="s">
        <v>19</v>
      </c>
      <c r="J692" t="s">
        <v>26</v>
      </c>
      <c r="K692" s="2">
        <v>12500</v>
      </c>
      <c r="L692" s="3">
        <v>19.100000000000001</v>
      </c>
      <c r="M692" s="3">
        <v>47.4</v>
      </c>
      <c r="N692" s="3">
        <v>0</v>
      </c>
      <c r="O692" s="2">
        <v>102</v>
      </c>
      <c r="P692">
        <v>0</v>
      </c>
      <c r="Q692" t="s">
        <v>14</v>
      </c>
      <c r="R692" s="4">
        <v>42.44</v>
      </c>
      <c r="S692" s="4">
        <v>0</v>
      </c>
      <c r="T692" t="s">
        <v>37</v>
      </c>
      <c r="U692" s="4">
        <v>9.0299999999999994</v>
      </c>
      <c r="V692" s="4">
        <v>3.395</v>
      </c>
      <c r="W692" s="4">
        <v>42.44</v>
      </c>
    </row>
    <row r="693" spans="1:23" ht="15" customHeight="1" x14ac:dyDescent="0.25">
      <c r="A693">
        <v>1956</v>
      </c>
      <c r="B693" s="1">
        <v>45770.833333333343</v>
      </c>
      <c r="C693">
        <v>20</v>
      </c>
      <c r="D693" t="s">
        <v>48</v>
      </c>
      <c r="E693">
        <v>4</v>
      </c>
      <c r="F693" t="s">
        <v>35</v>
      </c>
      <c r="G693" t="s">
        <v>33</v>
      </c>
      <c r="H693" t="s">
        <v>52</v>
      </c>
      <c r="I693" t="s">
        <v>13</v>
      </c>
      <c r="J693" t="s">
        <v>21</v>
      </c>
      <c r="K693" s="2">
        <v>9800</v>
      </c>
      <c r="L693" s="3">
        <v>16.399999999999999</v>
      </c>
      <c r="M693" s="3">
        <v>83.3</v>
      </c>
      <c r="N693" s="3">
        <v>0</v>
      </c>
      <c r="O693" s="2">
        <v>282</v>
      </c>
      <c r="P693">
        <v>0</v>
      </c>
      <c r="Q693" t="s">
        <v>14</v>
      </c>
      <c r="R693" s="4">
        <v>99.27</v>
      </c>
      <c r="S693" s="4">
        <v>0</v>
      </c>
      <c r="T693" t="s">
        <v>37</v>
      </c>
      <c r="U693" s="4">
        <v>21.45</v>
      </c>
      <c r="V693" s="4">
        <v>10.130000000000001</v>
      </c>
      <c r="W693" s="4">
        <v>99.27</v>
      </c>
    </row>
    <row r="694" spans="1:23" ht="15" customHeight="1" x14ac:dyDescent="0.25">
      <c r="A694">
        <v>1588</v>
      </c>
      <c r="B694" s="1">
        <v>45770.833333333343</v>
      </c>
      <c r="C694">
        <v>20</v>
      </c>
      <c r="D694" t="s">
        <v>48</v>
      </c>
      <c r="E694">
        <v>4</v>
      </c>
      <c r="F694" t="s">
        <v>35</v>
      </c>
      <c r="G694" t="s">
        <v>33</v>
      </c>
      <c r="H694" t="s">
        <v>49</v>
      </c>
      <c r="I694" t="s">
        <v>27</v>
      </c>
      <c r="J694" t="s">
        <v>18</v>
      </c>
      <c r="K694" s="2">
        <v>26000</v>
      </c>
      <c r="L694" s="3"/>
      <c r="M694" s="3">
        <v>56.5</v>
      </c>
      <c r="N694" s="3">
        <v>0</v>
      </c>
      <c r="O694" s="2">
        <v>164</v>
      </c>
      <c r="P694">
        <v>0</v>
      </c>
      <c r="Q694" t="s">
        <v>14</v>
      </c>
      <c r="R694" s="4">
        <v>228.8</v>
      </c>
      <c r="S694" s="4">
        <v>0</v>
      </c>
      <c r="T694" t="s">
        <v>37</v>
      </c>
      <c r="U694" s="4">
        <v>46.93</v>
      </c>
      <c r="V694" s="4">
        <v>8.8000000000000007</v>
      </c>
      <c r="W694" s="4">
        <v>228.8</v>
      </c>
    </row>
    <row r="695" spans="1:23" ht="15" customHeight="1" x14ac:dyDescent="0.25">
      <c r="A695">
        <v>484</v>
      </c>
      <c r="B695" s="1">
        <v>45770.833333333343</v>
      </c>
      <c r="C695">
        <v>20</v>
      </c>
      <c r="D695" t="s">
        <v>48</v>
      </c>
      <c r="E695">
        <v>4</v>
      </c>
      <c r="F695" t="s">
        <v>35</v>
      </c>
      <c r="G695" t="s">
        <v>33</v>
      </c>
      <c r="H695" t="s">
        <v>54</v>
      </c>
      <c r="I695" t="s">
        <v>16</v>
      </c>
      <c r="J695" t="s">
        <v>24</v>
      </c>
      <c r="K695" s="2">
        <v>8600</v>
      </c>
      <c r="L695" s="3">
        <v>17</v>
      </c>
      <c r="M695" s="3">
        <v>70.7</v>
      </c>
      <c r="N695" s="3">
        <v>0</v>
      </c>
      <c r="O695" s="2">
        <v>54</v>
      </c>
      <c r="P695">
        <v>0</v>
      </c>
      <c r="Q695" t="s">
        <v>14</v>
      </c>
      <c r="R695" s="4">
        <v>21.74</v>
      </c>
      <c r="S695" s="4">
        <v>0</v>
      </c>
      <c r="T695" t="s">
        <v>37</v>
      </c>
      <c r="U695" s="4">
        <v>4.59</v>
      </c>
      <c r="V695" s="4">
        <v>2.528</v>
      </c>
      <c r="W695" s="4">
        <v>21.74</v>
      </c>
    </row>
    <row r="696" spans="1:23" ht="15" customHeight="1" x14ac:dyDescent="0.25">
      <c r="A696">
        <v>852</v>
      </c>
      <c r="B696" s="1">
        <v>45770.833333333343</v>
      </c>
      <c r="C696">
        <v>20</v>
      </c>
      <c r="D696" t="s">
        <v>48</v>
      </c>
      <c r="E696">
        <v>4</v>
      </c>
      <c r="F696" t="s">
        <v>35</v>
      </c>
      <c r="G696" t="s">
        <v>33</v>
      </c>
      <c r="H696" t="s">
        <v>50</v>
      </c>
      <c r="I696" t="s">
        <v>22</v>
      </c>
      <c r="J696" t="s">
        <v>12</v>
      </c>
      <c r="K696" s="2">
        <v>21000</v>
      </c>
      <c r="L696" s="3">
        <v>26.9</v>
      </c>
      <c r="M696" s="3">
        <v>57.4</v>
      </c>
      <c r="N696" s="3">
        <v>0</v>
      </c>
      <c r="O696" s="2"/>
      <c r="P696">
        <v>1</v>
      </c>
      <c r="Q696" t="s">
        <v>20</v>
      </c>
      <c r="R696" s="4">
        <v>305.64</v>
      </c>
      <c r="S696" s="4">
        <v>0</v>
      </c>
      <c r="T696" t="s">
        <v>37</v>
      </c>
      <c r="U696" s="4">
        <v>65.010000000000005</v>
      </c>
      <c r="V696" s="4">
        <v>14.554</v>
      </c>
      <c r="W696" s="4">
        <v>305.64</v>
      </c>
    </row>
    <row r="697" spans="1:23" ht="15" customHeight="1" x14ac:dyDescent="0.25">
      <c r="A697">
        <v>1220</v>
      </c>
      <c r="B697" s="1">
        <v>45770.833333333343</v>
      </c>
      <c r="C697">
        <v>20</v>
      </c>
      <c r="D697" t="s">
        <v>48</v>
      </c>
      <c r="E697">
        <v>4</v>
      </c>
      <c r="F697" t="s">
        <v>35</v>
      </c>
      <c r="G697" t="s">
        <v>33</v>
      </c>
      <c r="H697" t="s">
        <v>51</v>
      </c>
      <c r="I697" t="s">
        <v>25</v>
      </c>
      <c r="J697" t="s">
        <v>15</v>
      </c>
      <c r="K697" s="2">
        <v>17400</v>
      </c>
      <c r="L697" s="3">
        <v>20</v>
      </c>
      <c r="M697" s="3">
        <v>74.7</v>
      </c>
      <c r="N697" s="3">
        <v>0</v>
      </c>
      <c r="O697" s="2">
        <v>1255</v>
      </c>
      <c r="P697">
        <v>0</v>
      </c>
      <c r="Q697" t="s">
        <v>14</v>
      </c>
      <c r="R697" s="4">
        <v>264.52</v>
      </c>
      <c r="S697" s="4">
        <v>0</v>
      </c>
      <c r="T697" t="s">
        <v>37</v>
      </c>
      <c r="U697" s="4">
        <v>57.37</v>
      </c>
      <c r="V697" s="4">
        <v>15.202</v>
      </c>
      <c r="W697" s="4">
        <v>264.52</v>
      </c>
    </row>
    <row r="698" spans="1:23" ht="15" customHeight="1" x14ac:dyDescent="0.25">
      <c r="A698">
        <v>117</v>
      </c>
      <c r="B698" s="1">
        <v>45774</v>
      </c>
      <c r="C698">
        <v>0</v>
      </c>
      <c r="D698" t="s">
        <v>55</v>
      </c>
      <c r="E698">
        <v>4</v>
      </c>
      <c r="F698" t="s">
        <v>35</v>
      </c>
      <c r="G698" t="s">
        <v>36</v>
      </c>
      <c r="H698" t="s">
        <v>53</v>
      </c>
      <c r="I698" t="s">
        <v>19</v>
      </c>
      <c r="J698" t="s">
        <v>26</v>
      </c>
      <c r="K698" s="2">
        <v>12500</v>
      </c>
      <c r="L698" s="3">
        <v>14.5</v>
      </c>
      <c r="M698" s="3">
        <v>70.599999999999994</v>
      </c>
      <c r="N698" s="3">
        <v>0</v>
      </c>
      <c r="O698" s="2">
        <v>96</v>
      </c>
      <c r="P698">
        <v>0</v>
      </c>
      <c r="Q698" t="s">
        <v>14</v>
      </c>
      <c r="R698" s="4">
        <v>30.49</v>
      </c>
      <c r="S698" s="4">
        <v>0</v>
      </c>
      <c r="T698" t="s">
        <v>31</v>
      </c>
      <c r="U698" s="4">
        <v>2.59</v>
      </c>
      <c r="V698" s="4">
        <v>2.4390000000000001</v>
      </c>
      <c r="W698" s="4">
        <v>30.49</v>
      </c>
    </row>
    <row r="699" spans="1:23" ht="15" customHeight="1" x14ac:dyDescent="0.25">
      <c r="A699">
        <v>1221</v>
      </c>
      <c r="B699" s="1">
        <v>45774</v>
      </c>
      <c r="C699">
        <v>0</v>
      </c>
      <c r="D699" t="s">
        <v>55</v>
      </c>
      <c r="E699">
        <v>4</v>
      </c>
      <c r="F699" t="s">
        <v>35</v>
      </c>
      <c r="G699" t="s">
        <v>36</v>
      </c>
      <c r="H699" t="s">
        <v>51</v>
      </c>
      <c r="I699" t="s">
        <v>25</v>
      </c>
      <c r="J699" t="s">
        <v>15</v>
      </c>
      <c r="K699" s="2">
        <v>17400</v>
      </c>
      <c r="L699" s="3">
        <v>16.600000000000001</v>
      </c>
      <c r="M699" s="3">
        <v>68.5</v>
      </c>
      <c r="N699" s="3">
        <v>0</v>
      </c>
      <c r="O699" s="2">
        <v>93</v>
      </c>
      <c r="P699">
        <v>0</v>
      </c>
      <c r="Q699" t="s">
        <v>14</v>
      </c>
      <c r="R699" s="4">
        <v>55.15</v>
      </c>
      <c r="S699" s="4">
        <v>0</v>
      </c>
      <c r="T699" t="s">
        <v>31</v>
      </c>
      <c r="U699" s="4">
        <v>4.74</v>
      </c>
      <c r="V699" s="4">
        <v>3.17</v>
      </c>
      <c r="W699" s="4">
        <v>55.15</v>
      </c>
    </row>
    <row r="700" spans="1:23" ht="15" customHeight="1" x14ac:dyDescent="0.25">
      <c r="A700">
        <v>1957</v>
      </c>
      <c r="B700" s="1">
        <v>45774</v>
      </c>
      <c r="C700">
        <v>0</v>
      </c>
      <c r="D700" t="s">
        <v>55</v>
      </c>
      <c r="E700">
        <v>4</v>
      </c>
      <c r="F700" t="s">
        <v>35</v>
      </c>
      <c r="G700" t="s">
        <v>36</v>
      </c>
      <c r="H700" t="s">
        <v>52</v>
      </c>
      <c r="I700" t="s">
        <v>13</v>
      </c>
      <c r="J700" t="s">
        <v>21</v>
      </c>
      <c r="K700" s="2">
        <v>9800</v>
      </c>
      <c r="L700" s="3">
        <v>15.7</v>
      </c>
      <c r="M700" s="3">
        <v>88.2</v>
      </c>
      <c r="N700" s="3">
        <v>0</v>
      </c>
      <c r="O700" s="2">
        <v>306</v>
      </c>
      <c r="P700">
        <v>1</v>
      </c>
      <c r="Q700" t="s">
        <v>23</v>
      </c>
      <c r="R700" s="4">
        <v>100.83</v>
      </c>
      <c r="S700" s="4">
        <v>0</v>
      </c>
      <c r="T700" t="s">
        <v>31</v>
      </c>
      <c r="U700" s="4">
        <v>9.14</v>
      </c>
      <c r="V700" s="4">
        <v>10.289</v>
      </c>
      <c r="W700" s="4">
        <v>100.83</v>
      </c>
    </row>
    <row r="701" spans="1:23" ht="15" customHeight="1" x14ac:dyDescent="0.25">
      <c r="A701">
        <v>485</v>
      </c>
      <c r="B701" s="1">
        <v>45774</v>
      </c>
      <c r="C701">
        <v>0</v>
      </c>
      <c r="D701" t="s">
        <v>55</v>
      </c>
      <c r="E701">
        <v>4</v>
      </c>
      <c r="F701" t="s">
        <v>35</v>
      </c>
      <c r="G701" t="s">
        <v>36</v>
      </c>
      <c r="H701" t="s">
        <v>54</v>
      </c>
      <c r="I701" t="s">
        <v>16</v>
      </c>
      <c r="J701" t="s">
        <v>24</v>
      </c>
      <c r="K701" s="2">
        <v>8600</v>
      </c>
      <c r="L701" s="3">
        <v>13.6</v>
      </c>
      <c r="M701" s="3">
        <v>96.5</v>
      </c>
      <c r="N701" s="3">
        <v>0</v>
      </c>
      <c r="O701" s="2">
        <v>0</v>
      </c>
      <c r="P701">
        <v>0</v>
      </c>
      <c r="Q701" t="s">
        <v>14</v>
      </c>
      <c r="R701" s="4">
        <v>11.88</v>
      </c>
      <c r="S701" s="4">
        <v>0</v>
      </c>
      <c r="T701" t="s">
        <v>31</v>
      </c>
      <c r="U701" s="4">
        <v>1.03</v>
      </c>
      <c r="V701" s="4">
        <v>1.381</v>
      </c>
      <c r="W701" s="4">
        <v>11.88</v>
      </c>
    </row>
    <row r="702" spans="1:23" ht="15" customHeight="1" x14ac:dyDescent="0.25">
      <c r="A702">
        <v>853</v>
      </c>
      <c r="B702" s="1">
        <v>45774</v>
      </c>
      <c r="C702">
        <v>0</v>
      </c>
      <c r="D702" t="s">
        <v>55</v>
      </c>
      <c r="E702">
        <v>4</v>
      </c>
      <c r="F702" t="s">
        <v>35</v>
      </c>
      <c r="G702" t="s">
        <v>36</v>
      </c>
      <c r="H702" t="s">
        <v>50</v>
      </c>
      <c r="I702" t="s">
        <v>22</v>
      </c>
      <c r="J702" t="s">
        <v>12</v>
      </c>
      <c r="K702" s="2">
        <v>21000</v>
      </c>
      <c r="L702" s="3">
        <v>14</v>
      </c>
      <c r="M702" s="3">
        <v>55</v>
      </c>
      <c r="N702" s="3">
        <v>0</v>
      </c>
      <c r="O702" s="2">
        <v>177</v>
      </c>
      <c r="P702">
        <v>1</v>
      </c>
      <c r="Q702" t="s">
        <v>17</v>
      </c>
      <c r="R702" s="4">
        <v>184.02</v>
      </c>
      <c r="S702" s="4">
        <v>0</v>
      </c>
      <c r="T702" t="s">
        <v>31</v>
      </c>
      <c r="U702" s="4">
        <v>15.94</v>
      </c>
      <c r="V702" s="4">
        <v>8.7629999999999999</v>
      </c>
      <c r="W702" s="4">
        <v>184.02</v>
      </c>
    </row>
    <row r="703" spans="1:23" ht="15" customHeight="1" x14ac:dyDescent="0.25">
      <c r="A703">
        <v>1589</v>
      </c>
      <c r="B703" s="1">
        <v>45774</v>
      </c>
      <c r="C703">
        <v>0</v>
      </c>
      <c r="D703" t="s">
        <v>55</v>
      </c>
      <c r="E703">
        <v>4</v>
      </c>
      <c r="F703" t="s">
        <v>35</v>
      </c>
      <c r="G703" t="s">
        <v>36</v>
      </c>
      <c r="H703" t="s">
        <v>49</v>
      </c>
      <c r="I703" t="s">
        <v>27</v>
      </c>
      <c r="J703" t="s">
        <v>18</v>
      </c>
      <c r="K703" s="2">
        <v>26000</v>
      </c>
      <c r="L703" s="3">
        <v>14.3</v>
      </c>
      <c r="M703" s="3">
        <v>68.8</v>
      </c>
      <c r="N703" s="3">
        <v>0</v>
      </c>
      <c r="O703" s="2">
        <v>32</v>
      </c>
      <c r="P703">
        <v>1</v>
      </c>
      <c r="Q703" t="s">
        <v>17</v>
      </c>
      <c r="R703" s="4">
        <v>80.28</v>
      </c>
      <c r="S703" s="4">
        <v>0</v>
      </c>
      <c r="T703" t="s">
        <v>31</v>
      </c>
      <c r="U703" s="4">
        <v>6.86</v>
      </c>
      <c r="V703" s="4">
        <v>3.0880000000000001</v>
      </c>
      <c r="W703" s="4">
        <v>80.28</v>
      </c>
    </row>
    <row r="704" spans="1:23" ht="15" customHeight="1" x14ac:dyDescent="0.25">
      <c r="A704">
        <v>1590</v>
      </c>
      <c r="B704" s="1">
        <v>45774.333333333343</v>
      </c>
      <c r="C704">
        <v>8</v>
      </c>
      <c r="D704" t="s">
        <v>55</v>
      </c>
      <c r="E704">
        <v>4</v>
      </c>
      <c r="F704" t="s">
        <v>35</v>
      </c>
      <c r="G704" t="s">
        <v>36</v>
      </c>
      <c r="H704" t="s">
        <v>49</v>
      </c>
      <c r="I704" t="s">
        <v>27</v>
      </c>
      <c r="J704" t="s">
        <v>18</v>
      </c>
      <c r="K704" s="2">
        <v>26000</v>
      </c>
      <c r="L704" s="3">
        <v>17.899999999999999</v>
      </c>
      <c r="M704" s="3">
        <v>63.7</v>
      </c>
      <c r="N704" s="3">
        <v>294.3</v>
      </c>
      <c r="O704" s="2">
        <v>63</v>
      </c>
      <c r="P704">
        <v>0</v>
      </c>
      <c r="Q704" t="s">
        <v>14</v>
      </c>
      <c r="R704" s="4">
        <v>78.97</v>
      </c>
      <c r="S704" s="4">
        <v>76.680000000000007</v>
      </c>
      <c r="T704" t="s">
        <v>31</v>
      </c>
      <c r="U704" s="4">
        <v>0.21</v>
      </c>
      <c r="V704" s="4">
        <v>3.0369999999999999</v>
      </c>
      <c r="W704" s="4">
        <v>2.29</v>
      </c>
    </row>
    <row r="705" spans="1:23" ht="15" customHeight="1" x14ac:dyDescent="0.25">
      <c r="A705">
        <v>854</v>
      </c>
      <c r="B705" s="1">
        <v>45774.333333333343</v>
      </c>
      <c r="C705">
        <v>8</v>
      </c>
      <c r="D705" t="s">
        <v>55</v>
      </c>
      <c r="E705">
        <v>4</v>
      </c>
      <c r="F705" t="s">
        <v>35</v>
      </c>
      <c r="G705" t="s">
        <v>36</v>
      </c>
      <c r="H705" t="s">
        <v>50</v>
      </c>
      <c r="I705" t="s">
        <v>22</v>
      </c>
      <c r="J705" t="s">
        <v>12</v>
      </c>
      <c r="K705" s="2">
        <v>21000</v>
      </c>
      <c r="L705" s="3">
        <v>20.399999999999999</v>
      </c>
      <c r="M705" s="3">
        <v>63.3</v>
      </c>
      <c r="N705" s="3">
        <v>271.60000000000002</v>
      </c>
      <c r="O705" s="2">
        <v>426</v>
      </c>
      <c r="P705">
        <v>0</v>
      </c>
      <c r="Q705" t="s">
        <v>14</v>
      </c>
      <c r="R705" s="4">
        <v>205.4</v>
      </c>
      <c r="S705" s="4">
        <v>51.36</v>
      </c>
      <c r="T705" t="s">
        <v>31</v>
      </c>
      <c r="U705" s="4">
        <v>13.62</v>
      </c>
      <c r="V705" s="4">
        <v>9.7810000000000006</v>
      </c>
      <c r="W705" s="4">
        <v>154.04</v>
      </c>
    </row>
    <row r="706" spans="1:23" ht="15" customHeight="1" x14ac:dyDescent="0.25">
      <c r="A706">
        <v>1958</v>
      </c>
      <c r="B706" s="1">
        <v>45774.333333333343</v>
      </c>
      <c r="C706">
        <v>8</v>
      </c>
      <c r="D706" t="s">
        <v>55</v>
      </c>
      <c r="E706">
        <v>4</v>
      </c>
      <c r="F706" t="s">
        <v>35</v>
      </c>
      <c r="G706" t="s">
        <v>36</v>
      </c>
      <c r="H706" t="s">
        <v>52</v>
      </c>
      <c r="I706" t="s">
        <v>13</v>
      </c>
      <c r="J706" t="s">
        <v>21</v>
      </c>
      <c r="K706" s="2">
        <v>9800</v>
      </c>
      <c r="L706" s="3">
        <v>14.6</v>
      </c>
      <c r="M706" s="3">
        <v>71.599999999999994</v>
      </c>
      <c r="N706" s="3">
        <v>249.8</v>
      </c>
      <c r="O706" s="2">
        <v>121</v>
      </c>
      <c r="P706">
        <v>1</v>
      </c>
      <c r="Q706" t="s">
        <v>23</v>
      </c>
      <c r="R706" s="4">
        <v>28.45</v>
      </c>
      <c r="S706" s="4">
        <v>0</v>
      </c>
      <c r="T706" t="s">
        <v>31</v>
      </c>
      <c r="U706" s="4">
        <v>2.57</v>
      </c>
      <c r="V706" s="4">
        <v>2.903</v>
      </c>
      <c r="W706" s="4">
        <v>28.45</v>
      </c>
    </row>
    <row r="707" spans="1:23" ht="15" customHeight="1" x14ac:dyDescent="0.25">
      <c r="A707">
        <v>486</v>
      </c>
      <c r="B707" s="1">
        <v>45774.333333333343</v>
      </c>
      <c r="C707">
        <v>8</v>
      </c>
      <c r="D707" t="s">
        <v>55</v>
      </c>
      <c r="E707">
        <v>4</v>
      </c>
      <c r="F707" t="s">
        <v>35</v>
      </c>
      <c r="G707" t="s">
        <v>36</v>
      </c>
      <c r="H707" t="s">
        <v>54</v>
      </c>
      <c r="I707" t="s">
        <v>16</v>
      </c>
      <c r="J707" t="s">
        <v>24</v>
      </c>
      <c r="K707" s="2">
        <v>8600</v>
      </c>
      <c r="L707" s="3">
        <v>11.8</v>
      </c>
      <c r="M707" s="3">
        <v>77.5</v>
      </c>
      <c r="N707" s="3">
        <v>246.9</v>
      </c>
      <c r="O707" s="2">
        <v>0</v>
      </c>
      <c r="P707">
        <v>0</v>
      </c>
      <c r="Q707" t="s">
        <v>14</v>
      </c>
      <c r="R707" s="4">
        <v>8</v>
      </c>
      <c r="S707" s="4">
        <v>19.010000000000002</v>
      </c>
      <c r="T707" t="s">
        <v>31</v>
      </c>
      <c r="U707" s="4">
        <v>-0.39</v>
      </c>
      <c r="V707" s="4">
        <v>0.93</v>
      </c>
      <c r="W707" s="4">
        <v>0</v>
      </c>
    </row>
    <row r="708" spans="1:23" ht="15" customHeight="1" x14ac:dyDescent="0.25">
      <c r="A708">
        <v>118</v>
      </c>
      <c r="B708" s="1">
        <v>45774.333333333343</v>
      </c>
      <c r="C708">
        <v>8</v>
      </c>
      <c r="D708" t="s">
        <v>55</v>
      </c>
      <c r="E708">
        <v>4</v>
      </c>
      <c r="F708" t="s">
        <v>35</v>
      </c>
      <c r="G708" t="s">
        <v>36</v>
      </c>
      <c r="H708" t="s">
        <v>53</v>
      </c>
      <c r="I708" t="s">
        <v>19</v>
      </c>
      <c r="J708" t="s">
        <v>26</v>
      </c>
      <c r="K708" s="2">
        <v>12500</v>
      </c>
      <c r="L708" s="3">
        <v>13.1</v>
      </c>
      <c r="M708" s="3">
        <v>66.5</v>
      </c>
      <c r="N708" s="3">
        <v>239.1</v>
      </c>
      <c r="O708" s="2">
        <v>56</v>
      </c>
      <c r="P708">
        <v>0</v>
      </c>
      <c r="Q708" t="s">
        <v>14</v>
      </c>
      <c r="R708" s="4">
        <v>18.78</v>
      </c>
      <c r="S708" s="4">
        <v>34.1</v>
      </c>
      <c r="T708" t="s">
        <v>31</v>
      </c>
      <c r="U708" s="4">
        <v>-0.52</v>
      </c>
      <c r="V708" s="4">
        <v>1.502</v>
      </c>
      <c r="W708" s="4">
        <v>0</v>
      </c>
    </row>
    <row r="709" spans="1:23" ht="15" customHeight="1" x14ac:dyDescent="0.25">
      <c r="A709">
        <v>1222</v>
      </c>
      <c r="B709" s="1">
        <v>45774.333333333343</v>
      </c>
      <c r="C709">
        <v>8</v>
      </c>
      <c r="D709" t="s">
        <v>55</v>
      </c>
      <c r="E709">
        <v>4</v>
      </c>
      <c r="F709" t="s">
        <v>35</v>
      </c>
      <c r="G709" t="s">
        <v>36</v>
      </c>
      <c r="H709" t="s">
        <v>51</v>
      </c>
      <c r="I709" t="s">
        <v>25</v>
      </c>
      <c r="J709" t="s">
        <v>15</v>
      </c>
      <c r="K709" s="2">
        <v>17400</v>
      </c>
      <c r="L709" s="3">
        <v>18.100000000000001</v>
      </c>
      <c r="M709" s="3">
        <v>77.900000000000006</v>
      </c>
      <c r="N709" s="3">
        <v>277.10000000000002</v>
      </c>
      <c r="O709" s="2">
        <v>0</v>
      </c>
      <c r="P709">
        <v>0</v>
      </c>
      <c r="Q709" t="s">
        <v>14</v>
      </c>
      <c r="R709" s="4">
        <v>32.6</v>
      </c>
      <c r="S709" s="4">
        <v>37.049999999999997</v>
      </c>
      <c r="T709" t="s">
        <v>31</v>
      </c>
      <c r="U709" s="4">
        <v>-0.15</v>
      </c>
      <c r="V709" s="4">
        <v>1.8740000000000001</v>
      </c>
      <c r="W709" s="4">
        <v>0</v>
      </c>
    </row>
    <row r="710" spans="1:23" ht="15" customHeight="1" x14ac:dyDescent="0.25">
      <c r="A710">
        <v>1959</v>
      </c>
      <c r="B710" s="1">
        <v>45774.583333333343</v>
      </c>
      <c r="C710">
        <v>14</v>
      </c>
      <c r="D710" t="s">
        <v>55</v>
      </c>
      <c r="E710">
        <v>4</v>
      </c>
      <c r="F710" t="s">
        <v>35</v>
      </c>
      <c r="G710" t="s">
        <v>36</v>
      </c>
      <c r="H710" t="s">
        <v>52</v>
      </c>
      <c r="I710" t="s">
        <v>13</v>
      </c>
      <c r="J710" t="s">
        <v>21</v>
      </c>
      <c r="K710" s="2">
        <v>9800</v>
      </c>
      <c r="L710" s="3">
        <v>22.7</v>
      </c>
      <c r="M710" s="3">
        <v>76.900000000000006</v>
      </c>
      <c r="N710" s="3">
        <v>605.4</v>
      </c>
      <c r="O710" s="2"/>
      <c r="P710">
        <v>0</v>
      </c>
      <c r="Q710" t="s">
        <v>14</v>
      </c>
      <c r="R710" s="4">
        <v>28.11</v>
      </c>
      <c r="S710" s="4">
        <v>0</v>
      </c>
      <c r="T710" t="s">
        <v>31</v>
      </c>
      <c r="U710" s="4">
        <v>2.46</v>
      </c>
      <c r="V710" s="4">
        <v>2.8679999999999999</v>
      </c>
      <c r="W710" s="4">
        <v>28.11</v>
      </c>
    </row>
    <row r="711" spans="1:23" ht="15" customHeight="1" x14ac:dyDescent="0.25">
      <c r="A711">
        <v>487</v>
      </c>
      <c r="B711" s="1">
        <v>45774.583333333343</v>
      </c>
      <c r="C711">
        <v>14</v>
      </c>
      <c r="D711" t="s">
        <v>55</v>
      </c>
      <c r="E711">
        <v>4</v>
      </c>
      <c r="F711" t="s">
        <v>35</v>
      </c>
      <c r="G711" t="s">
        <v>36</v>
      </c>
      <c r="H711" t="s">
        <v>54</v>
      </c>
      <c r="I711" t="s">
        <v>16</v>
      </c>
      <c r="J711" t="s">
        <v>24</v>
      </c>
      <c r="K711" s="2">
        <v>8600</v>
      </c>
      <c r="L711" s="3">
        <v>18.600000000000001</v>
      </c>
      <c r="M711" s="3">
        <v>74.3</v>
      </c>
      <c r="N711" s="3">
        <v>522</v>
      </c>
      <c r="O711" s="2">
        <v>0</v>
      </c>
      <c r="P711">
        <v>0</v>
      </c>
      <c r="Q711" t="s">
        <v>14</v>
      </c>
      <c r="R711" s="4">
        <v>7.84</v>
      </c>
      <c r="S711" s="4">
        <v>41.87</v>
      </c>
      <c r="T711" t="s">
        <v>31</v>
      </c>
      <c r="U711" s="4">
        <v>-1.18</v>
      </c>
      <c r="V711" s="4">
        <v>0.91200000000000003</v>
      </c>
      <c r="W711" s="4">
        <v>0</v>
      </c>
    </row>
    <row r="712" spans="1:23" ht="15" customHeight="1" x14ac:dyDescent="0.25">
      <c r="A712">
        <v>1591</v>
      </c>
      <c r="B712" s="1">
        <v>45774.583333333343</v>
      </c>
      <c r="C712">
        <v>14</v>
      </c>
      <c r="D712" t="s">
        <v>55</v>
      </c>
      <c r="E712">
        <v>4</v>
      </c>
      <c r="F712" t="s">
        <v>35</v>
      </c>
      <c r="G712" t="s">
        <v>36</v>
      </c>
      <c r="H712" t="s">
        <v>49</v>
      </c>
      <c r="I712" t="s">
        <v>27</v>
      </c>
      <c r="J712" t="s">
        <v>18</v>
      </c>
      <c r="K712" s="2">
        <v>26000</v>
      </c>
      <c r="L712" s="3">
        <v>26</v>
      </c>
      <c r="M712" s="3">
        <v>60.2</v>
      </c>
      <c r="N712" s="3">
        <v>625.70000000000005</v>
      </c>
      <c r="O712" s="2">
        <v>64</v>
      </c>
      <c r="P712">
        <v>1</v>
      </c>
      <c r="Q712" t="s">
        <v>20</v>
      </c>
      <c r="R712" s="4">
        <v>86.05</v>
      </c>
      <c r="S712" s="4">
        <v>144.19999999999999</v>
      </c>
      <c r="T712" t="s">
        <v>31</v>
      </c>
      <c r="U712" s="4">
        <v>-2.02</v>
      </c>
      <c r="V712" s="4">
        <v>3.31</v>
      </c>
      <c r="W712" s="4">
        <v>0</v>
      </c>
    </row>
    <row r="713" spans="1:23" ht="15" customHeight="1" x14ac:dyDescent="0.25">
      <c r="A713">
        <v>119</v>
      </c>
      <c r="B713" s="1">
        <v>45774.583333333343</v>
      </c>
      <c r="C713">
        <v>14</v>
      </c>
      <c r="D713" t="s">
        <v>55</v>
      </c>
      <c r="E713">
        <v>4</v>
      </c>
      <c r="F713" t="s">
        <v>35</v>
      </c>
      <c r="G713" t="s">
        <v>36</v>
      </c>
      <c r="H713" t="s">
        <v>53</v>
      </c>
      <c r="I713" t="s">
        <v>19</v>
      </c>
      <c r="J713" t="s">
        <v>26</v>
      </c>
      <c r="K713" s="2">
        <v>12500</v>
      </c>
      <c r="L713" s="3">
        <v>20</v>
      </c>
      <c r="M713" s="3">
        <v>65</v>
      </c>
      <c r="N713" s="3">
        <v>523.70000000000005</v>
      </c>
      <c r="O713" s="2">
        <v>0</v>
      </c>
      <c r="P713">
        <v>0</v>
      </c>
      <c r="Q713" t="s">
        <v>14</v>
      </c>
      <c r="R713" s="4">
        <v>15.4</v>
      </c>
      <c r="S713" s="4">
        <v>75.8</v>
      </c>
      <c r="T713" t="s">
        <v>31</v>
      </c>
      <c r="U713" s="4">
        <v>-2.16</v>
      </c>
      <c r="V713" s="4">
        <v>1.232</v>
      </c>
      <c r="W713" s="4">
        <v>0</v>
      </c>
    </row>
    <row r="714" spans="1:23" ht="15" customHeight="1" x14ac:dyDescent="0.25">
      <c r="A714">
        <v>855</v>
      </c>
      <c r="B714" s="1">
        <v>45774.583333333343</v>
      </c>
      <c r="C714">
        <v>14</v>
      </c>
      <c r="D714" t="s">
        <v>55</v>
      </c>
      <c r="E714">
        <v>4</v>
      </c>
      <c r="F714" t="s">
        <v>35</v>
      </c>
      <c r="G714" t="s">
        <v>36</v>
      </c>
      <c r="H714" t="s">
        <v>50</v>
      </c>
      <c r="I714" t="s">
        <v>22</v>
      </c>
      <c r="J714" t="s">
        <v>12</v>
      </c>
      <c r="K714" s="2">
        <v>21000</v>
      </c>
      <c r="L714" s="3">
        <v>30.2</v>
      </c>
      <c r="M714" s="3">
        <v>53.9</v>
      </c>
      <c r="N714" s="3">
        <v>633.20000000000005</v>
      </c>
      <c r="O714" s="2">
        <v>399</v>
      </c>
      <c r="P714">
        <v>1</v>
      </c>
      <c r="Q714" t="s">
        <v>20</v>
      </c>
      <c r="R714" s="4">
        <v>241.05</v>
      </c>
      <c r="S714" s="4">
        <v>125.11</v>
      </c>
      <c r="T714" t="s">
        <v>31</v>
      </c>
      <c r="U714" s="4">
        <v>10.09</v>
      </c>
      <c r="V714" s="4">
        <v>11.478999999999999</v>
      </c>
      <c r="W714" s="4">
        <v>115.94</v>
      </c>
    </row>
    <row r="715" spans="1:23" ht="15" customHeight="1" x14ac:dyDescent="0.25">
      <c r="A715">
        <v>1223</v>
      </c>
      <c r="B715" s="1">
        <v>45774.583333333343</v>
      </c>
      <c r="C715">
        <v>14</v>
      </c>
      <c r="D715" t="s">
        <v>55</v>
      </c>
      <c r="E715">
        <v>4</v>
      </c>
      <c r="F715" t="s">
        <v>35</v>
      </c>
      <c r="G715" t="s">
        <v>36</v>
      </c>
      <c r="H715" t="s">
        <v>51</v>
      </c>
      <c r="I715" t="s">
        <v>25</v>
      </c>
      <c r="J715" t="s">
        <v>15</v>
      </c>
      <c r="K715" s="2">
        <v>17400</v>
      </c>
      <c r="L715" s="3">
        <v>23.4</v>
      </c>
      <c r="M715" s="3">
        <v>76.7</v>
      </c>
      <c r="N715" s="3">
        <v>533.5</v>
      </c>
      <c r="O715" s="2">
        <v>1507</v>
      </c>
      <c r="P715">
        <v>1</v>
      </c>
      <c r="Q715" t="s">
        <v>23</v>
      </c>
      <c r="R715" s="4">
        <v>234.32</v>
      </c>
      <c r="S715" s="4">
        <v>70.19</v>
      </c>
      <c r="T715" t="s">
        <v>31</v>
      </c>
      <c r="U715" s="4">
        <v>14.12</v>
      </c>
      <c r="V715" s="4">
        <v>13.467000000000001</v>
      </c>
      <c r="W715" s="4">
        <v>164.13</v>
      </c>
    </row>
    <row r="716" spans="1:23" ht="15" customHeight="1" x14ac:dyDescent="0.25">
      <c r="A716">
        <v>1592</v>
      </c>
      <c r="B716" s="1">
        <v>45774.833333333343</v>
      </c>
      <c r="C716">
        <v>20</v>
      </c>
      <c r="D716" t="s">
        <v>55</v>
      </c>
      <c r="E716">
        <v>4</v>
      </c>
      <c r="F716" t="s">
        <v>35</v>
      </c>
      <c r="G716" t="s">
        <v>36</v>
      </c>
      <c r="H716" t="s">
        <v>49</v>
      </c>
      <c r="I716" t="s">
        <v>27</v>
      </c>
      <c r="J716" t="s">
        <v>18</v>
      </c>
      <c r="K716" s="2">
        <v>26000</v>
      </c>
      <c r="L716" s="3">
        <v>22</v>
      </c>
      <c r="M716" s="3">
        <v>43.5</v>
      </c>
      <c r="N716" s="3">
        <v>0</v>
      </c>
      <c r="O716" s="2">
        <v>65</v>
      </c>
      <c r="P716">
        <v>0</v>
      </c>
      <c r="Q716" t="s">
        <v>14</v>
      </c>
      <c r="R716" s="4">
        <v>135.81</v>
      </c>
      <c r="S716" s="4">
        <v>0</v>
      </c>
      <c r="T716" t="s">
        <v>31</v>
      </c>
      <c r="U716" s="4">
        <v>12.17</v>
      </c>
      <c r="V716" s="4">
        <v>5.2229999999999999</v>
      </c>
      <c r="W716" s="4">
        <v>135.81</v>
      </c>
    </row>
    <row r="717" spans="1:23" ht="15" customHeight="1" x14ac:dyDescent="0.25">
      <c r="A717">
        <v>856</v>
      </c>
      <c r="B717" s="1">
        <v>45774.833333333343</v>
      </c>
      <c r="C717">
        <v>20</v>
      </c>
      <c r="D717" t="s">
        <v>55</v>
      </c>
      <c r="E717">
        <v>4</v>
      </c>
      <c r="F717" t="s">
        <v>35</v>
      </c>
      <c r="G717" t="s">
        <v>36</v>
      </c>
      <c r="H717" t="s">
        <v>50</v>
      </c>
      <c r="I717" t="s">
        <v>22</v>
      </c>
      <c r="J717" t="s">
        <v>12</v>
      </c>
      <c r="K717" s="2">
        <v>21000</v>
      </c>
      <c r="L717" s="3">
        <v>22.6</v>
      </c>
      <c r="M717" s="3">
        <v>50.3</v>
      </c>
      <c r="N717" s="3">
        <v>0</v>
      </c>
      <c r="O717" s="2">
        <v>426</v>
      </c>
      <c r="P717">
        <v>0</v>
      </c>
      <c r="Q717" t="s">
        <v>14</v>
      </c>
      <c r="R717" s="4">
        <v>268.43</v>
      </c>
      <c r="S717" s="4">
        <v>0</v>
      </c>
      <c r="T717" t="s">
        <v>31</v>
      </c>
      <c r="U717" s="4">
        <v>22.87</v>
      </c>
      <c r="V717" s="4">
        <v>12.782</v>
      </c>
      <c r="W717" s="4">
        <v>268.43</v>
      </c>
    </row>
    <row r="718" spans="1:23" ht="15" customHeight="1" x14ac:dyDescent="0.25">
      <c r="A718">
        <v>1224</v>
      </c>
      <c r="B718" s="1">
        <v>45774.833333333343</v>
      </c>
      <c r="C718">
        <v>20</v>
      </c>
      <c r="D718" t="s">
        <v>55</v>
      </c>
      <c r="E718">
        <v>4</v>
      </c>
      <c r="F718" t="s">
        <v>35</v>
      </c>
      <c r="G718" t="s">
        <v>36</v>
      </c>
      <c r="H718" t="s">
        <v>51</v>
      </c>
      <c r="I718" t="s">
        <v>25</v>
      </c>
      <c r="J718" t="s">
        <v>15</v>
      </c>
      <c r="K718" s="2">
        <v>17400</v>
      </c>
      <c r="L718" s="3">
        <v>20.399999999999999</v>
      </c>
      <c r="M718" s="3">
        <v>70.400000000000006</v>
      </c>
      <c r="N718" s="3">
        <v>0</v>
      </c>
      <c r="O718" s="2">
        <v>1520</v>
      </c>
      <c r="P718">
        <v>0</v>
      </c>
      <c r="Q718" t="s">
        <v>14</v>
      </c>
      <c r="R718" s="4">
        <v>310.06</v>
      </c>
      <c r="S718" s="4">
        <v>0</v>
      </c>
      <c r="T718" t="s">
        <v>31</v>
      </c>
      <c r="U718" s="4">
        <v>26.08</v>
      </c>
      <c r="V718" s="4">
        <v>17.82</v>
      </c>
      <c r="W718" s="4">
        <v>310.06</v>
      </c>
    </row>
    <row r="719" spans="1:23" ht="15" customHeight="1" x14ac:dyDescent="0.25">
      <c r="A719">
        <v>1960</v>
      </c>
      <c r="B719" s="1">
        <v>45774.833333333343</v>
      </c>
      <c r="C719">
        <v>20</v>
      </c>
      <c r="D719" t="s">
        <v>55</v>
      </c>
      <c r="E719">
        <v>4</v>
      </c>
      <c r="F719" t="s">
        <v>35</v>
      </c>
      <c r="G719" t="s">
        <v>36</v>
      </c>
      <c r="H719" t="s">
        <v>52</v>
      </c>
      <c r="I719" t="s">
        <v>13</v>
      </c>
      <c r="J719" t="s">
        <v>21</v>
      </c>
      <c r="K719" s="2">
        <v>9800</v>
      </c>
      <c r="L719" s="3">
        <v>20.5</v>
      </c>
      <c r="M719" s="3">
        <v>68.599999999999994</v>
      </c>
      <c r="N719" s="3">
        <v>0</v>
      </c>
      <c r="O719" s="2">
        <v>310</v>
      </c>
      <c r="P719">
        <v>0</v>
      </c>
      <c r="Q719" t="s">
        <v>14</v>
      </c>
      <c r="R719" s="4">
        <v>109.9</v>
      </c>
      <c r="S719" s="4">
        <v>0</v>
      </c>
      <c r="T719" t="s">
        <v>31</v>
      </c>
      <c r="U719" s="4">
        <v>9.5399999999999991</v>
      </c>
      <c r="V719" s="4">
        <v>11.214</v>
      </c>
      <c r="W719" s="4">
        <v>109.9</v>
      </c>
    </row>
    <row r="720" spans="1:23" ht="15" customHeight="1" x14ac:dyDescent="0.25">
      <c r="A720">
        <v>120</v>
      </c>
      <c r="B720" s="1">
        <v>45774.833333333343</v>
      </c>
      <c r="C720">
        <v>20</v>
      </c>
      <c r="D720" t="s">
        <v>55</v>
      </c>
      <c r="E720">
        <v>4</v>
      </c>
      <c r="F720" t="s">
        <v>35</v>
      </c>
      <c r="G720" t="s">
        <v>36</v>
      </c>
      <c r="H720" t="s">
        <v>53</v>
      </c>
      <c r="I720" t="s">
        <v>19</v>
      </c>
      <c r="J720" t="s">
        <v>26</v>
      </c>
      <c r="K720" s="2">
        <v>12500</v>
      </c>
      <c r="L720" s="3"/>
      <c r="M720" s="3">
        <v>64.5</v>
      </c>
      <c r="N720" s="3">
        <v>0</v>
      </c>
      <c r="O720" s="2">
        <v>38</v>
      </c>
      <c r="P720">
        <v>0</v>
      </c>
      <c r="Q720" t="s">
        <v>14</v>
      </c>
      <c r="R720" s="4">
        <v>25.18</v>
      </c>
      <c r="S720" s="4">
        <v>0</v>
      </c>
      <c r="T720" t="s">
        <v>31</v>
      </c>
      <c r="U720" s="4">
        <v>2.15</v>
      </c>
      <c r="V720" s="4">
        <v>2.0139999999999998</v>
      </c>
      <c r="W720" s="4">
        <v>25.18</v>
      </c>
    </row>
    <row r="721" spans="1:23" ht="15" customHeight="1" x14ac:dyDescent="0.25">
      <c r="A721">
        <v>488</v>
      </c>
      <c r="B721" s="1">
        <v>45774.833333333343</v>
      </c>
      <c r="C721">
        <v>20</v>
      </c>
      <c r="D721" t="s">
        <v>55</v>
      </c>
      <c r="E721">
        <v>4</v>
      </c>
      <c r="F721" t="s">
        <v>35</v>
      </c>
      <c r="G721" t="s">
        <v>36</v>
      </c>
      <c r="H721" t="s">
        <v>54</v>
      </c>
      <c r="I721" t="s">
        <v>16</v>
      </c>
      <c r="J721" t="s">
        <v>24</v>
      </c>
      <c r="K721" s="2">
        <v>8600</v>
      </c>
      <c r="L721" s="3">
        <v>13.2</v>
      </c>
      <c r="M721" s="3">
        <v>85.5</v>
      </c>
      <c r="N721" s="3">
        <v>0</v>
      </c>
      <c r="O721" s="2">
        <v>0</v>
      </c>
      <c r="P721">
        <v>0</v>
      </c>
      <c r="Q721" t="s">
        <v>14</v>
      </c>
      <c r="R721" s="4">
        <v>12.79</v>
      </c>
      <c r="S721" s="4">
        <v>0</v>
      </c>
      <c r="T721" t="s">
        <v>31</v>
      </c>
      <c r="U721" s="4">
        <v>1.1000000000000001</v>
      </c>
      <c r="V721" s="4">
        <v>1.4870000000000001</v>
      </c>
      <c r="W721" s="4">
        <v>12.79</v>
      </c>
    </row>
    <row r="722" spans="1:23" ht="15" customHeight="1" x14ac:dyDescent="0.25">
      <c r="A722">
        <v>1225</v>
      </c>
      <c r="B722" s="1">
        <v>45778</v>
      </c>
      <c r="C722">
        <v>0</v>
      </c>
      <c r="D722" t="s">
        <v>56</v>
      </c>
      <c r="E722">
        <v>5</v>
      </c>
      <c r="F722" t="s">
        <v>35</v>
      </c>
      <c r="G722" t="s">
        <v>33</v>
      </c>
      <c r="H722" t="s">
        <v>51</v>
      </c>
      <c r="I722" t="s">
        <v>25</v>
      </c>
      <c r="J722" t="s">
        <v>15</v>
      </c>
      <c r="K722" s="2">
        <v>17400</v>
      </c>
      <c r="L722" s="3">
        <v>15.6</v>
      </c>
      <c r="M722" s="3">
        <v>70.5</v>
      </c>
      <c r="N722" s="3">
        <v>0</v>
      </c>
      <c r="O722" s="2">
        <v>61</v>
      </c>
      <c r="P722">
        <v>0</v>
      </c>
      <c r="Q722" t="s">
        <v>14</v>
      </c>
      <c r="R722" s="4">
        <v>53.67</v>
      </c>
      <c r="S722" s="4">
        <v>0</v>
      </c>
      <c r="T722" t="s">
        <v>31</v>
      </c>
      <c r="U722" s="4">
        <v>4.7</v>
      </c>
      <c r="V722" s="4">
        <v>3.0840000000000001</v>
      </c>
      <c r="W722" s="4">
        <v>53.67</v>
      </c>
    </row>
    <row r="723" spans="1:23" ht="15" customHeight="1" x14ac:dyDescent="0.25">
      <c r="A723">
        <v>1593</v>
      </c>
      <c r="B723" s="1">
        <v>45778</v>
      </c>
      <c r="C723">
        <v>0</v>
      </c>
      <c r="D723" t="s">
        <v>56</v>
      </c>
      <c r="E723">
        <v>5</v>
      </c>
      <c r="F723" t="s">
        <v>35</v>
      </c>
      <c r="G723" t="s">
        <v>33</v>
      </c>
      <c r="H723" t="s">
        <v>49</v>
      </c>
      <c r="I723" t="s">
        <v>27</v>
      </c>
      <c r="J723" t="s">
        <v>18</v>
      </c>
      <c r="K723" s="2">
        <v>26000</v>
      </c>
      <c r="L723" s="3">
        <v>11.1</v>
      </c>
      <c r="M723" s="3">
        <v>67.599999999999994</v>
      </c>
      <c r="N723" s="3">
        <v>0</v>
      </c>
      <c r="O723" s="2">
        <v>0</v>
      </c>
      <c r="P723">
        <v>0</v>
      </c>
      <c r="Q723" t="s">
        <v>14</v>
      </c>
      <c r="R723" s="4">
        <v>49.11</v>
      </c>
      <c r="S723" s="4">
        <v>0</v>
      </c>
      <c r="T723" t="s">
        <v>31</v>
      </c>
      <c r="U723" s="4">
        <v>4.28</v>
      </c>
      <c r="V723" s="4">
        <v>1.889</v>
      </c>
      <c r="W723" s="4">
        <v>49.11</v>
      </c>
    </row>
    <row r="724" spans="1:23" ht="15" customHeight="1" x14ac:dyDescent="0.25">
      <c r="A724">
        <v>489</v>
      </c>
      <c r="B724" s="1">
        <v>45778</v>
      </c>
      <c r="C724">
        <v>0</v>
      </c>
      <c r="D724" t="s">
        <v>56</v>
      </c>
      <c r="E724">
        <v>5</v>
      </c>
      <c r="F724" t="s">
        <v>35</v>
      </c>
      <c r="G724" t="s">
        <v>33</v>
      </c>
      <c r="H724" t="s">
        <v>54</v>
      </c>
      <c r="I724" t="s">
        <v>16</v>
      </c>
      <c r="J724" t="s">
        <v>24</v>
      </c>
      <c r="K724" s="2">
        <v>8600</v>
      </c>
      <c r="L724" s="3">
        <v>12.5</v>
      </c>
      <c r="M724" s="3">
        <v>81.099999999999994</v>
      </c>
      <c r="N724" s="3">
        <v>0</v>
      </c>
      <c r="O724" s="2">
        <v>22</v>
      </c>
      <c r="P724">
        <v>0</v>
      </c>
      <c r="Q724" t="s">
        <v>14</v>
      </c>
      <c r="R724" s="4">
        <v>13.69</v>
      </c>
      <c r="S724" s="4">
        <v>0</v>
      </c>
      <c r="T724" t="s">
        <v>31</v>
      </c>
      <c r="U724" s="4">
        <v>1.1599999999999999</v>
      </c>
      <c r="V724" s="4">
        <v>1.5920000000000001</v>
      </c>
      <c r="W724" s="4">
        <v>13.69</v>
      </c>
    </row>
    <row r="725" spans="1:23" ht="15" customHeight="1" x14ac:dyDescent="0.25">
      <c r="A725">
        <v>857</v>
      </c>
      <c r="B725" s="1">
        <v>45778</v>
      </c>
      <c r="C725">
        <v>0</v>
      </c>
      <c r="D725" t="s">
        <v>56</v>
      </c>
      <c r="E725">
        <v>5</v>
      </c>
      <c r="F725" t="s">
        <v>35</v>
      </c>
      <c r="G725" t="s">
        <v>33</v>
      </c>
      <c r="H725" t="s">
        <v>50</v>
      </c>
      <c r="I725" t="s">
        <v>22</v>
      </c>
      <c r="J725" t="s">
        <v>12</v>
      </c>
      <c r="K725" s="2">
        <v>21000</v>
      </c>
      <c r="L725" s="3">
        <v>14.1</v>
      </c>
      <c r="M725" s="3">
        <v>57.3</v>
      </c>
      <c r="N725" s="3">
        <v>0</v>
      </c>
      <c r="O725" s="2">
        <v>248</v>
      </c>
      <c r="P725">
        <v>1</v>
      </c>
      <c r="Q725" t="s">
        <v>17</v>
      </c>
      <c r="R725" s="4">
        <v>171.39</v>
      </c>
      <c r="S725" s="4">
        <v>0</v>
      </c>
      <c r="T725" t="s">
        <v>31</v>
      </c>
      <c r="U725" s="4">
        <v>15.32</v>
      </c>
      <c r="V725" s="4">
        <v>8.1609999999999996</v>
      </c>
      <c r="W725" s="4">
        <v>171.39</v>
      </c>
    </row>
    <row r="726" spans="1:23" ht="15" customHeight="1" x14ac:dyDescent="0.25">
      <c r="A726">
        <v>1961</v>
      </c>
      <c r="B726" s="1">
        <v>45778</v>
      </c>
      <c r="C726">
        <v>0</v>
      </c>
      <c r="D726" t="s">
        <v>56</v>
      </c>
      <c r="E726">
        <v>5</v>
      </c>
      <c r="F726" t="s">
        <v>35</v>
      </c>
      <c r="G726" t="s">
        <v>33</v>
      </c>
      <c r="H726" t="s">
        <v>52</v>
      </c>
      <c r="I726" t="s">
        <v>13</v>
      </c>
      <c r="J726" t="s">
        <v>21</v>
      </c>
      <c r="K726" s="2">
        <v>9800</v>
      </c>
      <c r="L726" s="3">
        <v>12</v>
      </c>
      <c r="M726" s="3">
        <v>76.400000000000006</v>
      </c>
      <c r="N726" s="3">
        <v>0</v>
      </c>
      <c r="O726" s="2">
        <v>316</v>
      </c>
      <c r="P726">
        <v>1</v>
      </c>
      <c r="Q726" t="s">
        <v>17</v>
      </c>
      <c r="R726" s="4">
        <v>106.27</v>
      </c>
      <c r="S726" s="4">
        <v>0</v>
      </c>
      <c r="T726" t="s">
        <v>31</v>
      </c>
      <c r="U726" s="4">
        <v>9.31</v>
      </c>
      <c r="V726" s="4">
        <v>10.843999999999999</v>
      </c>
      <c r="W726" s="4">
        <v>106.27</v>
      </c>
    </row>
    <row r="727" spans="1:23" ht="15" customHeight="1" x14ac:dyDescent="0.25">
      <c r="A727">
        <v>121</v>
      </c>
      <c r="B727" s="1">
        <v>45778</v>
      </c>
      <c r="C727">
        <v>0</v>
      </c>
      <c r="D727" t="s">
        <v>56</v>
      </c>
      <c r="E727">
        <v>5</v>
      </c>
      <c r="F727" t="s">
        <v>35</v>
      </c>
      <c r="G727" t="s">
        <v>33</v>
      </c>
      <c r="H727" t="s">
        <v>53</v>
      </c>
      <c r="I727" t="s">
        <v>19</v>
      </c>
      <c r="J727" t="s">
        <v>26</v>
      </c>
      <c r="K727" s="2">
        <v>12500</v>
      </c>
      <c r="L727" s="3">
        <v>13.5</v>
      </c>
      <c r="M727" s="3">
        <v>60.3</v>
      </c>
      <c r="N727" s="3">
        <v>0</v>
      </c>
      <c r="O727" s="2">
        <v>32</v>
      </c>
      <c r="P727">
        <v>0</v>
      </c>
      <c r="Q727" t="s">
        <v>14</v>
      </c>
      <c r="R727" s="4"/>
      <c r="S727" s="4">
        <v>0</v>
      </c>
      <c r="T727" t="s">
        <v>31</v>
      </c>
      <c r="U727" s="4">
        <v>2.0699999999999998</v>
      </c>
      <c r="V727" s="4"/>
      <c r="W727" s="4"/>
    </row>
    <row r="728" spans="1:23" ht="15" customHeight="1" x14ac:dyDescent="0.25">
      <c r="A728">
        <v>122</v>
      </c>
      <c r="B728" s="1">
        <v>45778.333333333343</v>
      </c>
      <c r="C728">
        <v>8</v>
      </c>
      <c r="D728" t="s">
        <v>56</v>
      </c>
      <c r="E728">
        <v>5</v>
      </c>
      <c r="F728" t="s">
        <v>35</v>
      </c>
      <c r="G728" t="s">
        <v>33</v>
      </c>
      <c r="H728" t="s">
        <v>53</v>
      </c>
      <c r="I728" t="s">
        <v>19</v>
      </c>
      <c r="J728" t="s">
        <v>26</v>
      </c>
      <c r="K728" s="2">
        <v>12500</v>
      </c>
      <c r="L728" s="3">
        <v>15.3</v>
      </c>
      <c r="M728" s="3">
        <v>60.4</v>
      </c>
      <c r="N728" s="3">
        <v>324.3</v>
      </c>
      <c r="O728" s="2">
        <v>78</v>
      </c>
      <c r="P728">
        <v>0</v>
      </c>
      <c r="Q728" t="s">
        <v>14</v>
      </c>
      <c r="R728" s="4">
        <v>20.73</v>
      </c>
      <c r="S728" s="4">
        <v>49.64</v>
      </c>
      <c r="T728" t="s">
        <v>31</v>
      </c>
      <c r="U728" s="4">
        <v>-0.98</v>
      </c>
      <c r="V728" s="4">
        <v>1.6579999999999999</v>
      </c>
      <c r="W728" s="4">
        <v>0</v>
      </c>
    </row>
    <row r="729" spans="1:23" ht="15" customHeight="1" x14ac:dyDescent="0.25">
      <c r="A729">
        <v>1226</v>
      </c>
      <c r="B729" s="1">
        <v>45778.333333333343</v>
      </c>
      <c r="C729">
        <v>8</v>
      </c>
      <c r="D729" t="s">
        <v>56</v>
      </c>
      <c r="E729">
        <v>5</v>
      </c>
      <c r="F729" t="s">
        <v>35</v>
      </c>
      <c r="G729" t="s">
        <v>33</v>
      </c>
      <c r="H729" t="s">
        <v>51</v>
      </c>
      <c r="I729" t="s">
        <v>25</v>
      </c>
      <c r="J729" t="s">
        <v>15</v>
      </c>
      <c r="K729" s="2">
        <v>17400</v>
      </c>
      <c r="L729" s="3">
        <v>22.5</v>
      </c>
      <c r="M729" s="3">
        <v>82.5</v>
      </c>
      <c r="N729" s="3">
        <v>209.4</v>
      </c>
      <c r="O729" s="2">
        <v>121</v>
      </c>
      <c r="P729">
        <v>0</v>
      </c>
      <c r="Q729" t="s">
        <v>14</v>
      </c>
      <c r="R729" s="4">
        <v>38.21</v>
      </c>
      <c r="S729" s="4">
        <v>25.83</v>
      </c>
      <c r="T729" t="s">
        <v>31</v>
      </c>
      <c r="U729" s="4">
        <v>1.03</v>
      </c>
      <c r="V729" s="4">
        <v>2.1960000000000002</v>
      </c>
      <c r="W729" s="4">
        <v>12.38</v>
      </c>
    </row>
    <row r="730" spans="1:23" ht="15" customHeight="1" x14ac:dyDescent="0.25">
      <c r="A730">
        <v>490</v>
      </c>
      <c r="B730" s="1">
        <v>45778.333333333343</v>
      </c>
      <c r="C730">
        <v>8</v>
      </c>
      <c r="D730" t="s">
        <v>56</v>
      </c>
      <c r="E730">
        <v>5</v>
      </c>
      <c r="F730" t="s">
        <v>35</v>
      </c>
      <c r="G730" t="s">
        <v>33</v>
      </c>
      <c r="H730" t="s">
        <v>54</v>
      </c>
      <c r="I730" t="s">
        <v>16</v>
      </c>
      <c r="J730" t="s">
        <v>24</v>
      </c>
      <c r="K730" s="2">
        <v>8600</v>
      </c>
      <c r="L730" s="3">
        <v>14.7</v>
      </c>
      <c r="M730" s="3">
        <v>80.5</v>
      </c>
      <c r="N730" s="3">
        <v>193.5</v>
      </c>
      <c r="O730" s="2">
        <v>9</v>
      </c>
      <c r="P730">
        <v>0</v>
      </c>
      <c r="Q730" t="s">
        <v>14</v>
      </c>
      <c r="R730" s="4">
        <v>8.11</v>
      </c>
      <c r="S730" s="4">
        <v>15.22</v>
      </c>
      <c r="T730" t="s">
        <v>31</v>
      </c>
      <c r="U730" s="4">
        <v>-0.25</v>
      </c>
      <c r="V730" s="4">
        <v>0.94299999999999995</v>
      </c>
      <c r="W730" s="4">
        <v>0</v>
      </c>
    </row>
    <row r="731" spans="1:23" ht="15" customHeight="1" x14ac:dyDescent="0.25">
      <c r="A731">
        <v>1594</v>
      </c>
      <c r="B731" s="1">
        <v>45778.333333333343</v>
      </c>
      <c r="C731">
        <v>8</v>
      </c>
      <c r="D731" t="s">
        <v>56</v>
      </c>
      <c r="E731">
        <v>5</v>
      </c>
      <c r="F731" t="s">
        <v>35</v>
      </c>
      <c r="G731" t="s">
        <v>33</v>
      </c>
      <c r="H731" t="s">
        <v>49</v>
      </c>
      <c r="I731" t="s">
        <v>27</v>
      </c>
      <c r="J731" t="s">
        <v>18</v>
      </c>
      <c r="K731" s="2">
        <v>26000</v>
      </c>
      <c r="L731" s="3">
        <v>15</v>
      </c>
      <c r="M731" s="3">
        <v>72.5</v>
      </c>
      <c r="N731" s="3">
        <v>270.5</v>
      </c>
      <c r="O731" s="2">
        <v>0</v>
      </c>
      <c r="P731">
        <v>0</v>
      </c>
      <c r="Q731" t="s">
        <v>14</v>
      </c>
      <c r="R731" s="4">
        <v>33.22</v>
      </c>
      <c r="S731" s="4">
        <v>78.53</v>
      </c>
      <c r="T731" t="s">
        <v>31</v>
      </c>
      <c r="U731" s="4">
        <v>-1.58</v>
      </c>
      <c r="V731" s="4">
        <v>1.278</v>
      </c>
      <c r="W731" s="4">
        <v>0</v>
      </c>
    </row>
    <row r="732" spans="1:23" ht="15" customHeight="1" x14ac:dyDescent="0.25">
      <c r="A732">
        <v>1962</v>
      </c>
      <c r="B732" s="1">
        <v>45778.333333333343</v>
      </c>
      <c r="C732">
        <v>8</v>
      </c>
      <c r="D732" t="s">
        <v>56</v>
      </c>
      <c r="E732">
        <v>5</v>
      </c>
      <c r="F732" t="s">
        <v>35</v>
      </c>
      <c r="G732" t="s">
        <v>33</v>
      </c>
      <c r="H732" t="s">
        <v>52</v>
      </c>
      <c r="I732" t="s">
        <v>13</v>
      </c>
      <c r="J732" t="s">
        <v>21</v>
      </c>
      <c r="K732" s="2">
        <v>9800</v>
      </c>
      <c r="L732" s="3">
        <v>19.8</v>
      </c>
      <c r="M732" s="3">
        <v>77.2</v>
      </c>
      <c r="N732" s="3">
        <v>261.2</v>
      </c>
      <c r="O732" s="2">
        <v>124</v>
      </c>
      <c r="P732">
        <v>0</v>
      </c>
      <c r="Q732" t="s">
        <v>14</v>
      </c>
      <c r="R732" s="4">
        <v>25.72</v>
      </c>
      <c r="S732" s="4">
        <v>0</v>
      </c>
      <c r="T732" t="s">
        <v>31</v>
      </c>
      <c r="U732" s="4">
        <v>2.23</v>
      </c>
      <c r="V732" s="4">
        <v>2.6240000000000001</v>
      </c>
      <c r="W732" s="4">
        <v>25.72</v>
      </c>
    </row>
    <row r="733" spans="1:23" ht="15" customHeight="1" x14ac:dyDescent="0.25">
      <c r="A733">
        <v>858</v>
      </c>
      <c r="B733" s="1">
        <v>45778.333333333343</v>
      </c>
      <c r="C733">
        <v>8</v>
      </c>
      <c r="D733" t="s">
        <v>56</v>
      </c>
      <c r="E733">
        <v>5</v>
      </c>
      <c r="F733" t="s">
        <v>35</v>
      </c>
      <c r="G733" t="s">
        <v>33</v>
      </c>
      <c r="H733" t="s">
        <v>50</v>
      </c>
      <c r="I733" t="s">
        <v>22</v>
      </c>
      <c r="J733" t="s">
        <v>12</v>
      </c>
      <c r="K733" s="2">
        <v>21000</v>
      </c>
      <c r="L733" s="3">
        <v>21.5</v>
      </c>
      <c r="M733" s="3">
        <v>46</v>
      </c>
      <c r="N733" s="3">
        <v>347.2</v>
      </c>
      <c r="O733" s="2">
        <v>446</v>
      </c>
      <c r="P733">
        <v>0</v>
      </c>
      <c r="Q733" t="s">
        <v>14</v>
      </c>
      <c r="R733" s="4">
        <v>193.12</v>
      </c>
      <c r="S733" s="4">
        <v>67.819999999999993</v>
      </c>
      <c r="T733" t="s">
        <v>31</v>
      </c>
      <c r="U733" s="4">
        <v>10.68</v>
      </c>
      <c r="V733" s="4">
        <v>9.1959999999999997</v>
      </c>
      <c r="W733" s="4">
        <v>125.3</v>
      </c>
    </row>
    <row r="734" spans="1:23" ht="15" customHeight="1" x14ac:dyDescent="0.25">
      <c r="A734">
        <v>123</v>
      </c>
      <c r="B734" s="1">
        <v>45778.583333333343</v>
      </c>
      <c r="C734">
        <v>14</v>
      </c>
      <c r="D734" t="s">
        <v>56</v>
      </c>
      <c r="E734">
        <v>5</v>
      </c>
      <c r="F734" t="s">
        <v>35</v>
      </c>
      <c r="G734" t="s">
        <v>33</v>
      </c>
      <c r="H734" t="s">
        <v>53</v>
      </c>
      <c r="I734" t="s">
        <v>19</v>
      </c>
      <c r="J734" t="s">
        <v>26</v>
      </c>
      <c r="K734" s="2">
        <v>12500</v>
      </c>
      <c r="L734" s="3">
        <v>24.4</v>
      </c>
      <c r="M734" s="3">
        <v>51.9</v>
      </c>
      <c r="N734" s="3">
        <v>703.3</v>
      </c>
      <c r="O734" s="2">
        <v>26</v>
      </c>
      <c r="P734">
        <v>0</v>
      </c>
      <c r="Q734" t="s">
        <v>14</v>
      </c>
      <c r="R734" s="4">
        <v>134.5</v>
      </c>
      <c r="S734" s="4">
        <v>111.45</v>
      </c>
      <c r="T734" t="s">
        <v>31</v>
      </c>
      <c r="U734" s="4">
        <v>-3.19</v>
      </c>
      <c r="V734" s="4">
        <v>10.76</v>
      </c>
      <c r="W734" s="4">
        <v>23.05</v>
      </c>
    </row>
    <row r="735" spans="1:23" ht="15" customHeight="1" x14ac:dyDescent="0.25">
      <c r="A735">
        <v>1595</v>
      </c>
      <c r="B735" s="1">
        <v>45778.583333333343</v>
      </c>
      <c r="C735">
        <v>14</v>
      </c>
      <c r="D735" t="s">
        <v>56</v>
      </c>
      <c r="E735">
        <v>5</v>
      </c>
      <c r="F735" t="s">
        <v>35</v>
      </c>
      <c r="G735" t="s">
        <v>33</v>
      </c>
      <c r="H735" t="s">
        <v>49</v>
      </c>
      <c r="I735" t="s">
        <v>27</v>
      </c>
      <c r="J735" t="s">
        <v>18</v>
      </c>
      <c r="K735" s="2">
        <v>26000</v>
      </c>
      <c r="L735" s="3">
        <v>27.1</v>
      </c>
      <c r="M735" s="3">
        <v>54</v>
      </c>
      <c r="N735" s="3">
        <v>731.4</v>
      </c>
      <c r="O735" s="2">
        <v>7</v>
      </c>
      <c r="P735">
        <v>0</v>
      </c>
      <c r="Q735" t="s">
        <v>14</v>
      </c>
      <c r="R735" s="4">
        <v>33.880000000000003</v>
      </c>
      <c r="S735" s="4">
        <v>197.93</v>
      </c>
      <c r="T735" t="s">
        <v>31</v>
      </c>
      <c r="U735" s="4">
        <v>-5.96</v>
      </c>
      <c r="V735" s="4">
        <v>1.3029999999999999</v>
      </c>
      <c r="W735" s="4">
        <v>0</v>
      </c>
    </row>
    <row r="736" spans="1:23" ht="15" customHeight="1" x14ac:dyDescent="0.25">
      <c r="A736">
        <v>491</v>
      </c>
      <c r="B736" s="1">
        <v>45778.583333333343</v>
      </c>
      <c r="C736">
        <v>14</v>
      </c>
      <c r="D736" t="s">
        <v>56</v>
      </c>
      <c r="E736">
        <v>5</v>
      </c>
      <c r="F736" t="s">
        <v>35</v>
      </c>
      <c r="G736" t="s">
        <v>33</v>
      </c>
      <c r="H736" t="s">
        <v>54</v>
      </c>
      <c r="I736" t="s">
        <v>16</v>
      </c>
      <c r="J736" t="s">
        <v>24</v>
      </c>
      <c r="K736" s="2">
        <v>8600</v>
      </c>
      <c r="L736" s="3">
        <v>16.100000000000001</v>
      </c>
      <c r="M736" s="3">
        <v>89.2</v>
      </c>
      <c r="N736" s="3">
        <v>451.7</v>
      </c>
      <c r="O736" s="2">
        <v>0</v>
      </c>
      <c r="P736">
        <v>0</v>
      </c>
      <c r="Q736" t="s">
        <v>14</v>
      </c>
      <c r="R736" s="4">
        <v>8.2100000000000009</v>
      </c>
      <c r="S736" s="4">
        <v>34.31</v>
      </c>
      <c r="T736" t="s">
        <v>31</v>
      </c>
      <c r="U736" s="4">
        <v>-0.87</v>
      </c>
      <c r="V736" s="4">
        <v>0.95499999999999996</v>
      </c>
      <c r="W736" s="4">
        <v>0</v>
      </c>
    </row>
    <row r="737" spans="1:23" ht="15" customHeight="1" x14ac:dyDescent="0.25">
      <c r="A737">
        <v>859</v>
      </c>
      <c r="B737" s="1">
        <v>45778.583333333343</v>
      </c>
      <c r="C737">
        <v>14</v>
      </c>
      <c r="D737" t="s">
        <v>56</v>
      </c>
      <c r="E737">
        <v>5</v>
      </c>
      <c r="F737" t="s">
        <v>35</v>
      </c>
      <c r="G737" t="s">
        <v>33</v>
      </c>
      <c r="H737" t="s">
        <v>50</v>
      </c>
      <c r="I737" t="s">
        <v>22</v>
      </c>
      <c r="J737" t="s">
        <v>12</v>
      </c>
      <c r="K737" s="2">
        <v>21000</v>
      </c>
      <c r="L737" s="3">
        <v>30.4</v>
      </c>
      <c r="M737" s="3">
        <v>44.1</v>
      </c>
      <c r="N737" s="3">
        <v>714.3</v>
      </c>
      <c r="O737" s="2">
        <v>389</v>
      </c>
      <c r="P737">
        <v>1</v>
      </c>
      <c r="Q737" t="s">
        <v>20</v>
      </c>
      <c r="R737" s="4">
        <v>233.41</v>
      </c>
      <c r="S737" s="4">
        <v>137.66</v>
      </c>
      <c r="T737" t="s">
        <v>31</v>
      </c>
      <c r="U737" s="4">
        <v>8.2899999999999991</v>
      </c>
      <c r="V737" s="4">
        <v>11.115</v>
      </c>
      <c r="W737" s="4">
        <v>95.75</v>
      </c>
    </row>
    <row r="738" spans="1:23" ht="15" customHeight="1" x14ac:dyDescent="0.25">
      <c r="A738">
        <v>1227</v>
      </c>
      <c r="B738" s="1">
        <v>45778.583333333343</v>
      </c>
      <c r="C738">
        <v>14</v>
      </c>
      <c r="D738" t="s">
        <v>56</v>
      </c>
      <c r="E738">
        <v>5</v>
      </c>
      <c r="F738" t="s">
        <v>35</v>
      </c>
      <c r="G738" t="s">
        <v>33</v>
      </c>
      <c r="H738" t="s">
        <v>51</v>
      </c>
      <c r="I738" t="s">
        <v>25</v>
      </c>
      <c r="J738" t="s">
        <v>15</v>
      </c>
      <c r="K738" s="2">
        <v>17400</v>
      </c>
      <c r="L738" s="3">
        <v>20.100000000000001</v>
      </c>
      <c r="M738" s="3">
        <v>75.3</v>
      </c>
      <c r="N738" s="3">
        <v>535.79999999999995</v>
      </c>
      <c r="O738" s="2">
        <v>1312</v>
      </c>
      <c r="P738">
        <v>0</v>
      </c>
      <c r="Q738" t="s">
        <v>14</v>
      </c>
      <c r="R738" s="4">
        <v>195.87</v>
      </c>
      <c r="S738" s="4">
        <v>66.42</v>
      </c>
      <c r="T738" t="s">
        <v>31</v>
      </c>
      <c r="U738" s="4">
        <v>11.34</v>
      </c>
      <c r="V738" s="4">
        <v>11.257</v>
      </c>
      <c r="W738" s="4">
        <v>129.44999999999999</v>
      </c>
    </row>
    <row r="739" spans="1:23" ht="15" customHeight="1" x14ac:dyDescent="0.25">
      <c r="A739">
        <v>1963</v>
      </c>
      <c r="B739" s="1">
        <v>45778.583333333343</v>
      </c>
      <c r="C739">
        <v>14</v>
      </c>
      <c r="D739" t="s">
        <v>56</v>
      </c>
      <c r="E739">
        <v>5</v>
      </c>
      <c r="F739" t="s">
        <v>35</v>
      </c>
      <c r="G739" t="s">
        <v>33</v>
      </c>
      <c r="H739" t="s">
        <v>52</v>
      </c>
      <c r="I739" t="s">
        <v>13</v>
      </c>
      <c r="J739" t="s">
        <v>21</v>
      </c>
      <c r="K739" s="2">
        <v>9800</v>
      </c>
      <c r="L739" s="3">
        <v>25.6</v>
      </c>
      <c r="M739" s="3">
        <v>61.5</v>
      </c>
      <c r="N739" s="3">
        <v>680.1</v>
      </c>
      <c r="O739" s="2">
        <v>122</v>
      </c>
      <c r="P739">
        <v>1</v>
      </c>
      <c r="Q739" t="s">
        <v>20</v>
      </c>
      <c r="R739" s="4">
        <v>29.15</v>
      </c>
      <c r="S739" s="4">
        <v>0</v>
      </c>
      <c r="T739" t="s">
        <v>31</v>
      </c>
      <c r="U739" s="4">
        <v>2.5499999999999998</v>
      </c>
      <c r="V739" s="4">
        <v>2.9740000000000002</v>
      </c>
      <c r="W739" s="4">
        <v>29.15</v>
      </c>
    </row>
    <row r="740" spans="1:23" ht="15" customHeight="1" x14ac:dyDescent="0.25">
      <c r="A740">
        <v>124</v>
      </c>
      <c r="B740" s="1">
        <v>45778.833333333343</v>
      </c>
      <c r="C740">
        <v>20</v>
      </c>
      <c r="D740" t="s">
        <v>56</v>
      </c>
      <c r="E740">
        <v>5</v>
      </c>
      <c r="F740" t="s">
        <v>35</v>
      </c>
      <c r="G740" t="s">
        <v>33</v>
      </c>
      <c r="H740" t="s">
        <v>53</v>
      </c>
      <c r="I740" t="s">
        <v>19</v>
      </c>
      <c r="J740" t="s">
        <v>26</v>
      </c>
      <c r="K740" s="2">
        <v>12500</v>
      </c>
      <c r="L740" s="3">
        <v>20.6</v>
      </c>
      <c r="M740" s="3">
        <v>67.900000000000006</v>
      </c>
      <c r="N740" s="3">
        <v>0</v>
      </c>
      <c r="O740" s="2">
        <v>54</v>
      </c>
      <c r="P740">
        <v>0</v>
      </c>
      <c r="Q740" t="s">
        <v>14</v>
      </c>
      <c r="R740" s="4">
        <v>26.76</v>
      </c>
      <c r="S740" s="4">
        <v>0</v>
      </c>
      <c r="T740" t="s">
        <v>31</v>
      </c>
      <c r="U740" s="4">
        <v>2.35</v>
      </c>
      <c r="V740" s="4">
        <v>2.141</v>
      </c>
      <c r="W740" s="4">
        <v>26.76</v>
      </c>
    </row>
    <row r="741" spans="1:23" ht="15" customHeight="1" x14ac:dyDescent="0.25">
      <c r="A741">
        <v>860</v>
      </c>
      <c r="B741" s="1">
        <v>45778.833333333343</v>
      </c>
      <c r="C741">
        <v>20</v>
      </c>
      <c r="D741" t="s">
        <v>56</v>
      </c>
      <c r="E741">
        <v>5</v>
      </c>
      <c r="F741" t="s">
        <v>35</v>
      </c>
      <c r="G741" t="s">
        <v>33</v>
      </c>
      <c r="H741" t="s">
        <v>50</v>
      </c>
      <c r="I741" t="s">
        <v>22</v>
      </c>
      <c r="J741" t="s">
        <v>12</v>
      </c>
      <c r="K741" s="2">
        <v>21000</v>
      </c>
      <c r="L741" s="3">
        <v>23.5</v>
      </c>
      <c r="M741" s="3">
        <v>59.3</v>
      </c>
      <c r="N741" s="3">
        <v>0</v>
      </c>
      <c r="O741" s="2">
        <v>402</v>
      </c>
      <c r="P741">
        <v>1</v>
      </c>
      <c r="Q741" t="s">
        <v>23</v>
      </c>
      <c r="R741" s="4">
        <v>266.08999999999997</v>
      </c>
      <c r="S741" s="4">
        <v>0</v>
      </c>
      <c r="T741" t="s">
        <v>31</v>
      </c>
      <c r="U741" s="4">
        <v>23.02</v>
      </c>
      <c r="V741" s="4">
        <v>12.670999999999999</v>
      </c>
      <c r="W741" s="4">
        <v>266.08999999999997</v>
      </c>
    </row>
    <row r="742" spans="1:23" ht="15" customHeight="1" x14ac:dyDescent="0.25">
      <c r="A742">
        <v>1964</v>
      </c>
      <c r="B742" s="1">
        <v>45778.833333333343</v>
      </c>
      <c r="C742">
        <v>20</v>
      </c>
      <c r="D742" t="s">
        <v>56</v>
      </c>
      <c r="E742">
        <v>5</v>
      </c>
      <c r="F742" t="s">
        <v>35</v>
      </c>
      <c r="G742" t="s">
        <v>33</v>
      </c>
      <c r="H742" t="s">
        <v>52</v>
      </c>
      <c r="I742" t="s">
        <v>13</v>
      </c>
      <c r="J742" t="s">
        <v>21</v>
      </c>
      <c r="K742" s="2">
        <v>9800</v>
      </c>
      <c r="L742" s="3">
        <v>18.5</v>
      </c>
      <c r="M742" s="3">
        <v>84.6</v>
      </c>
      <c r="N742" s="3">
        <v>0</v>
      </c>
      <c r="O742" s="2">
        <v>302</v>
      </c>
      <c r="P742">
        <v>0</v>
      </c>
      <c r="Q742" t="s">
        <v>14</v>
      </c>
      <c r="R742" s="4">
        <v>101.7</v>
      </c>
      <c r="S742" s="4">
        <v>0</v>
      </c>
      <c r="T742" t="s">
        <v>31</v>
      </c>
      <c r="U742" s="4">
        <v>9.0500000000000007</v>
      </c>
      <c r="V742" s="4">
        <v>10.378</v>
      </c>
      <c r="W742" s="4">
        <v>101.7</v>
      </c>
    </row>
    <row r="743" spans="1:23" ht="15" customHeight="1" x14ac:dyDescent="0.25">
      <c r="A743">
        <v>1228</v>
      </c>
      <c r="B743" s="1">
        <v>45778.833333333343</v>
      </c>
      <c r="C743">
        <v>20</v>
      </c>
      <c r="D743" t="s">
        <v>56</v>
      </c>
      <c r="E743">
        <v>5</v>
      </c>
      <c r="F743" t="s">
        <v>35</v>
      </c>
      <c r="G743" t="s">
        <v>33</v>
      </c>
      <c r="H743" t="s">
        <v>51</v>
      </c>
      <c r="I743" t="s">
        <v>25</v>
      </c>
      <c r="J743" t="s">
        <v>15</v>
      </c>
      <c r="K743" s="2">
        <v>17400</v>
      </c>
      <c r="L743" s="3">
        <v>20.8</v>
      </c>
      <c r="M743" s="3">
        <v>81.5</v>
      </c>
      <c r="N743" s="3">
        <v>0</v>
      </c>
      <c r="O743" s="2">
        <v>1442</v>
      </c>
      <c r="P743">
        <v>0</v>
      </c>
      <c r="Q743" t="s">
        <v>14</v>
      </c>
      <c r="R743" s="4">
        <v>279.82</v>
      </c>
      <c r="S743" s="4">
        <v>0</v>
      </c>
      <c r="T743" t="s">
        <v>31</v>
      </c>
      <c r="U743" s="4">
        <v>24.32</v>
      </c>
      <c r="V743" s="4">
        <v>16.082000000000001</v>
      </c>
      <c r="W743" s="4">
        <v>279.82</v>
      </c>
    </row>
    <row r="744" spans="1:23" ht="15" customHeight="1" x14ac:dyDescent="0.25">
      <c r="A744">
        <v>1596</v>
      </c>
      <c r="B744" s="1">
        <v>45778.833333333343</v>
      </c>
      <c r="C744">
        <v>20</v>
      </c>
      <c r="D744" t="s">
        <v>56</v>
      </c>
      <c r="E744">
        <v>5</v>
      </c>
      <c r="F744" t="s">
        <v>35</v>
      </c>
      <c r="G744" t="s">
        <v>33</v>
      </c>
      <c r="H744" t="s">
        <v>49</v>
      </c>
      <c r="I744" t="s">
        <v>27</v>
      </c>
      <c r="J744" t="s">
        <v>18</v>
      </c>
      <c r="K744" s="2">
        <v>26000</v>
      </c>
      <c r="L744" s="3">
        <v>18.7</v>
      </c>
      <c r="M744" s="3">
        <v>58.7</v>
      </c>
      <c r="N744" s="3">
        <v>0</v>
      </c>
      <c r="O744" s="2">
        <v>0</v>
      </c>
      <c r="P744">
        <v>0</v>
      </c>
      <c r="Q744" t="s">
        <v>14</v>
      </c>
      <c r="R744" s="4">
        <v>46.81</v>
      </c>
      <c r="S744" s="4">
        <v>0</v>
      </c>
      <c r="T744" t="s">
        <v>31</v>
      </c>
      <c r="U744" s="4">
        <v>4.04</v>
      </c>
      <c r="V744" s="4">
        <v>1.8</v>
      </c>
      <c r="W744" s="4">
        <v>46.81</v>
      </c>
    </row>
    <row r="745" spans="1:23" ht="15" customHeight="1" x14ac:dyDescent="0.25">
      <c r="A745">
        <v>492</v>
      </c>
      <c r="B745" s="1">
        <v>45778.833333333343</v>
      </c>
      <c r="C745">
        <v>20</v>
      </c>
      <c r="D745" t="s">
        <v>56</v>
      </c>
      <c r="E745">
        <v>5</v>
      </c>
      <c r="F745" t="s">
        <v>35</v>
      </c>
      <c r="G745" t="s">
        <v>33</v>
      </c>
      <c r="H745" t="s">
        <v>54</v>
      </c>
      <c r="I745" t="s">
        <v>16</v>
      </c>
      <c r="J745" t="s">
        <v>24</v>
      </c>
      <c r="K745" s="2">
        <v>8600</v>
      </c>
      <c r="L745" s="3">
        <v>16.600000000000001</v>
      </c>
      <c r="M745" s="3">
        <v>93.3</v>
      </c>
      <c r="N745" s="3">
        <v>0</v>
      </c>
      <c r="O745" s="2">
        <v>60</v>
      </c>
      <c r="P745">
        <v>0</v>
      </c>
      <c r="Q745" t="s">
        <v>14</v>
      </c>
      <c r="R745" s="4">
        <v>16.3</v>
      </c>
      <c r="S745" s="4">
        <v>0</v>
      </c>
      <c r="T745" t="s">
        <v>31</v>
      </c>
      <c r="U745" s="4">
        <v>1.41</v>
      </c>
      <c r="V745" s="4">
        <v>1.895</v>
      </c>
      <c r="W745" s="4">
        <v>16.3</v>
      </c>
    </row>
    <row r="746" spans="1:23" ht="15" customHeight="1" x14ac:dyDescent="0.25">
      <c r="A746">
        <v>1229</v>
      </c>
      <c r="B746" s="1">
        <v>45782</v>
      </c>
      <c r="C746">
        <v>0</v>
      </c>
      <c r="D746" t="s">
        <v>57</v>
      </c>
      <c r="E746">
        <v>5</v>
      </c>
      <c r="F746" t="s">
        <v>35</v>
      </c>
      <c r="G746" t="s">
        <v>33</v>
      </c>
      <c r="H746" t="s">
        <v>51</v>
      </c>
      <c r="I746" t="s">
        <v>25</v>
      </c>
      <c r="J746" t="s">
        <v>15</v>
      </c>
      <c r="K746" s="2">
        <v>17400</v>
      </c>
      <c r="L746" s="3">
        <v>18.2</v>
      </c>
      <c r="M746" s="3">
        <v>65.7</v>
      </c>
      <c r="N746" s="3">
        <v>0</v>
      </c>
      <c r="O746" s="2"/>
      <c r="P746">
        <v>0</v>
      </c>
      <c r="Q746" t="s">
        <v>14</v>
      </c>
      <c r="R746" s="4">
        <v>49.21</v>
      </c>
      <c r="S746" s="4">
        <v>0</v>
      </c>
      <c r="T746" t="s">
        <v>31</v>
      </c>
      <c r="U746" s="4">
        <v>4.28</v>
      </c>
      <c r="V746" s="4">
        <v>2.8279999999999998</v>
      </c>
      <c r="W746" s="4">
        <v>49.21</v>
      </c>
    </row>
    <row r="747" spans="1:23" ht="15" customHeight="1" x14ac:dyDescent="0.25">
      <c r="A747">
        <v>1965</v>
      </c>
      <c r="B747" s="1">
        <v>45782</v>
      </c>
      <c r="C747">
        <v>0</v>
      </c>
      <c r="D747" t="s">
        <v>57</v>
      </c>
      <c r="E747">
        <v>5</v>
      </c>
      <c r="F747" t="s">
        <v>35</v>
      </c>
      <c r="G747" t="s">
        <v>33</v>
      </c>
      <c r="H747" t="s">
        <v>52</v>
      </c>
      <c r="I747" t="s">
        <v>13</v>
      </c>
      <c r="J747" t="s">
        <v>21</v>
      </c>
      <c r="K747" s="2">
        <v>9800</v>
      </c>
      <c r="L747" s="3">
        <v>15.7</v>
      </c>
      <c r="M747" s="3">
        <v>74.5</v>
      </c>
      <c r="N747" s="3">
        <v>0</v>
      </c>
      <c r="O747" s="2">
        <v>303</v>
      </c>
      <c r="P747">
        <v>1</v>
      </c>
      <c r="Q747" t="s">
        <v>23</v>
      </c>
      <c r="R747" s="4">
        <v>99.81</v>
      </c>
      <c r="S747" s="4">
        <v>0</v>
      </c>
      <c r="T747" t="s">
        <v>31</v>
      </c>
      <c r="U747" s="4">
        <v>8.83</v>
      </c>
      <c r="V747" s="4">
        <v>10.185</v>
      </c>
      <c r="W747" s="4">
        <v>99.81</v>
      </c>
    </row>
    <row r="748" spans="1:23" ht="15" customHeight="1" x14ac:dyDescent="0.25">
      <c r="A748">
        <v>861</v>
      </c>
      <c r="B748" s="1">
        <v>45782</v>
      </c>
      <c r="C748">
        <v>0</v>
      </c>
      <c r="D748" t="s">
        <v>57</v>
      </c>
      <c r="E748">
        <v>5</v>
      </c>
      <c r="F748" t="s">
        <v>35</v>
      </c>
      <c r="G748" t="s">
        <v>33</v>
      </c>
      <c r="H748" t="s">
        <v>50</v>
      </c>
      <c r="I748" t="s">
        <v>22</v>
      </c>
      <c r="J748" t="s">
        <v>12</v>
      </c>
      <c r="K748" s="2">
        <v>21000</v>
      </c>
      <c r="L748" s="3">
        <v>16.100000000000001</v>
      </c>
      <c r="M748" s="3">
        <v>55.3</v>
      </c>
      <c r="N748" s="3">
        <v>0</v>
      </c>
      <c r="O748" s="2">
        <v>203</v>
      </c>
      <c r="P748">
        <v>0</v>
      </c>
      <c r="Q748" t="s">
        <v>14</v>
      </c>
      <c r="R748" s="4">
        <v>174.04</v>
      </c>
      <c r="S748" s="4">
        <v>0</v>
      </c>
      <c r="T748" t="s">
        <v>31</v>
      </c>
      <c r="U748" s="4">
        <v>14.74</v>
      </c>
      <c r="V748" s="4">
        <v>8.2880000000000003</v>
      </c>
      <c r="W748" s="4">
        <v>174.04</v>
      </c>
    </row>
    <row r="749" spans="1:23" ht="15" customHeight="1" x14ac:dyDescent="0.25">
      <c r="A749">
        <v>493</v>
      </c>
      <c r="B749" s="1">
        <v>45782</v>
      </c>
      <c r="C749">
        <v>0</v>
      </c>
      <c r="D749" t="s">
        <v>57</v>
      </c>
      <c r="E749">
        <v>5</v>
      </c>
      <c r="F749" t="s">
        <v>35</v>
      </c>
      <c r="G749" t="s">
        <v>33</v>
      </c>
      <c r="H749" t="s">
        <v>54</v>
      </c>
      <c r="I749" t="s">
        <v>16</v>
      </c>
      <c r="J749" t="s">
        <v>24</v>
      </c>
      <c r="K749" s="2">
        <v>8600</v>
      </c>
      <c r="L749" s="3">
        <v>15.5</v>
      </c>
      <c r="M749" s="3">
        <v>85.9</v>
      </c>
      <c r="N749" s="3">
        <v>0</v>
      </c>
      <c r="O749" s="2">
        <v>67</v>
      </c>
      <c r="P749">
        <v>1</v>
      </c>
      <c r="Q749" t="s">
        <v>23</v>
      </c>
      <c r="R749" s="4">
        <v>21.06</v>
      </c>
      <c r="S749" s="4">
        <v>0</v>
      </c>
      <c r="T749" t="s">
        <v>31</v>
      </c>
      <c r="U749" s="4">
        <v>1.83</v>
      </c>
      <c r="V749" s="4">
        <v>2.4489999999999998</v>
      </c>
      <c r="W749" s="4">
        <v>21.06</v>
      </c>
    </row>
    <row r="750" spans="1:23" ht="15" customHeight="1" x14ac:dyDescent="0.25">
      <c r="A750">
        <v>125</v>
      </c>
      <c r="B750" s="1">
        <v>45782</v>
      </c>
      <c r="C750">
        <v>0</v>
      </c>
      <c r="D750" t="s">
        <v>57</v>
      </c>
      <c r="E750">
        <v>5</v>
      </c>
      <c r="F750" t="s">
        <v>35</v>
      </c>
      <c r="G750" t="s">
        <v>33</v>
      </c>
      <c r="H750" t="s">
        <v>53</v>
      </c>
      <c r="I750" t="s">
        <v>19</v>
      </c>
      <c r="J750" t="s">
        <v>26</v>
      </c>
      <c r="K750" s="2">
        <v>12500</v>
      </c>
      <c r="L750" s="3">
        <v>9.8000000000000007</v>
      </c>
      <c r="M750" s="3">
        <v>60.1</v>
      </c>
      <c r="N750" s="3">
        <v>0</v>
      </c>
      <c r="O750" s="2">
        <v>48</v>
      </c>
      <c r="P750">
        <v>0</v>
      </c>
      <c r="Q750" t="s">
        <v>14</v>
      </c>
      <c r="R750" s="4">
        <v>28.63</v>
      </c>
      <c r="S750" s="4">
        <v>0</v>
      </c>
      <c r="T750" t="s">
        <v>31</v>
      </c>
      <c r="U750" s="4">
        <v>2.42</v>
      </c>
      <c r="V750" s="4">
        <v>2.29</v>
      </c>
      <c r="W750" s="4">
        <v>28.63</v>
      </c>
    </row>
    <row r="751" spans="1:23" ht="15" customHeight="1" x14ac:dyDescent="0.25">
      <c r="A751">
        <v>1597</v>
      </c>
      <c r="B751" s="1">
        <v>45782</v>
      </c>
      <c r="C751">
        <v>0</v>
      </c>
      <c r="D751" t="s">
        <v>57</v>
      </c>
      <c r="E751">
        <v>5</v>
      </c>
      <c r="F751" t="s">
        <v>35</v>
      </c>
      <c r="G751" t="s">
        <v>33</v>
      </c>
      <c r="H751" t="s">
        <v>49</v>
      </c>
      <c r="I751" t="s">
        <v>27</v>
      </c>
      <c r="J751" t="s">
        <v>18</v>
      </c>
      <c r="K751" s="2">
        <v>26000</v>
      </c>
      <c r="L751" s="3">
        <v>16</v>
      </c>
      <c r="M751" s="3">
        <v>58.5</v>
      </c>
      <c r="N751" s="3">
        <v>0</v>
      </c>
      <c r="O751" s="2">
        <v>60</v>
      </c>
      <c r="P751">
        <v>0</v>
      </c>
      <c r="Q751" t="s">
        <v>14</v>
      </c>
      <c r="R751" s="4">
        <v>113.81</v>
      </c>
      <c r="S751" s="4">
        <v>0</v>
      </c>
      <c r="T751" t="s">
        <v>31</v>
      </c>
      <c r="U751" s="4">
        <v>9.86</v>
      </c>
      <c r="V751" s="4">
        <v>4.3769999999999998</v>
      </c>
      <c r="W751" s="4">
        <v>113.81</v>
      </c>
    </row>
    <row r="752" spans="1:23" ht="15" customHeight="1" x14ac:dyDescent="0.25">
      <c r="A752">
        <v>494</v>
      </c>
      <c r="B752" s="1">
        <v>45782.333333333343</v>
      </c>
      <c r="C752">
        <v>8</v>
      </c>
      <c r="D752" t="s">
        <v>57</v>
      </c>
      <c r="E752">
        <v>5</v>
      </c>
      <c r="F752" t="s">
        <v>35</v>
      </c>
      <c r="G752" t="s">
        <v>33</v>
      </c>
      <c r="H752" t="s">
        <v>54</v>
      </c>
      <c r="I752" t="s">
        <v>16</v>
      </c>
      <c r="J752" t="s">
        <v>24</v>
      </c>
      <c r="K752" s="2">
        <v>8600</v>
      </c>
      <c r="L752" s="3">
        <v>10.8</v>
      </c>
      <c r="M752" s="3">
        <v>94.4</v>
      </c>
      <c r="N752" s="3">
        <v>249.2</v>
      </c>
      <c r="O752" s="2">
        <v>847</v>
      </c>
      <c r="P752">
        <v>1</v>
      </c>
      <c r="Q752" t="s">
        <v>17</v>
      </c>
      <c r="R752" s="4">
        <v>82.34</v>
      </c>
      <c r="S752" s="4">
        <v>19.68</v>
      </c>
      <c r="T752" t="s">
        <v>34</v>
      </c>
      <c r="U752" s="4">
        <v>8.91</v>
      </c>
      <c r="V752" s="4">
        <v>9.5739999999999998</v>
      </c>
      <c r="W752" s="4">
        <v>62.66</v>
      </c>
    </row>
    <row r="753" spans="1:23" ht="15" customHeight="1" x14ac:dyDescent="0.25">
      <c r="A753">
        <v>862</v>
      </c>
      <c r="B753" s="1">
        <v>45782.333333333343</v>
      </c>
      <c r="C753">
        <v>8</v>
      </c>
      <c r="D753" t="s">
        <v>57</v>
      </c>
      <c r="E753">
        <v>5</v>
      </c>
      <c r="F753" t="s">
        <v>35</v>
      </c>
      <c r="G753" t="s">
        <v>33</v>
      </c>
      <c r="H753" t="s">
        <v>50</v>
      </c>
      <c r="I753" t="s">
        <v>22</v>
      </c>
      <c r="J753" t="s">
        <v>12</v>
      </c>
      <c r="K753" s="2">
        <v>21000</v>
      </c>
      <c r="L753" s="3">
        <v>19.5</v>
      </c>
      <c r="M753" s="3">
        <v>51.4</v>
      </c>
      <c r="N753" s="3">
        <v>298.39999999999998</v>
      </c>
      <c r="O753" s="2">
        <v>380</v>
      </c>
      <c r="P753">
        <v>0</v>
      </c>
      <c r="Q753" t="s">
        <v>14</v>
      </c>
      <c r="R753" s="4">
        <v>201.5</v>
      </c>
      <c r="S753" s="4">
        <v>58.33</v>
      </c>
      <c r="T753" t="s">
        <v>34</v>
      </c>
      <c r="U753" s="4">
        <v>19.010000000000002</v>
      </c>
      <c r="V753" s="4">
        <v>9.5950000000000006</v>
      </c>
      <c r="W753" s="4">
        <v>143.16999999999999</v>
      </c>
    </row>
    <row r="754" spans="1:23" ht="15" customHeight="1" x14ac:dyDescent="0.25">
      <c r="A754">
        <v>1966</v>
      </c>
      <c r="B754" s="1">
        <v>45782.333333333343</v>
      </c>
      <c r="C754">
        <v>8</v>
      </c>
      <c r="D754" t="s">
        <v>57</v>
      </c>
      <c r="E754">
        <v>5</v>
      </c>
      <c r="F754" t="s">
        <v>35</v>
      </c>
      <c r="G754" t="s">
        <v>33</v>
      </c>
      <c r="H754" t="s">
        <v>52</v>
      </c>
      <c r="I754" t="s">
        <v>13</v>
      </c>
      <c r="J754" t="s">
        <v>21</v>
      </c>
      <c r="K754" s="2">
        <v>9800</v>
      </c>
      <c r="L754" s="3">
        <v>18.7</v>
      </c>
      <c r="M754" s="3">
        <v>76.900000000000006</v>
      </c>
      <c r="N754" s="3">
        <v>266.89999999999998</v>
      </c>
      <c r="O754" s="2">
        <v>54</v>
      </c>
      <c r="P754">
        <v>0</v>
      </c>
      <c r="Q754" t="s">
        <v>14</v>
      </c>
      <c r="R754" s="4">
        <v>18.43</v>
      </c>
      <c r="S754" s="4">
        <v>0</v>
      </c>
      <c r="T754" t="s">
        <v>34</v>
      </c>
      <c r="U754" s="4">
        <v>2.58</v>
      </c>
      <c r="V754" s="4">
        <v>1.881</v>
      </c>
      <c r="W754" s="4">
        <v>18.43</v>
      </c>
    </row>
    <row r="755" spans="1:23" ht="15" customHeight="1" x14ac:dyDescent="0.25">
      <c r="A755">
        <v>126</v>
      </c>
      <c r="B755" s="1">
        <v>45782.333333333343</v>
      </c>
      <c r="C755">
        <v>8</v>
      </c>
      <c r="D755" t="s">
        <v>57</v>
      </c>
      <c r="E755">
        <v>5</v>
      </c>
      <c r="F755" t="s">
        <v>35</v>
      </c>
      <c r="G755" t="s">
        <v>33</v>
      </c>
      <c r="H755" t="s">
        <v>53</v>
      </c>
      <c r="I755" t="s">
        <v>19</v>
      </c>
      <c r="J755" t="s">
        <v>26</v>
      </c>
      <c r="K755" s="2">
        <v>12500</v>
      </c>
      <c r="L755" s="3">
        <v>18.100000000000001</v>
      </c>
      <c r="M755" s="3">
        <v>50.9</v>
      </c>
      <c r="N755" s="3">
        <v>284</v>
      </c>
      <c r="O755" s="2">
        <v>351</v>
      </c>
      <c r="P755">
        <v>0</v>
      </c>
      <c r="Q755" t="s">
        <v>14</v>
      </c>
      <c r="R755" s="4">
        <v>70.16</v>
      </c>
      <c r="S755" s="4">
        <v>42.62</v>
      </c>
      <c r="T755" t="s">
        <v>34</v>
      </c>
      <c r="U755" s="4">
        <v>3.77</v>
      </c>
      <c r="V755" s="4">
        <v>5.6130000000000004</v>
      </c>
      <c r="W755" s="4">
        <v>27.54</v>
      </c>
    </row>
    <row r="756" spans="1:23" ht="15" customHeight="1" x14ac:dyDescent="0.25">
      <c r="A756">
        <v>1598</v>
      </c>
      <c r="B756" s="1">
        <v>45782.333333333343</v>
      </c>
      <c r="C756">
        <v>8</v>
      </c>
      <c r="D756" t="s">
        <v>57</v>
      </c>
      <c r="E756">
        <v>5</v>
      </c>
      <c r="F756" t="s">
        <v>35</v>
      </c>
      <c r="G756" t="s">
        <v>33</v>
      </c>
      <c r="H756" t="s">
        <v>49</v>
      </c>
      <c r="I756" t="s">
        <v>27</v>
      </c>
      <c r="J756" t="s">
        <v>18</v>
      </c>
      <c r="K756" s="2">
        <v>26000</v>
      </c>
      <c r="L756" s="3">
        <v>17.600000000000001</v>
      </c>
      <c r="M756" s="3">
        <v>54.1</v>
      </c>
      <c r="N756" s="3">
        <v>325.10000000000002</v>
      </c>
      <c r="O756" s="2">
        <v>161</v>
      </c>
      <c r="P756">
        <v>0</v>
      </c>
      <c r="Q756" t="s">
        <v>14</v>
      </c>
      <c r="R756" s="4">
        <v>145.11000000000001</v>
      </c>
      <c r="S756" s="4">
        <v>88.94</v>
      </c>
      <c r="T756" t="s">
        <v>34</v>
      </c>
      <c r="U756" s="4">
        <v>7.63</v>
      </c>
      <c r="V756" s="4">
        <v>5.5810000000000004</v>
      </c>
      <c r="W756" s="4">
        <v>56.17</v>
      </c>
    </row>
    <row r="757" spans="1:23" ht="15" customHeight="1" x14ac:dyDescent="0.25">
      <c r="A757">
        <v>1230</v>
      </c>
      <c r="B757" s="1">
        <v>45782.333333333343</v>
      </c>
      <c r="C757">
        <v>8</v>
      </c>
      <c r="D757" t="s">
        <v>57</v>
      </c>
      <c r="E757">
        <v>5</v>
      </c>
      <c r="F757" t="s">
        <v>35</v>
      </c>
      <c r="G757" t="s">
        <v>33</v>
      </c>
      <c r="H757" t="s">
        <v>51</v>
      </c>
      <c r="I757" t="s">
        <v>25</v>
      </c>
      <c r="J757" t="s">
        <v>15</v>
      </c>
      <c r="K757" s="2">
        <v>17400</v>
      </c>
      <c r="L757" s="3">
        <v>19.2</v>
      </c>
      <c r="M757" s="3">
        <v>73.900000000000006</v>
      </c>
      <c r="N757" s="3">
        <v>329.5</v>
      </c>
      <c r="O757" s="2">
        <v>131</v>
      </c>
      <c r="P757">
        <v>0</v>
      </c>
      <c r="Q757" t="s">
        <v>14</v>
      </c>
      <c r="R757" s="4">
        <v>41</v>
      </c>
      <c r="S757" s="4">
        <v>39.78</v>
      </c>
      <c r="T757" t="s">
        <v>34</v>
      </c>
      <c r="U757" s="4">
        <v>0.17</v>
      </c>
      <c r="V757" s="4">
        <v>2.3559999999999999</v>
      </c>
      <c r="W757" s="4">
        <v>1.22</v>
      </c>
    </row>
    <row r="758" spans="1:23" ht="15" customHeight="1" x14ac:dyDescent="0.25">
      <c r="A758">
        <v>863</v>
      </c>
      <c r="B758" s="1">
        <v>45782.583333333343</v>
      </c>
      <c r="C758">
        <v>14</v>
      </c>
      <c r="D758" t="s">
        <v>57</v>
      </c>
      <c r="E758">
        <v>5</v>
      </c>
      <c r="F758" t="s">
        <v>35</v>
      </c>
      <c r="G758" t="s">
        <v>33</v>
      </c>
      <c r="H758" t="s">
        <v>50</v>
      </c>
      <c r="I758" t="s">
        <v>22</v>
      </c>
      <c r="J758" t="s">
        <v>12</v>
      </c>
      <c r="K758" s="2">
        <v>21000</v>
      </c>
      <c r="L758" s="3">
        <v>30</v>
      </c>
      <c r="M758" s="3">
        <v>51.8</v>
      </c>
      <c r="N758" s="3">
        <v>756.5</v>
      </c>
      <c r="O758" s="2">
        <v>397</v>
      </c>
      <c r="P758">
        <v>1</v>
      </c>
      <c r="Q758" t="s">
        <v>20</v>
      </c>
      <c r="R758" s="4">
        <v>220.65</v>
      </c>
      <c r="S758" s="4">
        <v>151.16999999999999</v>
      </c>
      <c r="T758" t="s">
        <v>34</v>
      </c>
      <c r="U758" s="4">
        <v>9.61</v>
      </c>
      <c r="V758" s="4">
        <v>10.507</v>
      </c>
      <c r="W758" s="4">
        <v>69.48</v>
      </c>
    </row>
    <row r="759" spans="1:23" ht="15" customHeight="1" x14ac:dyDescent="0.25">
      <c r="A759">
        <v>127</v>
      </c>
      <c r="B759" s="1">
        <v>45782.583333333343</v>
      </c>
      <c r="C759">
        <v>14</v>
      </c>
      <c r="D759" t="s">
        <v>57</v>
      </c>
      <c r="E759">
        <v>5</v>
      </c>
      <c r="F759" t="s">
        <v>35</v>
      </c>
      <c r="G759" t="s">
        <v>33</v>
      </c>
      <c r="H759" t="s">
        <v>53</v>
      </c>
      <c r="I759" t="s">
        <v>19</v>
      </c>
      <c r="J759" t="s">
        <v>26</v>
      </c>
      <c r="K759" s="2">
        <v>12500</v>
      </c>
      <c r="L759" s="3">
        <v>22.6</v>
      </c>
      <c r="M759" s="3">
        <v>69.099999999999994</v>
      </c>
      <c r="N759" s="3">
        <v>498.7</v>
      </c>
      <c r="O759" s="2">
        <v>612</v>
      </c>
      <c r="P759">
        <v>0</v>
      </c>
      <c r="Q759" t="s">
        <v>14</v>
      </c>
      <c r="R759" s="4">
        <v>103.06</v>
      </c>
      <c r="S759" s="4">
        <v>79.2</v>
      </c>
      <c r="T759" t="s">
        <v>34</v>
      </c>
      <c r="U759" s="4">
        <v>3.37</v>
      </c>
      <c r="V759" s="4">
        <v>8.2449999999999992</v>
      </c>
      <c r="W759" s="4">
        <v>23.86</v>
      </c>
    </row>
    <row r="760" spans="1:23" ht="15" customHeight="1" x14ac:dyDescent="0.25">
      <c r="A760">
        <v>495</v>
      </c>
      <c r="B760" s="1">
        <v>45782.583333333343</v>
      </c>
      <c r="C760">
        <v>14</v>
      </c>
      <c r="D760" t="s">
        <v>57</v>
      </c>
      <c r="E760">
        <v>5</v>
      </c>
      <c r="F760" t="s">
        <v>35</v>
      </c>
      <c r="G760" t="s">
        <v>33</v>
      </c>
      <c r="H760" t="s">
        <v>54</v>
      </c>
      <c r="I760" t="s">
        <v>16</v>
      </c>
      <c r="J760" t="s">
        <v>24</v>
      </c>
      <c r="K760" s="2">
        <v>8600</v>
      </c>
      <c r="L760" s="3">
        <v>21</v>
      </c>
      <c r="M760" s="3">
        <v>81</v>
      </c>
      <c r="N760" s="3">
        <v>519.20000000000005</v>
      </c>
      <c r="O760" s="2">
        <v>813</v>
      </c>
      <c r="P760">
        <v>0</v>
      </c>
      <c r="Q760" t="s">
        <v>14</v>
      </c>
      <c r="R760" s="4">
        <v>82.47</v>
      </c>
      <c r="S760" s="4">
        <v>42.6</v>
      </c>
      <c r="T760" t="s">
        <v>34</v>
      </c>
      <c r="U760" s="4">
        <v>5.62</v>
      </c>
      <c r="V760" s="4">
        <v>9.59</v>
      </c>
      <c r="W760" s="4">
        <v>39.869999999999997</v>
      </c>
    </row>
    <row r="761" spans="1:23" ht="15" customHeight="1" x14ac:dyDescent="0.25">
      <c r="A761">
        <v>1599</v>
      </c>
      <c r="B761" s="1">
        <v>45782.583333333343</v>
      </c>
      <c r="C761">
        <v>14</v>
      </c>
      <c r="D761" t="s">
        <v>57</v>
      </c>
      <c r="E761">
        <v>5</v>
      </c>
      <c r="F761" t="s">
        <v>35</v>
      </c>
      <c r="G761" t="s">
        <v>33</v>
      </c>
      <c r="H761" t="s">
        <v>49</v>
      </c>
      <c r="I761" t="s">
        <v>27</v>
      </c>
      <c r="J761" t="s">
        <v>18</v>
      </c>
      <c r="K761" s="2">
        <v>26000</v>
      </c>
      <c r="L761" s="3">
        <v>27</v>
      </c>
      <c r="M761" s="3">
        <v>56.5</v>
      </c>
      <c r="N761" s="3">
        <v>636.79999999999995</v>
      </c>
      <c r="O761" s="2">
        <v>184</v>
      </c>
      <c r="P761">
        <v>1</v>
      </c>
      <c r="Q761" t="s">
        <v>20</v>
      </c>
      <c r="R761" s="4">
        <v>174.2</v>
      </c>
      <c r="S761" s="4">
        <v>156.74</v>
      </c>
      <c r="T761" t="s">
        <v>34</v>
      </c>
      <c r="U761" s="4">
        <v>2.42</v>
      </c>
      <c r="V761" s="4">
        <v>6.7</v>
      </c>
      <c r="W761" s="4">
        <v>17.46</v>
      </c>
    </row>
    <row r="762" spans="1:23" ht="15" customHeight="1" x14ac:dyDescent="0.25">
      <c r="A762">
        <v>1967</v>
      </c>
      <c r="B762" s="1">
        <v>45782.583333333343</v>
      </c>
      <c r="C762">
        <v>14</v>
      </c>
      <c r="D762" t="s">
        <v>57</v>
      </c>
      <c r="E762">
        <v>5</v>
      </c>
      <c r="F762" t="s">
        <v>35</v>
      </c>
      <c r="G762" t="s">
        <v>33</v>
      </c>
      <c r="H762" t="s">
        <v>52</v>
      </c>
      <c r="I762" t="s">
        <v>13</v>
      </c>
      <c r="J762" t="s">
        <v>21</v>
      </c>
      <c r="K762" s="2">
        <v>9800</v>
      </c>
      <c r="L762" s="3">
        <v>23.6</v>
      </c>
      <c r="M762" s="3">
        <v>66.599999999999994</v>
      </c>
      <c r="N762" s="3">
        <v>650.5</v>
      </c>
      <c r="O762" s="2">
        <v>56</v>
      </c>
      <c r="P762">
        <v>1</v>
      </c>
      <c r="Q762" t="s">
        <v>23</v>
      </c>
      <c r="R762" s="4">
        <v>18.149999999999999</v>
      </c>
      <c r="S762" s="4">
        <v>0</v>
      </c>
      <c r="T762" t="s">
        <v>34</v>
      </c>
      <c r="U762" s="4">
        <v>2.56</v>
      </c>
      <c r="V762" s="4">
        <v>1.8520000000000001</v>
      </c>
      <c r="W762" s="4">
        <v>18.149999999999999</v>
      </c>
    </row>
    <row r="763" spans="1:23" ht="15" customHeight="1" x14ac:dyDescent="0.25">
      <c r="A763">
        <v>1231</v>
      </c>
      <c r="B763" s="1">
        <v>45782.583333333343</v>
      </c>
      <c r="C763">
        <v>14</v>
      </c>
      <c r="D763" t="s">
        <v>57</v>
      </c>
      <c r="E763">
        <v>5</v>
      </c>
      <c r="F763" t="s">
        <v>35</v>
      </c>
      <c r="G763" t="s">
        <v>33</v>
      </c>
      <c r="H763" t="s">
        <v>51</v>
      </c>
      <c r="I763" t="s">
        <v>25</v>
      </c>
      <c r="J763" t="s">
        <v>15</v>
      </c>
      <c r="K763" s="2">
        <v>17400</v>
      </c>
      <c r="L763" s="3">
        <v>24.9</v>
      </c>
      <c r="M763" s="3">
        <v>72.099999999999994</v>
      </c>
      <c r="N763" s="3">
        <v>826.2</v>
      </c>
      <c r="O763" s="2">
        <v>1271</v>
      </c>
      <c r="P763">
        <v>1</v>
      </c>
      <c r="Q763" t="s">
        <v>20</v>
      </c>
      <c r="R763" s="4">
        <v>203</v>
      </c>
      <c r="S763" s="4">
        <v>100.97</v>
      </c>
      <c r="T763" t="s">
        <v>34</v>
      </c>
      <c r="U763" s="4">
        <v>14.64</v>
      </c>
      <c r="V763" s="4">
        <v>11.667</v>
      </c>
      <c r="W763" s="4">
        <v>102.03</v>
      </c>
    </row>
    <row r="764" spans="1:23" ht="15" customHeight="1" x14ac:dyDescent="0.25">
      <c r="A764">
        <v>864</v>
      </c>
      <c r="B764" s="1">
        <v>45782.833333333343</v>
      </c>
      <c r="C764">
        <v>20</v>
      </c>
      <c r="D764" t="s">
        <v>57</v>
      </c>
      <c r="E764">
        <v>5</v>
      </c>
      <c r="F764" t="s">
        <v>35</v>
      </c>
      <c r="G764" t="s">
        <v>33</v>
      </c>
      <c r="H764" t="s">
        <v>50</v>
      </c>
      <c r="I764" t="s">
        <v>22</v>
      </c>
      <c r="J764" t="s">
        <v>12</v>
      </c>
      <c r="K764" s="2">
        <v>21000</v>
      </c>
      <c r="L764" s="3">
        <v>24.6</v>
      </c>
      <c r="M764" s="3"/>
      <c r="N764" s="3">
        <v>0</v>
      </c>
      <c r="O764" s="2">
        <v>379</v>
      </c>
      <c r="P764">
        <v>1</v>
      </c>
      <c r="Q764" t="s">
        <v>20</v>
      </c>
      <c r="R764" s="4">
        <v>287.92</v>
      </c>
      <c r="S764" s="4">
        <v>0</v>
      </c>
      <c r="T764" t="s">
        <v>37</v>
      </c>
      <c r="U764" s="4">
        <v>59.4</v>
      </c>
      <c r="V764" s="4">
        <v>13.71</v>
      </c>
      <c r="W764" s="4">
        <v>287.92</v>
      </c>
    </row>
    <row r="765" spans="1:23" ht="15" customHeight="1" x14ac:dyDescent="0.25">
      <c r="A765">
        <v>1600</v>
      </c>
      <c r="B765" s="1">
        <v>45782.833333333343</v>
      </c>
      <c r="C765">
        <v>20</v>
      </c>
      <c r="D765" t="s">
        <v>57</v>
      </c>
      <c r="E765">
        <v>5</v>
      </c>
      <c r="F765" t="s">
        <v>35</v>
      </c>
      <c r="G765" t="s">
        <v>33</v>
      </c>
      <c r="H765" t="s">
        <v>49</v>
      </c>
      <c r="I765" t="s">
        <v>27</v>
      </c>
      <c r="J765" t="s">
        <v>18</v>
      </c>
      <c r="K765" s="2">
        <v>26000</v>
      </c>
      <c r="L765" s="3">
        <v>20.7</v>
      </c>
      <c r="M765" s="3"/>
      <c r="N765" s="3">
        <v>0</v>
      </c>
      <c r="O765" s="2">
        <v>163</v>
      </c>
      <c r="P765">
        <v>0</v>
      </c>
      <c r="Q765" t="s">
        <v>14</v>
      </c>
      <c r="R765" s="4">
        <v>257.25</v>
      </c>
      <c r="S765" s="4">
        <v>0</v>
      </c>
      <c r="T765" t="s">
        <v>37</v>
      </c>
      <c r="U765" s="4">
        <v>53.97</v>
      </c>
      <c r="V765" s="4">
        <v>9.8940000000000001</v>
      </c>
      <c r="W765" s="4">
        <v>257.25</v>
      </c>
    </row>
    <row r="766" spans="1:23" ht="15" customHeight="1" x14ac:dyDescent="0.25">
      <c r="A766">
        <v>496</v>
      </c>
      <c r="B766" s="1">
        <v>45782.833333333343</v>
      </c>
      <c r="C766">
        <v>20</v>
      </c>
      <c r="D766" t="s">
        <v>57</v>
      </c>
      <c r="E766">
        <v>5</v>
      </c>
      <c r="F766" t="s">
        <v>35</v>
      </c>
      <c r="G766" t="s">
        <v>33</v>
      </c>
      <c r="H766" t="s">
        <v>54</v>
      </c>
      <c r="I766" t="s">
        <v>16</v>
      </c>
      <c r="J766" t="s">
        <v>24</v>
      </c>
      <c r="K766" s="2">
        <v>8600</v>
      </c>
      <c r="L766" s="3">
        <v>18</v>
      </c>
      <c r="M766" s="3">
        <v>77.2</v>
      </c>
      <c r="N766" s="3">
        <v>0</v>
      </c>
      <c r="O766" s="2">
        <v>118</v>
      </c>
      <c r="P766">
        <v>0</v>
      </c>
      <c r="Q766" t="s">
        <v>14</v>
      </c>
      <c r="R766" s="4">
        <v>227.92</v>
      </c>
      <c r="S766" s="4">
        <v>0</v>
      </c>
      <c r="T766" t="s">
        <v>37</v>
      </c>
      <c r="U766" s="4">
        <v>5.48</v>
      </c>
      <c r="V766" s="4">
        <v>26.501999999999999</v>
      </c>
      <c r="W766" s="4">
        <v>227.92</v>
      </c>
    </row>
    <row r="767" spans="1:23" ht="15" customHeight="1" x14ac:dyDescent="0.25">
      <c r="A767">
        <v>1232</v>
      </c>
      <c r="B767" s="1">
        <v>45782.833333333343</v>
      </c>
      <c r="C767">
        <v>20</v>
      </c>
      <c r="D767" t="s">
        <v>57</v>
      </c>
      <c r="E767">
        <v>5</v>
      </c>
      <c r="F767" t="s">
        <v>35</v>
      </c>
      <c r="G767" t="s">
        <v>33</v>
      </c>
      <c r="H767" t="s">
        <v>51</v>
      </c>
      <c r="I767" t="s">
        <v>25</v>
      </c>
      <c r="J767" t="s">
        <v>15</v>
      </c>
      <c r="K767" s="2">
        <v>17400</v>
      </c>
      <c r="L767" s="3">
        <v>20.8</v>
      </c>
      <c r="M767" s="3">
        <v>83.1</v>
      </c>
      <c r="N767" s="3">
        <v>0</v>
      </c>
      <c r="O767" s="2">
        <v>1328</v>
      </c>
      <c r="P767">
        <v>0</v>
      </c>
      <c r="Q767" t="s">
        <v>14</v>
      </c>
      <c r="R767" s="4">
        <v>269.49</v>
      </c>
      <c r="S767" s="4">
        <v>0</v>
      </c>
      <c r="T767" t="s">
        <v>37</v>
      </c>
      <c r="U767" s="4">
        <v>55.43</v>
      </c>
      <c r="V767" s="4">
        <v>15.488</v>
      </c>
      <c r="W767" s="4">
        <v>269.49</v>
      </c>
    </row>
    <row r="768" spans="1:23" ht="15" customHeight="1" x14ac:dyDescent="0.25">
      <c r="A768">
        <v>1968</v>
      </c>
      <c r="B768" s="1">
        <v>45782.833333333343</v>
      </c>
      <c r="C768">
        <v>20</v>
      </c>
      <c r="D768" t="s">
        <v>57</v>
      </c>
      <c r="E768">
        <v>5</v>
      </c>
      <c r="F768" t="s">
        <v>35</v>
      </c>
      <c r="G768" t="s">
        <v>33</v>
      </c>
      <c r="H768" t="s">
        <v>52</v>
      </c>
      <c r="I768" t="s">
        <v>13</v>
      </c>
      <c r="J768" t="s">
        <v>21</v>
      </c>
      <c r="K768" s="2">
        <v>9800</v>
      </c>
      <c r="L768" s="3">
        <v>21.5</v>
      </c>
      <c r="M768" s="3">
        <v>71.3</v>
      </c>
      <c r="N768" s="3">
        <v>0</v>
      </c>
      <c r="O768" s="2">
        <v>305</v>
      </c>
      <c r="P768">
        <v>0</v>
      </c>
      <c r="Q768" t="s">
        <v>14</v>
      </c>
      <c r="R768" s="4">
        <v>93.43</v>
      </c>
      <c r="S768" s="4">
        <v>0</v>
      </c>
      <c r="T768" t="s">
        <v>37</v>
      </c>
      <c r="U768" s="4">
        <v>18.89</v>
      </c>
      <c r="V768" s="4">
        <v>9.5340000000000007</v>
      </c>
      <c r="W768" s="4">
        <v>93.43</v>
      </c>
    </row>
    <row r="769" spans="1:23" ht="15" customHeight="1" x14ac:dyDescent="0.25">
      <c r="A769">
        <v>128</v>
      </c>
      <c r="B769" s="1">
        <v>45782.833333333343</v>
      </c>
      <c r="C769">
        <v>20</v>
      </c>
      <c r="D769" t="s">
        <v>57</v>
      </c>
      <c r="E769">
        <v>5</v>
      </c>
      <c r="F769" t="s">
        <v>35</v>
      </c>
      <c r="G769" t="s">
        <v>33</v>
      </c>
      <c r="H769" t="s">
        <v>53</v>
      </c>
      <c r="I769" t="s">
        <v>19</v>
      </c>
      <c r="J769" t="s">
        <v>26</v>
      </c>
      <c r="K769" s="2">
        <v>12500</v>
      </c>
      <c r="L769" s="3"/>
      <c r="M769" s="3">
        <v>65.900000000000006</v>
      </c>
      <c r="N769" s="3">
        <v>0</v>
      </c>
      <c r="O769" s="2">
        <v>9</v>
      </c>
      <c r="P769">
        <v>0</v>
      </c>
      <c r="Q769" t="s">
        <v>14</v>
      </c>
      <c r="R769" s="4">
        <v>36.770000000000003</v>
      </c>
      <c r="S769" s="4">
        <v>0</v>
      </c>
      <c r="T769" t="s">
        <v>37</v>
      </c>
      <c r="U769" s="4">
        <v>7.62</v>
      </c>
      <c r="V769" s="4">
        <v>2.9420000000000002</v>
      </c>
      <c r="W769" s="4">
        <v>36.770000000000003</v>
      </c>
    </row>
    <row r="770" spans="1:23" ht="15" customHeight="1" x14ac:dyDescent="0.25">
      <c r="A770">
        <v>497</v>
      </c>
      <c r="B770" s="1">
        <v>45786</v>
      </c>
      <c r="C770">
        <v>0</v>
      </c>
      <c r="D770" t="s">
        <v>58</v>
      </c>
      <c r="E770">
        <v>5</v>
      </c>
      <c r="F770" t="s">
        <v>35</v>
      </c>
      <c r="G770" t="s">
        <v>33</v>
      </c>
      <c r="H770" t="s">
        <v>54</v>
      </c>
      <c r="I770" t="s">
        <v>16</v>
      </c>
      <c r="J770" t="s">
        <v>24</v>
      </c>
      <c r="K770" s="2">
        <v>8600</v>
      </c>
      <c r="L770" s="3">
        <v>12.6</v>
      </c>
      <c r="M770" s="3">
        <v>81.8</v>
      </c>
      <c r="N770" s="3">
        <v>0</v>
      </c>
      <c r="O770" s="2">
        <v>91</v>
      </c>
      <c r="P770">
        <v>1</v>
      </c>
      <c r="Q770" t="s">
        <v>17</v>
      </c>
      <c r="R770" s="4">
        <v>25.39</v>
      </c>
      <c r="S770" s="4">
        <v>0</v>
      </c>
      <c r="T770" t="s">
        <v>31</v>
      </c>
      <c r="U770" s="4">
        <v>2.3199999999999998</v>
      </c>
      <c r="V770" s="4">
        <v>2.952</v>
      </c>
      <c r="W770" s="4">
        <v>25.39</v>
      </c>
    </row>
    <row r="771" spans="1:23" ht="15" customHeight="1" x14ac:dyDescent="0.25">
      <c r="A771">
        <v>1969</v>
      </c>
      <c r="B771" s="1">
        <v>45786</v>
      </c>
      <c r="C771">
        <v>0</v>
      </c>
      <c r="D771" t="s">
        <v>58</v>
      </c>
      <c r="E771">
        <v>5</v>
      </c>
      <c r="F771" t="s">
        <v>35</v>
      </c>
      <c r="G771" t="s">
        <v>33</v>
      </c>
      <c r="H771" t="s">
        <v>52</v>
      </c>
      <c r="I771" t="s">
        <v>13</v>
      </c>
      <c r="J771" t="s">
        <v>21</v>
      </c>
      <c r="K771" s="2">
        <v>9800</v>
      </c>
      <c r="L771" s="3">
        <v>18</v>
      </c>
      <c r="M771" s="3">
        <v>77.5</v>
      </c>
      <c r="N771" s="3">
        <v>0</v>
      </c>
      <c r="O771" s="2">
        <v>283</v>
      </c>
      <c r="P771">
        <v>0</v>
      </c>
      <c r="Q771" t="s">
        <v>14</v>
      </c>
      <c r="R771" s="4">
        <v>719.17</v>
      </c>
      <c r="S771" s="4">
        <v>0</v>
      </c>
      <c r="T771" t="s">
        <v>31</v>
      </c>
      <c r="U771" s="4">
        <v>8.23</v>
      </c>
      <c r="V771" s="4">
        <v>73.385000000000005</v>
      </c>
      <c r="W771" s="4">
        <v>719.17</v>
      </c>
    </row>
    <row r="772" spans="1:23" ht="15" customHeight="1" x14ac:dyDescent="0.25">
      <c r="A772">
        <v>865</v>
      </c>
      <c r="B772" s="1">
        <v>45786</v>
      </c>
      <c r="C772">
        <v>0</v>
      </c>
      <c r="D772" t="s">
        <v>58</v>
      </c>
      <c r="E772">
        <v>5</v>
      </c>
      <c r="F772" t="s">
        <v>35</v>
      </c>
      <c r="G772" t="s">
        <v>33</v>
      </c>
      <c r="H772" t="s">
        <v>50</v>
      </c>
      <c r="I772" t="s">
        <v>22</v>
      </c>
      <c r="J772" t="s">
        <v>12</v>
      </c>
      <c r="K772" s="2">
        <v>21000</v>
      </c>
      <c r="L772" s="3">
        <v>17.2</v>
      </c>
      <c r="M772" s="3">
        <v>65.8</v>
      </c>
      <c r="N772" s="3">
        <v>0</v>
      </c>
      <c r="O772" s="2">
        <v>216</v>
      </c>
      <c r="P772">
        <v>0</v>
      </c>
      <c r="Q772" t="s">
        <v>14</v>
      </c>
      <c r="R772" s="4">
        <v>177.25</v>
      </c>
      <c r="S772" s="4">
        <v>0</v>
      </c>
      <c r="T772" t="s">
        <v>31</v>
      </c>
      <c r="U772" s="4">
        <v>15.21</v>
      </c>
      <c r="V772" s="4">
        <v>8.44</v>
      </c>
      <c r="W772" s="4">
        <v>177.25</v>
      </c>
    </row>
    <row r="773" spans="1:23" ht="15" customHeight="1" x14ac:dyDescent="0.25">
      <c r="A773">
        <v>1233</v>
      </c>
      <c r="B773" s="1">
        <v>45786</v>
      </c>
      <c r="C773">
        <v>0</v>
      </c>
      <c r="D773" t="s">
        <v>58</v>
      </c>
      <c r="E773">
        <v>5</v>
      </c>
      <c r="F773" t="s">
        <v>35</v>
      </c>
      <c r="G773" t="s">
        <v>33</v>
      </c>
      <c r="H773" t="s">
        <v>51</v>
      </c>
      <c r="I773" t="s">
        <v>25</v>
      </c>
      <c r="J773" t="s">
        <v>15</v>
      </c>
      <c r="K773" s="2">
        <v>17400</v>
      </c>
      <c r="L773" s="3">
        <v>20.399999999999999</v>
      </c>
      <c r="M773" s="3">
        <v>70.400000000000006</v>
      </c>
      <c r="N773" s="3">
        <v>0</v>
      </c>
      <c r="O773" s="2">
        <v>278</v>
      </c>
      <c r="P773">
        <v>0</v>
      </c>
      <c r="Q773" t="s">
        <v>14</v>
      </c>
      <c r="R773" s="4">
        <v>63.21</v>
      </c>
      <c r="S773" s="4">
        <v>0</v>
      </c>
      <c r="T773" t="s">
        <v>31</v>
      </c>
      <c r="U773" s="4">
        <v>5.25</v>
      </c>
      <c r="V773" s="4">
        <v>3.633</v>
      </c>
      <c r="W773" s="4">
        <v>63.21</v>
      </c>
    </row>
    <row r="774" spans="1:23" ht="15" customHeight="1" x14ac:dyDescent="0.25">
      <c r="A774">
        <v>1601</v>
      </c>
      <c r="B774" s="1">
        <v>45786</v>
      </c>
      <c r="C774">
        <v>0</v>
      </c>
      <c r="D774" t="s">
        <v>58</v>
      </c>
      <c r="E774">
        <v>5</v>
      </c>
      <c r="F774" t="s">
        <v>35</v>
      </c>
      <c r="G774" t="s">
        <v>33</v>
      </c>
      <c r="H774" t="s">
        <v>49</v>
      </c>
      <c r="I774" t="s">
        <v>27</v>
      </c>
      <c r="J774" t="s">
        <v>18</v>
      </c>
      <c r="K774" s="2">
        <v>26000</v>
      </c>
      <c r="L774" s="3">
        <v>14.6</v>
      </c>
      <c r="M774" s="3"/>
      <c r="N774" s="3">
        <v>0</v>
      </c>
      <c r="O774" s="2">
        <v>74</v>
      </c>
      <c r="P774">
        <v>1</v>
      </c>
      <c r="Q774" t="s">
        <v>23</v>
      </c>
      <c r="R774" s="4">
        <v>118.23</v>
      </c>
      <c r="S774" s="4">
        <v>0</v>
      </c>
      <c r="T774" t="s">
        <v>31</v>
      </c>
      <c r="U774" s="4">
        <v>10.09</v>
      </c>
      <c r="V774" s="4">
        <v>4.5469999999999997</v>
      </c>
      <c r="W774" s="4">
        <v>118.23</v>
      </c>
    </row>
    <row r="775" spans="1:23" ht="15" customHeight="1" x14ac:dyDescent="0.25">
      <c r="A775">
        <v>129</v>
      </c>
      <c r="B775" s="1">
        <v>45786</v>
      </c>
      <c r="C775">
        <v>0</v>
      </c>
      <c r="D775" t="s">
        <v>58</v>
      </c>
      <c r="E775">
        <v>5</v>
      </c>
      <c r="F775" t="s">
        <v>35</v>
      </c>
      <c r="G775" t="s">
        <v>33</v>
      </c>
      <c r="H775" t="s">
        <v>53</v>
      </c>
      <c r="I775" t="s">
        <v>19</v>
      </c>
      <c r="J775" t="s">
        <v>26</v>
      </c>
      <c r="K775" s="2">
        <v>12500</v>
      </c>
      <c r="L775" s="3">
        <v>11.5</v>
      </c>
      <c r="M775" s="3">
        <v>62.8</v>
      </c>
      <c r="N775" s="3">
        <v>0</v>
      </c>
      <c r="O775" s="2">
        <v>31</v>
      </c>
      <c r="P775">
        <v>0</v>
      </c>
      <c r="Q775" t="s">
        <v>14</v>
      </c>
      <c r="R775" s="4">
        <v>23.8</v>
      </c>
      <c r="S775" s="4">
        <v>0</v>
      </c>
      <c r="T775" t="s">
        <v>31</v>
      </c>
      <c r="U775" s="4">
        <v>2.08</v>
      </c>
      <c r="V775" s="4">
        <v>1.9039999999999999</v>
      </c>
      <c r="W775" s="4">
        <v>23.8</v>
      </c>
    </row>
    <row r="776" spans="1:23" ht="15" customHeight="1" x14ac:dyDescent="0.25">
      <c r="A776">
        <v>130</v>
      </c>
      <c r="B776" s="1">
        <v>45786.333333333343</v>
      </c>
      <c r="C776">
        <v>8</v>
      </c>
      <c r="D776" t="s">
        <v>58</v>
      </c>
      <c r="E776">
        <v>5</v>
      </c>
      <c r="F776" t="s">
        <v>35</v>
      </c>
      <c r="G776" t="s">
        <v>33</v>
      </c>
      <c r="H776" t="s">
        <v>53</v>
      </c>
      <c r="I776" t="s">
        <v>19</v>
      </c>
      <c r="J776" t="s">
        <v>26</v>
      </c>
      <c r="K776" s="2">
        <v>12500</v>
      </c>
      <c r="L776" s="3">
        <v>14.9</v>
      </c>
      <c r="M776" s="3">
        <v>61.3</v>
      </c>
      <c r="N776" s="3">
        <v>384.2</v>
      </c>
      <c r="O776" s="2">
        <v>354</v>
      </c>
      <c r="P776">
        <v>1</v>
      </c>
      <c r="Q776" t="s">
        <v>23</v>
      </c>
      <c r="R776" s="4">
        <v>69.88</v>
      </c>
      <c r="S776" s="4">
        <v>62.21</v>
      </c>
      <c r="T776" t="s">
        <v>34</v>
      </c>
      <c r="U776" s="4">
        <v>1.07</v>
      </c>
      <c r="V776" s="4">
        <v>5.59</v>
      </c>
      <c r="W776" s="4">
        <v>7.67</v>
      </c>
    </row>
    <row r="777" spans="1:23" ht="15" customHeight="1" x14ac:dyDescent="0.25">
      <c r="A777">
        <v>1234</v>
      </c>
      <c r="B777" s="1">
        <v>45786.333333333343</v>
      </c>
      <c r="C777">
        <v>8</v>
      </c>
      <c r="D777" t="s">
        <v>58</v>
      </c>
      <c r="E777">
        <v>5</v>
      </c>
      <c r="F777" t="s">
        <v>35</v>
      </c>
      <c r="G777" t="s">
        <v>33</v>
      </c>
      <c r="H777" t="s">
        <v>51</v>
      </c>
      <c r="I777" t="s">
        <v>25</v>
      </c>
      <c r="J777" t="s">
        <v>15</v>
      </c>
      <c r="K777" s="2">
        <v>17400</v>
      </c>
      <c r="L777" s="3">
        <v>20.100000000000001</v>
      </c>
      <c r="M777" s="3">
        <v>73.400000000000006</v>
      </c>
      <c r="N777" s="3">
        <v>217.2</v>
      </c>
      <c r="O777" s="2">
        <v>100</v>
      </c>
      <c r="P777">
        <v>0</v>
      </c>
      <c r="Q777" t="s">
        <v>14</v>
      </c>
      <c r="R777" s="4">
        <v>38.299999999999997</v>
      </c>
      <c r="S777" s="4">
        <v>27.89</v>
      </c>
      <c r="T777" t="s">
        <v>34</v>
      </c>
      <c r="U777" s="4">
        <v>1.46</v>
      </c>
      <c r="V777" s="4">
        <v>2.2010000000000001</v>
      </c>
      <c r="W777" s="4">
        <v>10.41</v>
      </c>
    </row>
    <row r="778" spans="1:23" ht="15" customHeight="1" x14ac:dyDescent="0.25">
      <c r="A778">
        <v>1970</v>
      </c>
      <c r="B778" s="1">
        <v>45786.333333333343</v>
      </c>
      <c r="C778">
        <v>8</v>
      </c>
      <c r="D778" t="s">
        <v>58</v>
      </c>
      <c r="E778">
        <v>5</v>
      </c>
      <c r="F778" t="s">
        <v>35</v>
      </c>
      <c r="G778" t="s">
        <v>33</v>
      </c>
      <c r="H778" t="s">
        <v>52</v>
      </c>
      <c r="I778" t="s">
        <v>13</v>
      </c>
      <c r="J778" t="s">
        <v>21</v>
      </c>
      <c r="K778" s="2">
        <v>9800</v>
      </c>
      <c r="L778" s="3">
        <v>17.5</v>
      </c>
      <c r="M778" s="3">
        <v>80.3</v>
      </c>
      <c r="N778" s="3">
        <v>260.8</v>
      </c>
      <c r="O778" s="2">
        <v>78</v>
      </c>
      <c r="P778">
        <v>0</v>
      </c>
      <c r="Q778" t="s">
        <v>14</v>
      </c>
      <c r="R778" s="4">
        <v>17.809999999999999</v>
      </c>
      <c r="S778" s="4">
        <v>0</v>
      </c>
      <c r="T778" t="s">
        <v>34</v>
      </c>
      <c r="U778" s="4">
        <v>2.52</v>
      </c>
      <c r="V778" s="4">
        <v>1.8169999999999999</v>
      </c>
      <c r="W778" s="4">
        <v>17.809999999999999</v>
      </c>
    </row>
    <row r="779" spans="1:23" ht="15" customHeight="1" x14ac:dyDescent="0.25">
      <c r="A779">
        <v>1602</v>
      </c>
      <c r="B779" s="1">
        <v>45786.333333333343</v>
      </c>
      <c r="C779">
        <v>8</v>
      </c>
      <c r="D779" t="s">
        <v>58</v>
      </c>
      <c r="E779">
        <v>5</v>
      </c>
      <c r="F779" t="s">
        <v>35</v>
      </c>
      <c r="G779" t="s">
        <v>33</v>
      </c>
      <c r="H779" t="s">
        <v>49</v>
      </c>
      <c r="I779" t="s">
        <v>27</v>
      </c>
      <c r="J779" t="s">
        <v>18</v>
      </c>
      <c r="K779" s="2">
        <v>26000</v>
      </c>
      <c r="L779" s="3">
        <v>16</v>
      </c>
      <c r="M779" s="3">
        <v>50.4</v>
      </c>
      <c r="N779" s="3">
        <v>357.4</v>
      </c>
      <c r="O779" s="2">
        <v>180</v>
      </c>
      <c r="P779">
        <v>0</v>
      </c>
      <c r="Q779" t="s">
        <v>14</v>
      </c>
      <c r="R779" s="4">
        <v>152.65</v>
      </c>
      <c r="S779" s="4">
        <v>95.34</v>
      </c>
      <c r="T779" t="s">
        <v>34</v>
      </c>
      <c r="U779" s="4">
        <v>7.7</v>
      </c>
      <c r="V779" s="4">
        <v>5.8710000000000004</v>
      </c>
      <c r="W779" s="4">
        <v>57.31</v>
      </c>
    </row>
    <row r="780" spans="1:23" ht="15" customHeight="1" x14ac:dyDescent="0.25">
      <c r="A780">
        <v>498</v>
      </c>
      <c r="B780" s="1">
        <v>45786.333333333343</v>
      </c>
      <c r="C780">
        <v>8</v>
      </c>
      <c r="D780" t="s">
        <v>58</v>
      </c>
      <c r="E780">
        <v>5</v>
      </c>
      <c r="F780" t="s">
        <v>35</v>
      </c>
      <c r="G780" t="s">
        <v>33</v>
      </c>
      <c r="H780" t="s">
        <v>54</v>
      </c>
      <c r="I780" t="s">
        <v>16</v>
      </c>
      <c r="J780" t="s">
        <v>24</v>
      </c>
      <c r="K780" s="2">
        <v>8600</v>
      </c>
      <c r="L780" s="3">
        <v>16.100000000000001</v>
      </c>
      <c r="M780" s="3">
        <v>78.900000000000006</v>
      </c>
      <c r="N780" s="3">
        <v>270.39999999999998</v>
      </c>
      <c r="O780" s="2">
        <v>776</v>
      </c>
      <c r="P780">
        <v>0</v>
      </c>
      <c r="Q780" t="s">
        <v>14</v>
      </c>
      <c r="R780" s="4">
        <v>83.78</v>
      </c>
      <c r="S780" s="4">
        <v>19.72</v>
      </c>
      <c r="T780" t="s">
        <v>34</v>
      </c>
      <c r="U780" s="4">
        <v>9.25</v>
      </c>
      <c r="V780" s="4">
        <v>9.7420000000000009</v>
      </c>
      <c r="W780" s="4">
        <v>64.06</v>
      </c>
    </row>
    <row r="781" spans="1:23" ht="15" customHeight="1" x14ac:dyDescent="0.25">
      <c r="A781">
        <v>866</v>
      </c>
      <c r="B781" s="1">
        <v>45786.333333333343</v>
      </c>
      <c r="C781">
        <v>8</v>
      </c>
      <c r="D781" t="s">
        <v>58</v>
      </c>
      <c r="E781">
        <v>5</v>
      </c>
      <c r="F781" t="s">
        <v>35</v>
      </c>
      <c r="G781" t="s">
        <v>33</v>
      </c>
      <c r="H781" t="s">
        <v>50</v>
      </c>
      <c r="I781" t="s">
        <v>22</v>
      </c>
      <c r="J781" t="s">
        <v>12</v>
      </c>
      <c r="K781" s="2">
        <v>21000</v>
      </c>
      <c r="L781" s="3">
        <v>20.5</v>
      </c>
      <c r="M781" s="3">
        <v>50.5</v>
      </c>
      <c r="N781" s="3">
        <v>322.60000000000002</v>
      </c>
      <c r="O781" s="2">
        <v>439</v>
      </c>
      <c r="P781">
        <v>0</v>
      </c>
      <c r="Q781" t="s">
        <v>14</v>
      </c>
      <c r="R781" s="4">
        <v>193.64</v>
      </c>
      <c r="S781" s="4">
        <v>61.15</v>
      </c>
      <c r="T781" t="s">
        <v>34</v>
      </c>
      <c r="U781" s="4">
        <v>18.93</v>
      </c>
      <c r="V781" s="4">
        <v>9.2210000000000001</v>
      </c>
      <c r="W781" s="4">
        <v>132.49</v>
      </c>
    </row>
    <row r="782" spans="1:23" ht="15" customHeight="1" x14ac:dyDescent="0.25">
      <c r="A782">
        <v>1971</v>
      </c>
      <c r="B782" s="1">
        <v>45786.583333333343</v>
      </c>
      <c r="C782">
        <v>14</v>
      </c>
      <c r="D782" t="s">
        <v>58</v>
      </c>
      <c r="E782">
        <v>5</v>
      </c>
      <c r="F782" t="s">
        <v>35</v>
      </c>
      <c r="G782" t="s">
        <v>33</v>
      </c>
      <c r="H782" t="s">
        <v>52</v>
      </c>
      <c r="I782" t="s">
        <v>13</v>
      </c>
      <c r="J782" t="s">
        <v>21</v>
      </c>
      <c r="K782" s="2">
        <v>9800</v>
      </c>
      <c r="L782" s="3">
        <v>22</v>
      </c>
      <c r="M782" s="3">
        <v>80.900000000000006</v>
      </c>
      <c r="N782" s="3">
        <v>668.4</v>
      </c>
      <c r="O782" s="2">
        <v>82</v>
      </c>
      <c r="P782">
        <v>0</v>
      </c>
      <c r="Q782" t="s">
        <v>14</v>
      </c>
      <c r="R782" s="4">
        <v>19.78</v>
      </c>
      <c r="S782" s="4">
        <v>0</v>
      </c>
      <c r="T782" t="s">
        <v>34</v>
      </c>
      <c r="U782" s="4">
        <v>2.85</v>
      </c>
      <c r="V782" s="4">
        <v>2.0179999999999998</v>
      </c>
      <c r="W782" s="4">
        <v>19.78</v>
      </c>
    </row>
    <row r="783" spans="1:23" ht="15" customHeight="1" x14ac:dyDescent="0.25">
      <c r="A783">
        <v>1603</v>
      </c>
      <c r="B783" s="1">
        <v>45786.583333333343</v>
      </c>
      <c r="C783">
        <v>14</v>
      </c>
      <c r="D783" t="s">
        <v>58</v>
      </c>
      <c r="E783">
        <v>5</v>
      </c>
      <c r="F783" t="s">
        <v>35</v>
      </c>
      <c r="G783" t="s">
        <v>33</v>
      </c>
      <c r="H783" t="s">
        <v>49</v>
      </c>
      <c r="I783" t="s">
        <v>27</v>
      </c>
      <c r="J783" t="s">
        <v>18</v>
      </c>
      <c r="K783" s="2">
        <v>26000</v>
      </c>
      <c r="L783" s="3">
        <v>26.8</v>
      </c>
      <c r="M783" s="3">
        <v>57.5</v>
      </c>
      <c r="N783" s="3">
        <v>604.29999999999995</v>
      </c>
      <c r="O783" s="2">
        <v>163</v>
      </c>
      <c r="P783">
        <v>1</v>
      </c>
      <c r="Q783" t="s">
        <v>20</v>
      </c>
      <c r="R783" s="4">
        <v>145.93</v>
      </c>
      <c r="S783" s="4">
        <v>160.27000000000001</v>
      </c>
      <c r="T783" t="s">
        <v>34</v>
      </c>
      <c r="U783" s="4">
        <v>-0.82</v>
      </c>
      <c r="V783" s="4">
        <v>5.6130000000000004</v>
      </c>
      <c r="W783" s="4">
        <v>0</v>
      </c>
    </row>
    <row r="784" spans="1:23" ht="15" customHeight="1" x14ac:dyDescent="0.25">
      <c r="A784">
        <v>1235</v>
      </c>
      <c r="B784" s="1">
        <v>45786.583333333343</v>
      </c>
      <c r="C784">
        <v>14</v>
      </c>
      <c r="D784" t="s">
        <v>58</v>
      </c>
      <c r="E784">
        <v>5</v>
      </c>
      <c r="F784" t="s">
        <v>35</v>
      </c>
      <c r="G784" t="s">
        <v>33</v>
      </c>
      <c r="H784" t="s">
        <v>51</v>
      </c>
      <c r="I784" t="s">
        <v>25</v>
      </c>
      <c r="J784" t="s">
        <v>15</v>
      </c>
      <c r="K784" s="2">
        <v>17400</v>
      </c>
      <c r="L784" s="3">
        <v>26.8</v>
      </c>
      <c r="M784" s="3">
        <v>53.7</v>
      </c>
      <c r="N784" s="3">
        <v>755</v>
      </c>
      <c r="O784" s="2">
        <v>1434</v>
      </c>
      <c r="P784">
        <v>1</v>
      </c>
      <c r="Q784" t="s">
        <v>20</v>
      </c>
      <c r="R784" s="4">
        <v>225.81</v>
      </c>
      <c r="S784" s="4">
        <v>101.17</v>
      </c>
      <c r="T784" t="s">
        <v>34</v>
      </c>
      <c r="U784" s="4">
        <v>17.47</v>
      </c>
      <c r="V784" s="4">
        <v>12.978</v>
      </c>
      <c r="W784" s="4">
        <v>124.64</v>
      </c>
    </row>
    <row r="785" spans="1:23" ht="15" customHeight="1" x14ac:dyDescent="0.25">
      <c r="A785">
        <v>499</v>
      </c>
      <c r="B785" s="1">
        <v>45786.583333333343</v>
      </c>
      <c r="C785">
        <v>14</v>
      </c>
      <c r="D785" t="s">
        <v>58</v>
      </c>
      <c r="E785">
        <v>5</v>
      </c>
      <c r="F785" t="s">
        <v>35</v>
      </c>
      <c r="G785" t="s">
        <v>33</v>
      </c>
      <c r="H785" t="s">
        <v>54</v>
      </c>
      <c r="I785" t="s">
        <v>16</v>
      </c>
      <c r="J785" t="s">
        <v>24</v>
      </c>
      <c r="K785" s="2">
        <v>8600</v>
      </c>
      <c r="L785" s="3">
        <v>20.100000000000001</v>
      </c>
      <c r="M785" s="3">
        <v>83.8</v>
      </c>
      <c r="N785" s="3">
        <v>510.5</v>
      </c>
      <c r="O785" s="2">
        <v>845</v>
      </c>
      <c r="P785">
        <v>0</v>
      </c>
      <c r="Q785" t="s">
        <v>14</v>
      </c>
      <c r="R785" s="4">
        <v>83.18</v>
      </c>
      <c r="S785" s="4">
        <v>39.020000000000003</v>
      </c>
      <c r="T785" t="s">
        <v>34</v>
      </c>
      <c r="U785" s="4">
        <v>6.09</v>
      </c>
      <c r="V785" s="4">
        <v>9.6720000000000006</v>
      </c>
      <c r="W785" s="4">
        <v>44.16</v>
      </c>
    </row>
    <row r="786" spans="1:23" ht="15" customHeight="1" x14ac:dyDescent="0.25">
      <c r="A786">
        <v>131</v>
      </c>
      <c r="B786" s="1">
        <v>45786.583333333343</v>
      </c>
      <c r="C786">
        <v>14</v>
      </c>
      <c r="D786" t="s">
        <v>58</v>
      </c>
      <c r="E786">
        <v>5</v>
      </c>
      <c r="F786" t="s">
        <v>35</v>
      </c>
      <c r="G786" t="s">
        <v>33</v>
      </c>
      <c r="H786" t="s">
        <v>53</v>
      </c>
      <c r="I786" t="s">
        <v>19</v>
      </c>
      <c r="J786" t="s">
        <v>26</v>
      </c>
      <c r="K786" s="2">
        <v>12500</v>
      </c>
      <c r="L786" s="3">
        <v>25.3</v>
      </c>
      <c r="M786" s="3">
        <v>53.6</v>
      </c>
      <c r="N786" s="3">
        <v>748.5</v>
      </c>
      <c r="O786" s="2">
        <v>600</v>
      </c>
      <c r="P786">
        <v>1</v>
      </c>
      <c r="Q786" t="s">
        <v>20</v>
      </c>
      <c r="R786" s="4">
        <v>110.82</v>
      </c>
      <c r="S786" s="4">
        <v>114.31</v>
      </c>
      <c r="T786" t="s">
        <v>34</v>
      </c>
      <c r="U786" s="4">
        <v>-0.2</v>
      </c>
      <c r="V786" s="4">
        <v>8.8659999999999997</v>
      </c>
      <c r="W786" s="4">
        <v>0</v>
      </c>
    </row>
    <row r="787" spans="1:23" ht="15" customHeight="1" x14ac:dyDescent="0.25">
      <c r="A787">
        <v>867</v>
      </c>
      <c r="B787" s="1">
        <v>45786.583333333343</v>
      </c>
      <c r="C787">
        <v>14</v>
      </c>
      <c r="D787" t="s">
        <v>58</v>
      </c>
      <c r="E787">
        <v>5</v>
      </c>
      <c r="F787" t="s">
        <v>35</v>
      </c>
      <c r="G787" t="s">
        <v>33</v>
      </c>
      <c r="H787" t="s">
        <v>50</v>
      </c>
      <c r="I787" t="s">
        <v>22</v>
      </c>
      <c r="J787" t="s">
        <v>12</v>
      </c>
      <c r="K787" s="2">
        <v>21000</v>
      </c>
      <c r="L787" s="3">
        <v>27.2</v>
      </c>
      <c r="M787" s="3">
        <v>49.4</v>
      </c>
      <c r="N787" s="3">
        <v>730.4</v>
      </c>
      <c r="O787" s="2">
        <v>392</v>
      </c>
      <c r="P787">
        <v>1</v>
      </c>
      <c r="Q787" t="s">
        <v>20</v>
      </c>
      <c r="R787" s="4">
        <v>210.36</v>
      </c>
      <c r="S787" s="4">
        <v>165.61</v>
      </c>
      <c r="T787" t="s">
        <v>34</v>
      </c>
      <c r="U787" s="4">
        <v>6.24</v>
      </c>
      <c r="V787" s="4">
        <v>10.016999999999999</v>
      </c>
      <c r="W787" s="4">
        <v>44.75</v>
      </c>
    </row>
    <row r="788" spans="1:23" ht="15" customHeight="1" x14ac:dyDescent="0.25">
      <c r="A788">
        <v>1236</v>
      </c>
      <c r="B788" s="1">
        <v>45786.833333333343</v>
      </c>
      <c r="C788">
        <v>20</v>
      </c>
      <c r="D788" t="s">
        <v>58</v>
      </c>
      <c r="E788">
        <v>5</v>
      </c>
      <c r="F788" t="s">
        <v>35</v>
      </c>
      <c r="G788" t="s">
        <v>33</v>
      </c>
      <c r="H788" t="s">
        <v>51</v>
      </c>
      <c r="I788" t="s">
        <v>25</v>
      </c>
      <c r="J788" t="s">
        <v>15</v>
      </c>
      <c r="K788" s="2">
        <v>17400</v>
      </c>
      <c r="L788" s="3">
        <v>21.8</v>
      </c>
      <c r="M788" s="3">
        <v>71.3</v>
      </c>
      <c r="N788" s="3">
        <v>0</v>
      </c>
      <c r="O788" s="2">
        <v>1403</v>
      </c>
      <c r="P788">
        <v>0</v>
      </c>
      <c r="Q788" t="s">
        <v>14</v>
      </c>
      <c r="R788" s="4">
        <v>280.23</v>
      </c>
      <c r="S788" s="4">
        <v>0</v>
      </c>
      <c r="T788" t="s">
        <v>37</v>
      </c>
      <c r="U788" s="4">
        <v>60.78</v>
      </c>
      <c r="V788" s="4">
        <v>16.105</v>
      </c>
      <c r="W788" s="4">
        <v>280.23</v>
      </c>
    </row>
    <row r="789" spans="1:23" ht="15" customHeight="1" x14ac:dyDescent="0.25">
      <c r="A789">
        <v>868</v>
      </c>
      <c r="B789" s="1">
        <v>45786.833333333343</v>
      </c>
      <c r="C789">
        <v>20</v>
      </c>
      <c r="D789" t="s">
        <v>58</v>
      </c>
      <c r="E789">
        <v>5</v>
      </c>
      <c r="F789" t="s">
        <v>35</v>
      </c>
      <c r="G789" t="s">
        <v>33</v>
      </c>
      <c r="H789" t="s">
        <v>50</v>
      </c>
      <c r="I789" t="s">
        <v>22</v>
      </c>
      <c r="J789" t="s">
        <v>12</v>
      </c>
      <c r="K789" s="2">
        <v>21000</v>
      </c>
      <c r="L789" s="3">
        <v>24</v>
      </c>
      <c r="M789" s="3">
        <v>63.9</v>
      </c>
      <c r="N789" s="3">
        <v>0</v>
      </c>
      <c r="O789" s="2">
        <v>386</v>
      </c>
      <c r="P789">
        <v>1</v>
      </c>
      <c r="Q789" t="s">
        <v>23</v>
      </c>
      <c r="R789" s="4">
        <v>288.49</v>
      </c>
      <c r="S789" s="4">
        <v>0</v>
      </c>
      <c r="T789" t="s">
        <v>37</v>
      </c>
      <c r="U789" s="4">
        <v>60.61</v>
      </c>
      <c r="V789" s="4">
        <v>13.738</v>
      </c>
      <c r="W789" s="4">
        <v>288.49</v>
      </c>
    </row>
    <row r="790" spans="1:23" ht="15" customHeight="1" x14ac:dyDescent="0.25">
      <c r="A790">
        <v>1604</v>
      </c>
      <c r="B790" s="1">
        <v>45786.833333333343</v>
      </c>
      <c r="C790">
        <v>20</v>
      </c>
      <c r="D790" t="s">
        <v>58</v>
      </c>
      <c r="E790">
        <v>5</v>
      </c>
      <c r="F790" t="s">
        <v>35</v>
      </c>
      <c r="G790" t="s">
        <v>33</v>
      </c>
      <c r="H790" t="s">
        <v>49</v>
      </c>
      <c r="I790" t="s">
        <v>27</v>
      </c>
      <c r="J790" t="s">
        <v>18</v>
      </c>
      <c r="K790" s="2">
        <v>26000</v>
      </c>
      <c r="L790" s="3">
        <v>22.2</v>
      </c>
      <c r="M790" s="3">
        <v>50.4</v>
      </c>
      <c r="N790" s="3">
        <v>3.1</v>
      </c>
      <c r="O790" s="2">
        <v>179</v>
      </c>
      <c r="P790">
        <v>0</v>
      </c>
      <c r="Q790" t="s">
        <v>14</v>
      </c>
      <c r="R790" s="4">
        <v>262.85000000000002</v>
      </c>
      <c r="S790" s="4">
        <v>0.82</v>
      </c>
      <c r="T790" t="s">
        <v>37</v>
      </c>
      <c r="U790" s="4">
        <v>55.08</v>
      </c>
      <c r="V790" s="4">
        <v>10.11</v>
      </c>
      <c r="W790" s="4">
        <v>262.02999999999997</v>
      </c>
    </row>
    <row r="791" spans="1:23" ht="15" customHeight="1" x14ac:dyDescent="0.25">
      <c r="A791">
        <v>132</v>
      </c>
      <c r="B791" s="1">
        <v>45786.833333333343</v>
      </c>
      <c r="C791">
        <v>20</v>
      </c>
      <c r="D791" t="s">
        <v>58</v>
      </c>
      <c r="E791">
        <v>5</v>
      </c>
      <c r="F791" t="s">
        <v>35</v>
      </c>
      <c r="G791" t="s">
        <v>33</v>
      </c>
      <c r="H791" t="s">
        <v>53</v>
      </c>
      <c r="I791" t="s">
        <v>19</v>
      </c>
      <c r="J791" t="s">
        <v>26</v>
      </c>
      <c r="K791" s="2">
        <v>12500</v>
      </c>
      <c r="L791" s="3">
        <v>20</v>
      </c>
      <c r="M791" s="3">
        <v>43</v>
      </c>
      <c r="N791" s="3">
        <v>0</v>
      </c>
      <c r="O791" s="2">
        <v>38</v>
      </c>
      <c r="P791">
        <v>0</v>
      </c>
      <c r="Q791" t="s">
        <v>14</v>
      </c>
      <c r="R791" s="4">
        <v>36.46</v>
      </c>
      <c r="S791" s="4">
        <v>0</v>
      </c>
      <c r="T791" t="s">
        <v>37</v>
      </c>
      <c r="U791" s="4">
        <v>7.86</v>
      </c>
      <c r="V791" s="4">
        <v>2.9169999999999998</v>
      </c>
      <c r="W791" s="4">
        <v>36.46</v>
      </c>
    </row>
    <row r="792" spans="1:23" ht="15" customHeight="1" x14ac:dyDescent="0.25">
      <c r="A792">
        <v>1972</v>
      </c>
      <c r="B792" s="1">
        <v>45786.833333333343</v>
      </c>
      <c r="C792">
        <v>20</v>
      </c>
      <c r="D792" t="s">
        <v>58</v>
      </c>
      <c r="E792">
        <v>5</v>
      </c>
      <c r="F792" t="s">
        <v>35</v>
      </c>
      <c r="G792" t="s">
        <v>33</v>
      </c>
      <c r="H792" t="s">
        <v>52</v>
      </c>
      <c r="I792" t="s">
        <v>13</v>
      </c>
      <c r="J792" t="s">
        <v>21</v>
      </c>
      <c r="K792" s="2">
        <v>9800</v>
      </c>
      <c r="L792" s="3">
        <v>20.8</v>
      </c>
      <c r="M792" s="3">
        <v>71.8</v>
      </c>
      <c r="N792" s="3">
        <v>4.2</v>
      </c>
      <c r="O792" s="2">
        <v>311</v>
      </c>
      <c r="P792">
        <v>0</v>
      </c>
      <c r="Q792" t="s">
        <v>14</v>
      </c>
      <c r="R792" s="4">
        <v>87.72</v>
      </c>
      <c r="S792" s="4">
        <v>0</v>
      </c>
      <c r="T792" t="s">
        <v>37</v>
      </c>
      <c r="U792" s="4">
        <v>18.28</v>
      </c>
      <c r="V792" s="4">
        <v>8.9510000000000005</v>
      </c>
      <c r="W792" s="4">
        <v>87.72</v>
      </c>
    </row>
    <row r="793" spans="1:23" ht="15" customHeight="1" x14ac:dyDescent="0.25">
      <c r="A793">
        <v>500</v>
      </c>
      <c r="B793" s="1">
        <v>45786.833333333343</v>
      </c>
      <c r="C793">
        <v>20</v>
      </c>
      <c r="D793" t="s">
        <v>58</v>
      </c>
      <c r="E793">
        <v>5</v>
      </c>
      <c r="F793" t="s">
        <v>35</v>
      </c>
      <c r="G793" t="s">
        <v>33</v>
      </c>
      <c r="H793" t="s">
        <v>54</v>
      </c>
      <c r="I793" t="s">
        <v>16</v>
      </c>
      <c r="J793" t="s">
        <v>24</v>
      </c>
      <c r="K793" s="2">
        <v>8600</v>
      </c>
      <c r="L793" s="3">
        <v>15.8</v>
      </c>
      <c r="M793" s="3">
        <v>98.8</v>
      </c>
      <c r="N793" s="3">
        <v>0</v>
      </c>
      <c r="O793" s="2">
        <v>93</v>
      </c>
      <c r="P793">
        <v>1</v>
      </c>
      <c r="Q793" t="s">
        <v>23</v>
      </c>
      <c r="R793" s="4">
        <v>23.26</v>
      </c>
      <c r="S793" s="4">
        <v>0</v>
      </c>
      <c r="T793" t="s">
        <v>37</v>
      </c>
      <c r="U793" s="4">
        <v>5</v>
      </c>
      <c r="V793" s="4">
        <v>2.7050000000000001</v>
      </c>
      <c r="W793" s="4">
        <v>23.26</v>
      </c>
    </row>
    <row r="794" spans="1:23" ht="15" customHeight="1" x14ac:dyDescent="0.25">
      <c r="A794">
        <v>133</v>
      </c>
      <c r="B794" s="1">
        <v>45790</v>
      </c>
      <c r="C794">
        <v>0</v>
      </c>
      <c r="D794" t="s">
        <v>59</v>
      </c>
      <c r="E794">
        <v>5</v>
      </c>
      <c r="F794" t="s">
        <v>35</v>
      </c>
      <c r="G794" t="s">
        <v>33</v>
      </c>
      <c r="H794" t="s">
        <v>53</v>
      </c>
      <c r="I794" t="s">
        <v>19</v>
      </c>
      <c r="J794" t="s">
        <v>26</v>
      </c>
      <c r="K794" s="2">
        <v>12500</v>
      </c>
      <c r="L794" s="3">
        <v>14.6</v>
      </c>
      <c r="M794" s="3">
        <v>50.7</v>
      </c>
      <c r="N794" s="3">
        <v>0</v>
      </c>
      <c r="O794" s="2">
        <v>41</v>
      </c>
      <c r="P794">
        <v>0</v>
      </c>
      <c r="Q794" t="s">
        <v>14</v>
      </c>
      <c r="R794" s="4">
        <v>26.88</v>
      </c>
      <c r="S794" s="4">
        <v>0</v>
      </c>
      <c r="T794" t="s">
        <v>31</v>
      </c>
      <c r="U794" s="4">
        <v>2.34</v>
      </c>
      <c r="V794" s="4">
        <v>2.15</v>
      </c>
      <c r="W794" s="4">
        <v>26.88</v>
      </c>
    </row>
    <row r="795" spans="1:23" ht="15" customHeight="1" x14ac:dyDescent="0.25">
      <c r="A795">
        <v>1605</v>
      </c>
      <c r="B795" s="1">
        <v>45790</v>
      </c>
      <c r="C795">
        <v>0</v>
      </c>
      <c r="D795" t="s">
        <v>59</v>
      </c>
      <c r="E795">
        <v>5</v>
      </c>
      <c r="F795" t="s">
        <v>35</v>
      </c>
      <c r="G795" t="s">
        <v>33</v>
      </c>
      <c r="H795" t="s">
        <v>49</v>
      </c>
      <c r="I795" t="s">
        <v>27</v>
      </c>
      <c r="J795" t="s">
        <v>18</v>
      </c>
      <c r="K795" s="2">
        <v>26000</v>
      </c>
      <c r="L795" s="3">
        <v>15.3</v>
      </c>
      <c r="M795" s="3">
        <v>69.900000000000006</v>
      </c>
      <c r="N795" s="3">
        <v>0</v>
      </c>
      <c r="O795" s="2">
        <v>45</v>
      </c>
      <c r="P795">
        <v>1</v>
      </c>
      <c r="Q795" t="s">
        <v>23</v>
      </c>
      <c r="R795" s="4">
        <v>106.66</v>
      </c>
      <c r="S795" s="4">
        <v>0</v>
      </c>
      <c r="T795" t="s">
        <v>31</v>
      </c>
      <c r="U795" s="4">
        <v>9.4499999999999993</v>
      </c>
      <c r="V795" s="4">
        <v>4.1020000000000003</v>
      </c>
      <c r="W795" s="4">
        <v>106.66</v>
      </c>
    </row>
    <row r="796" spans="1:23" ht="15" customHeight="1" x14ac:dyDescent="0.25">
      <c r="A796">
        <v>1237</v>
      </c>
      <c r="B796" s="1">
        <v>45790</v>
      </c>
      <c r="C796">
        <v>0</v>
      </c>
      <c r="D796" t="s">
        <v>59</v>
      </c>
      <c r="E796">
        <v>5</v>
      </c>
      <c r="F796" t="s">
        <v>35</v>
      </c>
      <c r="G796" t="s">
        <v>33</v>
      </c>
      <c r="H796" t="s">
        <v>51</v>
      </c>
      <c r="I796" t="s">
        <v>25</v>
      </c>
      <c r="J796" t="s">
        <v>15</v>
      </c>
      <c r="K796" s="2">
        <v>17400</v>
      </c>
      <c r="L796" s="3">
        <v>20.9</v>
      </c>
      <c r="M796" s="3">
        <v>80.900000000000006</v>
      </c>
      <c r="N796" s="3">
        <v>0</v>
      </c>
      <c r="O796" s="2">
        <v>108</v>
      </c>
      <c r="P796">
        <v>0</v>
      </c>
      <c r="Q796" t="s">
        <v>14</v>
      </c>
      <c r="R796" s="4">
        <v>55.3</v>
      </c>
      <c r="S796" s="4">
        <v>0</v>
      </c>
      <c r="T796" t="s">
        <v>31</v>
      </c>
      <c r="U796" s="4">
        <v>4.6900000000000004</v>
      </c>
      <c r="V796" s="4">
        <v>3.1779999999999999</v>
      </c>
      <c r="W796" s="4">
        <v>55.3</v>
      </c>
    </row>
    <row r="797" spans="1:23" ht="15" customHeight="1" x14ac:dyDescent="0.25">
      <c r="A797">
        <v>1973</v>
      </c>
      <c r="B797" s="1">
        <v>45790</v>
      </c>
      <c r="C797">
        <v>0</v>
      </c>
      <c r="D797" t="s">
        <v>59</v>
      </c>
      <c r="E797">
        <v>5</v>
      </c>
      <c r="F797" t="s">
        <v>35</v>
      </c>
      <c r="G797" t="s">
        <v>33</v>
      </c>
      <c r="H797" t="s">
        <v>52</v>
      </c>
      <c r="I797" t="s">
        <v>13</v>
      </c>
      <c r="J797" t="s">
        <v>21</v>
      </c>
      <c r="K797" s="2">
        <v>9800</v>
      </c>
      <c r="L797" s="3">
        <v>15.7</v>
      </c>
      <c r="M797" s="3">
        <v>75</v>
      </c>
      <c r="N797" s="3">
        <v>0</v>
      </c>
      <c r="O797" s="2">
        <v>310</v>
      </c>
      <c r="P797">
        <v>1</v>
      </c>
      <c r="Q797" t="s">
        <v>23</v>
      </c>
      <c r="R797" s="4">
        <v>99.05</v>
      </c>
      <c r="S797" s="4">
        <v>0</v>
      </c>
      <c r="T797" t="s">
        <v>31</v>
      </c>
      <c r="U797" s="4">
        <v>8.6300000000000008</v>
      </c>
      <c r="V797" s="4">
        <v>10.106999999999999</v>
      </c>
      <c r="W797" s="4">
        <v>99.05</v>
      </c>
    </row>
    <row r="798" spans="1:23" ht="15" customHeight="1" x14ac:dyDescent="0.25">
      <c r="A798">
        <v>869</v>
      </c>
      <c r="B798" s="1">
        <v>45790</v>
      </c>
      <c r="C798">
        <v>0</v>
      </c>
      <c r="D798" t="s">
        <v>59</v>
      </c>
      <c r="E798">
        <v>5</v>
      </c>
      <c r="F798" t="s">
        <v>35</v>
      </c>
      <c r="G798" t="s">
        <v>33</v>
      </c>
      <c r="H798" t="s">
        <v>50</v>
      </c>
      <c r="I798" t="s">
        <v>22</v>
      </c>
      <c r="J798" t="s">
        <v>12</v>
      </c>
      <c r="K798" s="2">
        <v>21000</v>
      </c>
      <c r="L798" s="3">
        <v>19.399999999999999</v>
      </c>
      <c r="M798" s="3">
        <v>61.6</v>
      </c>
      <c r="N798" s="3">
        <v>0</v>
      </c>
      <c r="O798" s="2">
        <v>188</v>
      </c>
      <c r="P798">
        <v>0</v>
      </c>
      <c r="Q798" t="s">
        <v>14</v>
      </c>
      <c r="R798" s="4"/>
      <c r="S798" s="4">
        <v>0</v>
      </c>
      <c r="T798" t="s">
        <v>31</v>
      </c>
      <c r="U798" s="4">
        <v>14.86</v>
      </c>
      <c r="V798" s="4"/>
      <c r="W798" s="4"/>
    </row>
    <row r="799" spans="1:23" ht="15" customHeight="1" x14ac:dyDescent="0.25">
      <c r="A799">
        <v>501</v>
      </c>
      <c r="B799" s="1">
        <v>45790</v>
      </c>
      <c r="C799">
        <v>0</v>
      </c>
      <c r="D799" t="s">
        <v>59</v>
      </c>
      <c r="E799">
        <v>5</v>
      </c>
      <c r="F799" t="s">
        <v>35</v>
      </c>
      <c r="G799" t="s">
        <v>33</v>
      </c>
      <c r="H799" t="s">
        <v>54</v>
      </c>
      <c r="I799" t="s">
        <v>16</v>
      </c>
      <c r="J799" t="s">
        <v>24</v>
      </c>
      <c r="K799" s="2">
        <v>8600</v>
      </c>
      <c r="L799" s="3">
        <v>15.1</v>
      </c>
      <c r="M799" s="3">
        <v>85.9</v>
      </c>
      <c r="N799" s="3">
        <v>0</v>
      </c>
      <c r="O799" s="2">
        <v>45</v>
      </c>
      <c r="P799">
        <v>1</v>
      </c>
      <c r="Q799" t="s">
        <v>23</v>
      </c>
      <c r="R799" s="4">
        <v>18.239999999999998</v>
      </c>
      <c r="S799" s="4">
        <v>0</v>
      </c>
      <c r="T799" t="s">
        <v>31</v>
      </c>
      <c r="U799" s="4">
        <v>1.61</v>
      </c>
      <c r="V799" s="4">
        <v>2.121</v>
      </c>
      <c r="W799" s="4">
        <v>18.239999999999998</v>
      </c>
    </row>
    <row r="800" spans="1:23" ht="15" customHeight="1" x14ac:dyDescent="0.25">
      <c r="A800">
        <v>1974</v>
      </c>
      <c r="B800" s="1">
        <v>45790.333333333343</v>
      </c>
      <c r="C800">
        <v>8</v>
      </c>
      <c r="D800" t="s">
        <v>59</v>
      </c>
      <c r="E800">
        <v>5</v>
      </c>
      <c r="F800" t="s">
        <v>35</v>
      </c>
      <c r="G800" t="s">
        <v>33</v>
      </c>
      <c r="H800" t="s">
        <v>52</v>
      </c>
      <c r="I800" t="s">
        <v>13</v>
      </c>
      <c r="J800" t="s">
        <v>21</v>
      </c>
      <c r="K800" s="2">
        <v>9800</v>
      </c>
      <c r="L800" s="3"/>
      <c r="M800" s="3">
        <v>67.900000000000006</v>
      </c>
      <c r="N800" s="3">
        <v>244.7</v>
      </c>
      <c r="O800" s="2">
        <v>80</v>
      </c>
      <c r="P800">
        <v>0</v>
      </c>
      <c r="Q800" t="s">
        <v>14</v>
      </c>
      <c r="R800" s="4">
        <v>19.899999999999999</v>
      </c>
      <c r="S800" s="4">
        <v>0</v>
      </c>
      <c r="T800" t="s">
        <v>34</v>
      </c>
      <c r="U800" s="4">
        <v>2.71</v>
      </c>
      <c r="V800" s="4">
        <v>2.0310000000000001</v>
      </c>
      <c r="W800" s="4">
        <v>19.899999999999999</v>
      </c>
    </row>
    <row r="801" spans="1:23" ht="15" customHeight="1" x14ac:dyDescent="0.25">
      <c r="A801">
        <v>1238</v>
      </c>
      <c r="B801" s="1">
        <v>45790.333333333343</v>
      </c>
      <c r="C801">
        <v>8</v>
      </c>
      <c r="D801" t="s">
        <v>59</v>
      </c>
      <c r="E801">
        <v>5</v>
      </c>
      <c r="F801" t="s">
        <v>35</v>
      </c>
      <c r="G801" t="s">
        <v>33</v>
      </c>
      <c r="H801" t="s">
        <v>51</v>
      </c>
      <c r="I801" t="s">
        <v>25</v>
      </c>
      <c r="J801" t="s">
        <v>15</v>
      </c>
      <c r="K801" s="2">
        <v>17400</v>
      </c>
      <c r="L801" s="3">
        <v>20</v>
      </c>
      <c r="M801" s="3">
        <v>83.3</v>
      </c>
      <c r="N801" s="3">
        <v>232.5</v>
      </c>
      <c r="O801" s="2">
        <v>131</v>
      </c>
      <c r="P801">
        <v>0</v>
      </c>
      <c r="Q801" t="s">
        <v>14</v>
      </c>
      <c r="R801" s="4">
        <v>41.16</v>
      </c>
      <c r="S801" s="4">
        <v>30.29</v>
      </c>
      <c r="T801" t="s">
        <v>34</v>
      </c>
      <c r="U801" s="4">
        <v>1.48</v>
      </c>
      <c r="V801" s="4">
        <v>2.3660000000000001</v>
      </c>
      <c r="W801" s="4">
        <v>10.87</v>
      </c>
    </row>
    <row r="802" spans="1:23" ht="15" customHeight="1" x14ac:dyDescent="0.25">
      <c r="A802">
        <v>134</v>
      </c>
      <c r="B802" s="1">
        <v>45790.333333333343</v>
      </c>
      <c r="C802">
        <v>8</v>
      </c>
      <c r="D802" t="s">
        <v>59</v>
      </c>
      <c r="E802">
        <v>5</v>
      </c>
      <c r="F802" t="s">
        <v>35</v>
      </c>
      <c r="G802" t="s">
        <v>33</v>
      </c>
      <c r="H802" t="s">
        <v>53</v>
      </c>
      <c r="I802" t="s">
        <v>19</v>
      </c>
      <c r="J802" t="s">
        <v>26</v>
      </c>
      <c r="K802" s="2">
        <v>12500</v>
      </c>
      <c r="L802" s="3">
        <v>14.7</v>
      </c>
      <c r="M802" s="3">
        <v>61.1</v>
      </c>
      <c r="N802" s="3">
        <v>275.2</v>
      </c>
      <c r="O802" s="2">
        <v>312</v>
      </c>
      <c r="P802">
        <v>1</v>
      </c>
      <c r="Q802" t="s">
        <v>23</v>
      </c>
      <c r="R802" s="4">
        <v>67.92</v>
      </c>
      <c r="S802" s="4">
        <v>37.99</v>
      </c>
      <c r="T802" t="s">
        <v>34</v>
      </c>
      <c r="U802" s="4">
        <v>4.0999999999999996</v>
      </c>
      <c r="V802" s="4">
        <v>5.4340000000000002</v>
      </c>
      <c r="W802" s="4">
        <v>29.93</v>
      </c>
    </row>
    <row r="803" spans="1:23" ht="15" customHeight="1" x14ac:dyDescent="0.25">
      <c r="A803">
        <v>502</v>
      </c>
      <c r="B803" s="1">
        <v>45790.333333333343</v>
      </c>
      <c r="C803">
        <v>8</v>
      </c>
      <c r="D803" t="s">
        <v>59</v>
      </c>
      <c r="E803">
        <v>5</v>
      </c>
      <c r="F803" t="s">
        <v>35</v>
      </c>
      <c r="G803" t="s">
        <v>33</v>
      </c>
      <c r="H803" t="s">
        <v>54</v>
      </c>
      <c r="I803" t="s">
        <v>16</v>
      </c>
      <c r="J803" t="s">
        <v>24</v>
      </c>
      <c r="K803" s="2">
        <v>8600</v>
      </c>
      <c r="L803" s="3">
        <v>12.2</v>
      </c>
      <c r="M803" s="3">
        <v>78.5</v>
      </c>
      <c r="N803" s="3">
        <v>294.2</v>
      </c>
      <c r="O803" s="2">
        <v>844</v>
      </c>
      <c r="P803">
        <v>1</v>
      </c>
      <c r="Q803" t="s">
        <v>17</v>
      </c>
      <c r="R803" s="4">
        <v>91.74</v>
      </c>
      <c r="S803" s="4">
        <v>22.11</v>
      </c>
      <c r="T803" t="s">
        <v>34</v>
      </c>
      <c r="U803" s="4">
        <v>9.56</v>
      </c>
      <c r="V803" s="4">
        <v>10.667</v>
      </c>
      <c r="W803" s="4">
        <v>69.63</v>
      </c>
    </row>
    <row r="804" spans="1:23" ht="15" customHeight="1" x14ac:dyDescent="0.25">
      <c r="A804">
        <v>1606</v>
      </c>
      <c r="B804" s="1">
        <v>45790.333333333343</v>
      </c>
      <c r="C804">
        <v>8</v>
      </c>
      <c r="D804" t="s">
        <v>59</v>
      </c>
      <c r="E804">
        <v>5</v>
      </c>
      <c r="F804" t="s">
        <v>35</v>
      </c>
      <c r="G804" t="s">
        <v>33</v>
      </c>
      <c r="H804" t="s">
        <v>49</v>
      </c>
      <c r="I804" t="s">
        <v>27</v>
      </c>
      <c r="J804" t="s">
        <v>18</v>
      </c>
      <c r="K804" s="2">
        <v>26000</v>
      </c>
      <c r="L804" s="3">
        <v>19</v>
      </c>
      <c r="M804" s="3">
        <v>87.7</v>
      </c>
      <c r="N804" s="3">
        <v>226.5</v>
      </c>
      <c r="O804" s="2">
        <v>164</v>
      </c>
      <c r="P804">
        <v>0</v>
      </c>
      <c r="Q804" t="s">
        <v>14</v>
      </c>
      <c r="R804" s="4">
        <v>166.27</v>
      </c>
      <c r="S804" s="4">
        <v>59.06</v>
      </c>
      <c r="T804" t="s">
        <v>34</v>
      </c>
      <c r="U804" s="4">
        <v>14.62</v>
      </c>
      <c r="V804" s="4">
        <v>6.3949999999999996</v>
      </c>
      <c r="W804" s="4">
        <v>107.21</v>
      </c>
    </row>
    <row r="805" spans="1:23" ht="15" customHeight="1" x14ac:dyDescent="0.25">
      <c r="A805">
        <v>870</v>
      </c>
      <c r="B805" s="1">
        <v>45790.333333333343</v>
      </c>
      <c r="C805">
        <v>8</v>
      </c>
      <c r="D805" t="s">
        <v>59</v>
      </c>
      <c r="E805">
        <v>5</v>
      </c>
      <c r="F805" t="s">
        <v>35</v>
      </c>
      <c r="G805" t="s">
        <v>33</v>
      </c>
      <c r="H805" t="s">
        <v>50</v>
      </c>
      <c r="I805" t="s">
        <v>22</v>
      </c>
      <c r="J805" t="s">
        <v>12</v>
      </c>
      <c r="K805" s="2">
        <v>21000</v>
      </c>
      <c r="L805" s="3">
        <v>21.4</v>
      </c>
      <c r="M805" s="3">
        <v>62.9</v>
      </c>
      <c r="N805" s="3">
        <v>380.4</v>
      </c>
      <c r="O805" s="2">
        <v>395</v>
      </c>
      <c r="P805">
        <v>0</v>
      </c>
      <c r="Q805" t="s">
        <v>14</v>
      </c>
      <c r="R805" s="4">
        <v>203.36</v>
      </c>
      <c r="S805" s="4">
        <v>78.510000000000005</v>
      </c>
      <c r="T805" t="s">
        <v>34</v>
      </c>
      <c r="U805" s="4">
        <v>17.23</v>
      </c>
      <c r="V805" s="4">
        <v>9.6839999999999993</v>
      </c>
      <c r="W805" s="4">
        <v>124.85</v>
      </c>
    </row>
    <row r="806" spans="1:23" ht="15" customHeight="1" x14ac:dyDescent="0.25">
      <c r="A806">
        <v>1607</v>
      </c>
      <c r="B806" s="1">
        <v>45790.583333333343</v>
      </c>
      <c r="C806">
        <v>14</v>
      </c>
      <c r="D806" t="s">
        <v>59</v>
      </c>
      <c r="E806">
        <v>5</v>
      </c>
      <c r="F806" t="s">
        <v>35</v>
      </c>
      <c r="G806" t="s">
        <v>33</v>
      </c>
      <c r="H806" t="s">
        <v>49</v>
      </c>
      <c r="I806" t="s">
        <v>27</v>
      </c>
      <c r="J806" t="s">
        <v>18</v>
      </c>
      <c r="K806" s="2">
        <v>26000</v>
      </c>
      <c r="L806" s="3">
        <v>26.6</v>
      </c>
      <c r="M806" s="3">
        <v>55.1</v>
      </c>
      <c r="N806" s="3">
        <v>503.4</v>
      </c>
      <c r="O806" s="2">
        <v>166</v>
      </c>
      <c r="P806">
        <v>1</v>
      </c>
      <c r="Q806" t="s">
        <v>20</v>
      </c>
      <c r="R806" s="4">
        <v>169.34</v>
      </c>
      <c r="S806" s="4">
        <v>126.78</v>
      </c>
      <c r="T806" t="s">
        <v>34</v>
      </c>
      <c r="U806" s="4">
        <v>6.09</v>
      </c>
      <c r="V806" s="4">
        <v>6.5129999999999999</v>
      </c>
      <c r="W806" s="4">
        <v>42.56</v>
      </c>
    </row>
    <row r="807" spans="1:23" ht="15" customHeight="1" x14ac:dyDescent="0.25">
      <c r="A807">
        <v>1239</v>
      </c>
      <c r="B807" s="1">
        <v>45790.583333333343</v>
      </c>
      <c r="C807">
        <v>14</v>
      </c>
      <c r="D807" t="s">
        <v>59</v>
      </c>
      <c r="E807">
        <v>5</v>
      </c>
      <c r="F807" t="s">
        <v>35</v>
      </c>
      <c r="G807" t="s">
        <v>33</v>
      </c>
      <c r="H807" t="s">
        <v>51</v>
      </c>
      <c r="I807" t="s">
        <v>25</v>
      </c>
      <c r="J807" t="s">
        <v>15</v>
      </c>
      <c r="K807" s="2">
        <v>17400</v>
      </c>
      <c r="L807" s="3">
        <v>26.1</v>
      </c>
      <c r="M807" s="3">
        <v>65.900000000000006</v>
      </c>
      <c r="N807" s="3">
        <v>826.2</v>
      </c>
      <c r="O807" s="2">
        <v>1399</v>
      </c>
      <c r="P807">
        <v>1</v>
      </c>
      <c r="Q807" t="s">
        <v>20</v>
      </c>
      <c r="R807" s="4">
        <v>215.66</v>
      </c>
      <c r="S807" s="4">
        <v>94.42</v>
      </c>
      <c r="T807" t="s">
        <v>34</v>
      </c>
      <c r="U807" s="4">
        <v>17.25</v>
      </c>
      <c r="V807" s="4">
        <v>12.394</v>
      </c>
      <c r="W807" s="4">
        <v>121.24</v>
      </c>
    </row>
    <row r="808" spans="1:23" ht="15" customHeight="1" x14ac:dyDescent="0.25">
      <c r="A808">
        <v>503</v>
      </c>
      <c r="B808" s="1">
        <v>45790.583333333343</v>
      </c>
      <c r="C808">
        <v>14</v>
      </c>
      <c r="D808" t="s">
        <v>59</v>
      </c>
      <c r="E808">
        <v>5</v>
      </c>
      <c r="F808" t="s">
        <v>35</v>
      </c>
      <c r="G808" t="s">
        <v>33</v>
      </c>
      <c r="H808" t="s">
        <v>54</v>
      </c>
      <c r="I808" t="s">
        <v>16</v>
      </c>
      <c r="J808" t="s">
        <v>24</v>
      </c>
      <c r="K808" s="2">
        <v>8600</v>
      </c>
      <c r="L808" s="3">
        <v>22.1</v>
      </c>
      <c r="M808" s="3">
        <v>74.8</v>
      </c>
      <c r="N808" s="3">
        <v>652.4</v>
      </c>
      <c r="O808" s="2">
        <v>737</v>
      </c>
      <c r="P808">
        <v>0</v>
      </c>
      <c r="Q808" t="s">
        <v>14</v>
      </c>
      <c r="R808" s="4">
        <v>82.45</v>
      </c>
      <c r="S808" s="4">
        <v>48.47</v>
      </c>
      <c r="T808" t="s">
        <v>34</v>
      </c>
      <c r="U808" s="4">
        <v>4.8600000000000003</v>
      </c>
      <c r="V808" s="4">
        <v>9.5869999999999997</v>
      </c>
      <c r="W808" s="4">
        <v>33.979999999999997</v>
      </c>
    </row>
    <row r="809" spans="1:23" ht="15" customHeight="1" x14ac:dyDescent="0.25">
      <c r="A809">
        <v>871</v>
      </c>
      <c r="B809" s="1">
        <v>45790.583333333343</v>
      </c>
      <c r="C809">
        <v>14</v>
      </c>
      <c r="D809" t="s">
        <v>59</v>
      </c>
      <c r="E809">
        <v>5</v>
      </c>
      <c r="F809" t="s">
        <v>35</v>
      </c>
      <c r="G809" t="s">
        <v>33</v>
      </c>
      <c r="H809" t="s">
        <v>50</v>
      </c>
      <c r="I809" t="s">
        <v>22</v>
      </c>
      <c r="J809" t="s">
        <v>12</v>
      </c>
      <c r="K809" s="2">
        <v>21000</v>
      </c>
      <c r="L809" s="3">
        <v>28.8</v>
      </c>
      <c r="M809" s="3">
        <v>52.3</v>
      </c>
      <c r="N809" s="3">
        <v>648.70000000000005</v>
      </c>
      <c r="O809" s="2">
        <v>422</v>
      </c>
      <c r="P809">
        <v>1</v>
      </c>
      <c r="Q809" t="s">
        <v>20</v>
      </c>
      <c r="R809" s="4">
        <v>227.59</v>
      </c>
      <c r="S809" s="4">
        <v>133.63999999999999</v>
      </c>
      <c r="T809" t="s">
        <v>34</v>
      </c>
      <c r="U809" s="4">
        <v>12.92</v>
      </c>
      <c r="V809" s="4">
        <v>10.837999999999999</v>
      </c>
      <c r="W809" s="4">
        <v>93.95</v>
      </c>
    </row>
    <row r="810" spans="1:23" ht="15" customHeight="1" x14ac:dyDescent="0.25">
      <c r="A810">
        <v>1975</v>
      </c>
      <c r="B810" s="1">
        <v>45790.583333333343</v>
      </c>
      <c r="C810">
        <v>14</v>
      </c>
      <c r="D810" t="s">
        <v>59</v>
      </c>
      <c r="E810">
        <v>5</v>
      </c>
      <c r="F810" t="s">
        <v>35</v>
      </c>
      <c r="G810" t="s">
        <v>33</v>
      </c>
      <c r="H810" t="s">
        <v>52</v>
      </c>
      <c r="I810" t="s">
        <v>13</v>
      </c>
      <c r="J810" t="s">
        <v>21</v>
      </c>
      <c r="K810" s="2">
        <v>9800</v>
      </c>
      <c r="L810" s="3">
        <v>26.4</v>
      </c>
      <c r="M810" s="3">
        <v>69.599999999999994</v>
      </c>
      <c r="N810" s="3">
        <v>597.20000000000005</v>
      </c>
      <c r="O810" s="2">
        <v>42</v>
      </c>
      <c r="P810">
        <v>1</v>
      </c>
      <c r="Q810" t="s">
        <v>20</v>
      </c>
      <c r="R810" s="4">
        <v>21.35</v>
      </c>
      <c r="S810" s="4">
        <v>0</v>
      </c>
      <c r="T810" t="s">
        <v>34</v>
      </c>
      <c r="U810" s="4">
        <v>2.97</v>
      </c>
      <c r="V810" s="4">
        <v>2.1789999999999998</v>
      </c>
      <c r="W810" s="4">
        <v>21.35</v>
      </c>
    </row>
    <row r="811" spans="1:23" ht="15" customHeight="1" x14ac:dyDescent="0.25">
      <c r="A811">
        <v>135</v>
      </c>
      <c r="B811" s="1">
        <v>45790.583333333343</v>
      </c>
      <c r="C811">
        <v>14</v>
      </c>
      <c r="D811" t="s">
        <v>59</v>
      </c>
      <c r="E811">
        <v>5</v>
      </c>
      <c r="F811" t="s">
        <v>35</v>
      </c>
      <c r="G811" t="s">
        <v>33</v>
      </c>
      <c r="H811" t="s">
        <v>53</v>
      </c>
      <c r="I811" t="s">
        <v>19</v>
      </c>
      <c r="J811" t="s">
        <v>26</v>
      </c>
      <c r="K811" s="2">
        <v>12500</v>
      </c>
      <c r="L811" s="3">
        <v>27</v>
      </c>
      <c r="M811" s="3">
        <v>61.3</v>
      </c>
      <c r="N811" s="3">
        <v>640.4</v>
      </c>
      <c r="O811" s="2">
        <v>561</v>
      </c>
      <c r="P811">
        <v>1</v>
      </c>
      <c r="Q811" t="s">
        <v>20</v>
      </c>
      <c r="R811" s="4">
        <v>109.13</v>
      </c>
      <c r="S811" s="4">
        <v>95.79</v>
      </c>
      <c r="T811" t="s">
        <v>34</v>
      </c>
      <c r="U811" s="4">
        <v>1.89</v>
      </c>
      <c r="V811" s="4">
        <v>8.73</v>
      </c>
      <c r="W811" s="4">
        <v>13.34</v>
      </c>
    </row>
    <row r="812" spans="1:23" ht="15" customHeight="1" x14ac:dyDescent="0.25">
      <c r="A812">
        <v>504</v>
      </c>
      <c r="B812" s="1">
        <v>45790.833333333343</v>
      </c>
      <c r="C812">
        <v>20</v>
      </c>
      <c r="D812" t="s">
        <v>59</v>
      </c>
      <c r="E812">
        <v>5</v>
      </c>
      <c r="F812" t="s">
        <v>35</v>
      </c>
      <c r="G812" t="s">
        <v>33</v>
      </c>
      <c r="H812" t="s">
        <v>54</v>
      </c>
      <c r="I812" t="s">
        <v>16</v>
      </c>
      <c r="J812" t="s">
        <v>24</v>
      </c>
      <c r="K812" s="2">
        <v>8600</v>
      </c>
      <c r="L812" s="3">
        <v>16.8</v>
      </c>
      <c r="M812" s="3">
        <v>88.5</v>
      </c>
      <c r="N812" s="3">
        <v>66.5</v>
      </c>
      <c r="O812" s="2">
        <v>93</v>
      </c>
      <c r="P812">
        <v>0</v>
      </c>
      <c r="Q812" t="s">
        <v>14</v>
      </c>
      <c r="R812" s="4">
        <v>21.97</v>
      </c>
      <c r="S812" s="4">
        <v>4.82</v>
      </c>
      <c r="T812" t="s">
        <v>37</v>
      </c>
      <c r="U812" s="4">
        <v>3.63</v>
      </c>
      <c r="V812" s="4">
        <v>2.5550000000000002</v>
      </c>
      <c r="W812" s="4">
        <v>17.149999999999999</v>
      </c>
    </row>
    <row r="813" spans="1:23" ht="15" customHeight="1" x14ac:dyDescent="0.25">
      <c r="A813">
        <v>136</v>
      </c>
      <c r="B813" s="1">
        <v>45790.833333333343</v>
      </c>
      <c r="C813">
        <v>20</v>
      </c>
      <c r="D813" t="s">
        <v>59</v>
      </c>
      <c r="E813">
        <v>5</v>
      </c>
      <c r="F813" t="s">
        <v>35</v>
      </c>
      <c r="G813" t="s">
        <v>33</v>
      </c>
      <c r="H813" t="s">
        <v>53</v>
      </c>
      <c r="I813" t="s">
        <v>19</v>
      </c>
      <c r="J813" t="s">
        <v>26</v>
      </c>
      <c r="K813" s="2">
        <v>12500</v>
      </c>
      <c r="L813" s="3">
        <v>19.2</v>
      </c>
      <c r="M813" s="3">
        <v>45.1</v>
      </c>
      <c r="N813" s="3">
        <v>40.799999999999997</v>
      </c>
      <c r="O813" s="2">
        <v>141</v>
      </c>
      <c r="P813">
        <v>0</v>
      </c>
      <c r="Q813" t="s">
        <v>14</v>
      </c>
      <c r="R813" s="4">
        <v>42.47</v>
      </c>
      <c r="S813" s="4">
        <v>6.19</v>
      </c>
      <c r="T813" t="s">
        <v>37</v>
      </c>
      <c r="U813" s="4">
        <v>7.99</v>
      </c>
      <c r="V813" s="4">
        <v>3.3980000000000001</v>
      </c>
      <c r="W813" s="4">
        <v>36.28</v>
      </c>
    </row>
    <row r="814" spans="1:23" ht="15" customHeight="1" x14ac:dyDescent="0.25">
      <c r="A814">
        <v>1976</v>
      </c>
      <c r="B814" s="1">
        <v>45790.833333333343</v>
      </c>
      <c r="C814">
        <v>20</v>
      </c>
      <c r="D814" t="s">
        <v>59</v>
      </c>
      <c r="E814">
        <v>5</v>
      </c>
      <c r="F814" t="s">
        <v>35</v>
      </c>
      <c r="G814" t="s">
        <v>33</v>
      </c>
      <c r="H814" t="s">
        <v>52</v>
      </c>
      <c r="I814" t="s">
        <v>13</v>
      </c>
      <c r="J814" t="s">
        <v>21</v>
      </c>
      <c r="K814" s="2">
        <v>9800</v>
      </c>
      <c r="L814" s="3">
        <v>20.2</v>
      </c>
      <c r="M814" s="3">
        <v>64.900000000000006</v>
      </c>
      <c r="N814" s="3">
        <v>25.8</v>
      </c>
      <c r="O814" s="2">
        <v>308</v>
      </c>
      <c r="P814">
        <v>0</v>
      </c>
      <c r="Q814" t="s">
        <v>14</v>
      </c>
      <c r="R814" s="4">
        <v>90.71</v>
      </c>
      <c r="S814" s="4">
        <v>0</v>
      </c>
      <c r="T814" t="s">
        <v>37</v>
      </c>
      <c r="U814" s="4">
        <v>19.12</v>
      </c>
      <c r="V814" s="4">
        <v>9.2560000000000002</v>
      </c>
      <c r="W814" s="4">
        <v>90.71</v>
      </c>
    </row>
    <row r="815" spans="1:23" ht="15" customHeight="1" x14ac:dyDescent="0.25">
      <c r="A815">
        <v>1240</v>
      </c>
      <c r="B815" s="1">
        <v>45790.833333333343</v>
      </c>
      <c r="C815">
        <v>20</v>
      </c>
      <c r="D815" t="s">
        <v>59</v>
      </c>
      <c r="E815">
        <v>5</v>
      </c>
      <c r="F815" t="s">
        <v>35</v>
      </c>
      <c r="G815" t="s">
        <v>33</v>
      </c>
      <c r="H815" t="s">
        <v>51</v>
      </c>
      <c r="I815" t="s">
        <v>25</v>
      </c>
      <c r="J815" t="s">
        <v>15</v>
      </c>
      <c r="K815" s="2">
        <v>17400</v>
      </c>
      <c r="L815" s="3">
        <v>23.2</v>
      </c>
      <c r="M815" s="3">
        <v>63.8</v>
      </c>
      <c r="N815" s="3">
        <v>2.7</v>
      </c>
      <c r="O815" s="2">
        <v>1371</v>
      </c>
      <c r="P815">
        <v>1</v>
      </c>
      <c r="Q815" t="s">
        <v>23</v>
      </c>
      <c r="R815" s="4">
        <v>274.60000000000002</v>
      </c>
      <c r="S815" s="4">
        <v>0.34</v>
      </c>
      <c r="T815" t="s">
        <v>37</v>
      </c>
      <c r="U815" s="4">
        <v>60.39</v>
      </c>
      <c r="V815" s="4">
        <v>15.782</v>
      </c>
      <c r="W815" s="4">
        <v>274.26</v>
      </c>
    </row>
    <row r="816" spans="1:23" ht="15" customHeight="1" x14ac:dyDescent="0.25">
      <c r="A816">
        <v>872</v>
      </c>
      <c r="B816" s="1">
        <v>45790.833333333343</v>
      </c>
      <c r="C816">
        <v>20</v>
      </c>
      <c r="D816" t="s">
        <v>59</v>
      </c>
      <c r="E816">
        <v>5</v>
      </c>
      <c r="F816" t="s">
        <v>35</v>
      </c>
      <c r="G816" t="s">
        <v>33</v>
      </c>
      <c r="H816" t="s">
        <v>50</v>
      </c>
      <c r="I816" t="s">
        <v>22</v>
      </c>
      <c r="J816" t="s">
        <v>12</v>
      </c>
      <c r="K816" s="2">
        <v>21000</v>
      </c>
      <c r="L816" s="3">
        <v>28.6</v>
      </c>
      <c r="M816" s="3"/>
      <c r="N816" s="3">
        <v>36.799999999999997</v>
      </c>
      <c r="O816" s="2">
        <v>404</v>
      </c>
      <c r="P816">
        <v>1</v>
      </c>
      <c r="Q816" t="s">
        <v>20</v>
      </c>
      <c r="R816" s="4">
        <v>310.23</v>
      </c>
      <c r="S816" s="4">
        <v>7.34</v>
      </c>
      <c r="T816" t="s">
        <v>37</v>
      </c>
      <c r="U816" s="4">
        <v>64.97</v>
      </c>
      <c r="V816" s="4">
        <v>14.773</v>
      </c>
      <c r="W816" s="4">
        <v>302.89</v>
      </c>
    </row>
    <row r="817" spans="1:23" ht="15" customHeight="1" x14ac:dyDescent="0.25">
      <c r="A817">
        <v>1608</v>
      </c>
      <c r="B817" s="1">
        <v>45790.833333333343</v>
      </c>
      <c r="C817">
        <v>20</v>
      </c>
      <c r="D817" t="s">
        <v>59</v>
      </c>
      <c r="E817">
        <v>5</v>
      </c>
      <c r="F817" t="s">
        <v>35</v>
      </c>
      <c r="G817" t="s">
        <v>33</v>
      </c>
      <c r="H817" t="s">
        <v>49</v>
      </c>
      <c r="I817" t="s">
        <v>27</v>
      </c>
      <c r="J817" t="s">
        <v>18</v>
      </c>
      <c r="K817" s="2">
        <v>26000</v>
      </c>
      <c r="L817" s="3">
        <v>19.7</v>
      </c>
      <c r="M817" s="3">
        <v>55.2</v>
      </c>
      <c r="N817" s="3">
        <v>0</v>
      </c>
      <c r="O817" s="2">
        <v>181</v>
      </c>
      <c r="P817">
        <v>0</v>
      </c>
      <c r="Q817" t="s">
        <v>14</v>
      </c>
      <c r="R817" s="4">
        <v>257.75</v>
      </c>
      <c r="S817" s="4">
        <v>0</v>
      </c>
      <c r="T817" t="s">
        <v>37</v>
      </c>
      <c r="U817" s="4">
        <v>54.15</v>
      </c>
      <c r="V817" s="4">
        <v>9.9130000000000003</v>
      </c>
      <c r="W817" s="4">
        <v>257.75</v>
      </c>
    </row>
    <row r="818" spans="1:23" ht="15" customHeight="1" x14ac:dyDescent="0.25">
      <c r="A818">
        <v>1609</v>
      </c>
      <c r="B818" s="1">
        <v>45794</v>
      </c>
      <c r="C818">
        <v>0</v>
      </c>
      <c r="D818" t="s">
        <v>60</v>
      </c>
      <c r="E818">
        <v>5</v>
      </c>
      <c r="F818" t="s">
        <v>35</v>
      </c>
      <c r="G818" t="s">
        <v>36</v>
      </c>
      <c r="H818" t="s">
        <v>49</v>
      </c>
      <c r="I818" t="s">
        <v>27</v>
      </c>
      <c r="J818" t="s">
        <v>18</v>
      </c>
      <c r="K818" s="2">
        <v>26000</v>
      </c>
      <c r="L818" s="3">
        <v>12.5</v>
      </c>
      <c r="M818" s="3">
        <v>70.7</v>
      </c>
      <c r="N818" s="3"/>
      <c r="O818" s="2">
        <v>16</v>
      </c>
      <c r="P818">
        <v>1</v>
      </c>
      <c r="Q818" t="s">
        <v>17</v>
      </c>
      <c r="R818" s="4">
        <v>75.849999999999994</v>
      </c>
      <c r="S818" s="4">
        <v>0</v>
      </c>
      <c r="T818" t="s">
        <v>31</v>
      </c>
      <c r="U818" s="4">
        <v>6.56</v>
      </c>
      <c r="V818" s="4">
        <v>2.9169999999999998</v>
      </c>
      <c r="W818" s="4">
        <v>75.849999999999994</v>
      </c>
    </row>
    <row r="819" spans="1:23" ht="15" customHeight="1" x14ac:dyDescent="0.25">
      <c r="A819">
        <v>505</v>
      </c>
      <c r="B819" s="1">
        <v>45794</v>
      </c>
      <c r="C819">
        <v>0</v>
      </c>
      <c r="D819" t="s">
        <v>60</v>
      </c>
      <c r="E819">
        <v>5</v>
      </c>
      <c r="F819" t="s">
        <v>35</v>
      </c>
      <c r="G819" t="s">
        <v>36</v>
      </c>
      <c r="H819" t="s">
        <v>54</v>
      </c>
      <c r="I819" t="s">
        <v>16</v>
      </c>
      <c r="J819" t="s">
        <v>24</v>
      </c>
      <c r="K819" s="2">
        <v>8600</v>
      </c>
      <c r="L819" s="3">
        <v>12.8</v>
      </c>
      <c r="M819" s="3">
        <v>95.7</v>
      </c>
      <c r="N819" s="3">
        <v>0</v>
      </c>
      <c r="O819" s="2">
        <v>0</v>
      </c>
      <c r="P819">
        <v>0</v>
      </c>
      <c r="Q819" t="s">
        <v>14</v>
      </c>
      <c r="R819" s="4">
        <v>12.45</v>
      </c>
      <c r="S819" s="4">
        <v>0</v>
      </c>
      <c r="T819" t="s">
        <v>31</v>
      </c>
      <c r="U819" s="4">
        <v>1.08</v>
      </c>
      <c r="V819" s="4">
        <v>1.448</v>
      </c>
      <c r="W819" s="4">
        <v>12.45</v>
      </c>
    </row>
    <row r="820" spans="1:23" ht="15" customHeight="1" x14ac:dyDescent="0.25">
      <c r="A820">
        <v>1977</v>
      </c>
      <c r="B820" s="1">
        <v>45794</v>
      </c>
      <c r="C820">
        <v>0</v>
      </c>
      <c r="D820" t="s">
        <v>60</v>
      </c>
      <c r="E820">
        <v>5</v>
      </c>
      <c r="F820" t="s">
        <v>35</v>
      </c>
      <c r="G820" t="s">
        <v>36</v>
      </c>
      <c r="H820" t="s">
        <v>52</v>
      </c>
      <c r="I820" t="s">
        <v>13</v>
      </c>
      <c r="J820" t="s">
        <v>21</v>
      </c>
      <c r="K820" s="2">
        <v>9800</v>
      </c>
      <c r="L820" s="3">
        <v>19.5</v>
      </c>
      <c r="M820" s="3">
        <v>74.8</v>
      </c>
      <c r="N820" s="3">
        <v>0</v>
      </c>
      <c r="O820" s="2">
        <v>275</v>
      </c>
      <c r="P820">
        <v>0</v>
      </c>
      <c r="Q820" t="s">
        <v>14</v>
      </c>
      <c r="R820" s="4">
        <v>91.85</v>
      </c>
      <c r="S820" s="4">
        <v>0</v>
      </c>
      <c r="T820" t="s">
        <v>31</v>
      </c>
      <c r="U820" s="4">
        <v>7.93</v>
      </c>
      <c r="V820" s="4">
        <v>9.3719999999999999</v>
      </c>
      <c r="W820" s="4">
        <v>91.85</v>
      </c>
    </row>
    <row r="821" spans="1:23" ht="15" customHeight="1" x14ac:dyDescent="0.25">
      <c r="A821">
        <v>137</v>
      </c>
      <c r="B821" s="1">
        <v>45794</v>
      </c>
      <c r="C821">
        <v>0</v>
      </c>
      <c r="D821" t="s">
        <v>60</v>
      </c>
      <c r="E821">
        <v>5</v>
      </c>
      <c r="F821" t="s">
        <v>35</v>
      </c>
      <c r="G821" t="s">
        <v>36</v>
      </c>
      <c r="H821" t="s">
        <v>53</v>
      </c>
      <c r="I821" t="s">
        <v>19</v>
      </c>
      <c r="J821" t="s">
        <v>26</v>
      </c>
      <c r="K821" s="2">
        <v>12500</v>
      </c>
      <c r="L821" s="3">
        <v>16.2</v>
      </c>
      <c r="M821" s="3">
        <v>51.2</v>
      </c>
      <c r="N821" s="3">
        <v>0</v>
      </c>
      <c r="O821" s="2">
        <v>0</v>
      </c>
      <c r="P821">
        <v>0</v>
      </c>
      <c r="Q821" t="s">
        <v>14</v>
      </c>
      <c r="R821" s="4">
        <v>22.72</v>
      </c>
      <c r="S821" s="4">
        <v>0</v>
      </c>
      <c r="T821" t="s">
        <v>31</v>
      </c>
      <c r="U821" s="4">
        <v>1.95</v>
      </c>
      <c r="V821" s="4">
        <v>1.8180000000000001</v>
      </c>
      <c r="W821" s="4">
        <v>22.72</v>
      </c>
    </row>
    <row r="822" spans="1:23" ht="15" customHeight="1" x14ac:dyDescent="0.25">
      <c r="A822">
        <v>1241</v>
      </c>
      <c r="B822" s="1">
        <v>45794</v>
      </c>
      <c r="C822">
        <v>0</v>
      </c>
      <c r="D822" t="s">
        <v>60</v>
      </c>
      <c r="E822">
        <v>5</v>
      </c>
      <c r="F822" t="s">
        <v>35</v>
      </c>
      <c r="G822" t="s">
        <v>36</v>
      </c>
      <c r="H822" t="s">
        <v>51</v>
      </c>
      <c r="I822" t="s">
        <v>25</v>
      </c>
      <c r="J822" t="s">
        <v>15</v>
      </c>
      <c r="K822" s="2">
        <v>17400</v>
      </c>
      <c r="L822" s="3">
        <v>18.5</v>
      </c>
      <c r="M822" s="3">
        <v>74.5</v>
      </c>
      <c r="N822" s="3">
        <v>0</v>
      </c>
      <c r="O822" s="2">
        <v>166</v>
      </c>
      <c r="P822">
        <v>0</v>
      </c>
      <c r="Q822" t="s">
        <v>14</v>
      </c>
      <c r="R822" s="4">
        <v>57.87</v>
      </c>
      <c r="S822" s="4">
        <v>0</v>
      </c>
      <c r="T822" t="s">
        <v>31</v>
      </c>
      <c r="U822" s="4">
        <v>5.25</v>
      </c>
      <c r="V822" s="4">
        <v>3.3260000000000001</v>
      </c>
      <c r="W822" s="4">
        <v>57.87</v>
      </c>
    </row>
    <row r="823" spans="1:23" ht="15" customHeight="1" x14ac:dyDescent="0.25">
      <c r="A823">
        <v>873</v>
      </c>
      <c r="B823" s="1">
        <v>45794</v>
      </c>
      <c r="C823">
        <v>0</v>
      </c>
      <c r="D823" t="s">
        <v>60</v>
      </c>
      <c r="E823">
        <v>5</v>
      </c>
      <c r="F823" t="s">
        <v>35</v>
      </c>
      <c r="G823" t="s">
        <v>36</v>
      </c>
      <c r="H823" t="s">
        <v>50</v>
      </c>
      <c r="I823" t="s">
        <v>22</v>
      </c>
      <c r="J823" t="s">
        <v>12</v>
      </c>
      <c r="K823" s="2">
        <v>21000</v>
      </c>
      <c r="L823" s="3">
        <v>19.2</v>
      </c>
      <c r="M823" s="3">
        <v>57.7</v>
      </c>
      <c r="N823" s="3">
        <v>0</v>
      </c>
      <c r="O823" s="2">
        <v>225</v>
      </c>
      <c r="P823">
        <v>0</v>
      </c>
      <c r="Q823" t="s">
        <v>14</v>
      </c>
      <c r="R823" s="4">
        <v>178.42</v>
      </c>
      <c r="S823" s="4">
        <v>0</v>
      </c>
      <c r="T823" t="s">
        <v>31</v>
      </c>
      <c r="U823" s="4">
        <v>15.56</v>
      </c>
      <c r="V823" s="4">
        <v>8.4960000000000004</v>
      </c>
      <c r="W823" s="4">
        <v>178.42</v>
      </c>
    </row>
    <row r="824" spans="1:23" ht="15" customHeight="1" x14ac:dyDescent="0.25">
      <c r="A824">
        <v>138</v>
      </c>
      <c r="B824" s="1">
        <v>45794.333333333343</v>
      </c>
      <c r="C824">
        <v>8</v>
      </c>
      <c r="D824" t="s">
        <v>60</v>
      </c>
      <c r="E824">
        <v>5</v>
      </c>
      <c r="F824" t="s">
        <v>35</v>
      </c>
      <c r="G824" t="s">
        <v>36</v>
      </c>
      <c r="H824" t="s">
        <v>53</v>
      </c>
      <c r="I824" t="s">
        <v>19</v>
      </c>
      <c r="J824" t="s">
        <v>26</v>
      </c>
      <c r="K824" s="2">
        <v>12500</v>
      </c>
      <c r="L824" s="3">
        <v>18.899999999999999</v>
      </c>
      <c r="M824" s="3">
        <v>54.6</v>
      </c>
      <c r="N824" s="3">
        <v>339.3</v>
      </c>
      <c r="O824" s="2">
        <v>0</v>
      </c>
      <c r="P824">
        <v>0</v>
      </c>
      <c r="Q824" t="s">
        <v>14</v>
      </c>
      <c r="R824" s="4">
        <v>16.25</v>
      </c>
      <c r="S824" s="4">
        <v>51.41</v>
      </c>
      <c r="T824" t="s">
        <v>31</v>
      </c>
      <c r="U824" s="4">
        <v>-1.24</v>
      </c>
      <c r="V824" s="4">
        <v>1.3</v>
      </c>
      <c r="W824" s="4">
        <v>0</v>
      </c>
    </row>
    <row r="825" spans="1:23" ht="15" customHeight="1" x14ac:dyDescent="0.25">
      <c r="A825">
        <v>506</v>
      </c>
      <c r="B825" s="1">
        <v>45794.333333333343</v>
      </c>
      <c r="C825">
        <v>8</v>
      </c>
      <c r="D825" t="s">
        <v>60</v>
      </c>
      <c r="E825">
        <v>5</v>
      </c>
      <c r="F825" t="s">
        <v>35</v>
      </c>
      <c r="G825" t="s">
        <v>36</v>
      </c>
      <c r="H825" t="s">
        <v>54</v>
      </c>
      <c r="I825" t="s">
        <v>16</v>
      </c>
      <c r="J825" t="s">
        <v>24</v>
      </c>
      <c r="K825" s="2">
        <v>8600</v>
      </c>
      <c r="L825" s="3">
        <v>16.2</v>
      </c>
      <c r="M825" s="3">
        <v>88.9</v>
      </c>
      <c r="N825" s="3">
        <v>313.3</v>
      </c>
      <c r="O825" s="2">
        <v>0</v>
      </c>
      <c r="P825">
        <v>0</v>
      </c>
      <c r="Q825" t="s">
        <v>14</v>
      </c>
      <c r="R825" s="4">
        <v>7.61</v>
      </c>
      <c r="S825" s="4">
        <v>23.59</v>
      </c>
      <c r="T825" t="s">
        <v>31</v>
      </c>
      <c r="U825" s="4">
        <v>-0.54</v>
      </c>
      <c r="V825" s="4">
        <v>0.88500000000000001</v>
      </c>
      <c r="W825" s="4">
        <v>0</v>
      </c>
    </row>
    <row r="826" spans="1:23" ht="15" customHeight="1" x14ac:dyDescent="0.25">
      <c r="A826">
        <v>1610</v>
      </c>
      <c r="B826" s="1">
        <v>45794.333333333343</v>
      </c>
      <c r="C826">
        <v>8</v>
      </c>
      <c r="D826" t="s">
        <v>60</v>
      </c>
      <c r="E826">
        <v>5</v>
      </c>
      <c r="F826" t="s">
        <v>35</v>
      </c>
      <c r="G826" t="s">
        <v>36</v>
      </c>
      <c r="H826" t="s">
        <v>49</v>
      </c>
      <c r="I826" t="s">
        <v>27</v>
      </c>
      <c r="J826" t="s">
        <v>18</v>
      </c>
      <c r="K826" s="2">
        <v>26000</v>
      </c>
      <c r="L826" s="3">
        <v>19.8</v>
      </c>
      <c r="M826" s="3">
        <v>59.3</v>
      </c>
      <c r="N826" s="3">
        <v>407.6</v>
      </c>
      <c r="O826" s="2">
        <v>51</v>
      </c>
      <c r="P826">
        <v>0</v>
      </c>
      <c r="Q826" t="s">
        <v>14</v>
      </c>
      <c r="R826" s="4">
        <v>79.010000000000005</v>
      </c>
      <c r="S826" s="4">
        <v>106.12</v>
      </c>
      <c r="T826" t="s">
        <v>31</v>
      </c>
      <c r="U826" s="4">
        <v>-0.91</v>
      </c>
      <c r="V826" s="4">
        <v>3.0390000000000001</v>
      </c>
      <c r="W826" s="4">
        <v>0</v>
      </c>
    </row>
    <row r="827" spans="1:23" ht="15" customHeight="1" x14ac:dyDescent="0.25">
      <c r="A827">
        <v>1242</v>
      </c>
      <c r="B827" s="1">
        <v>45794.333333333343</v>
      </c>
      <c r="C827">
        <v>8</v>
      </c>
      <c r="D827" t="s">
        <v>60</v>
      </c>
      <c r="E827">
        <v>5</v>
      </c>
      <c r="F827" t="s">
        <v>35</v>
      </c>
      <c r="G827" t="s">
        <v>36</v>
      </c>
      <c r="H827" t="s">
        <v>51</v>
      </c>
      <c r="I827" t="s">
        <v>25</v>
      </c>
      <c r="J827" t="s">
        <v>15</v>
      </c>
      <c r="K827" s="2">
        <v>17400</v>
      </c>
      <c r="L827" s="3">
        <v>21.9</v>
      </c>
      <c r="M827" s="3">
        <v>76.2</v>
      </c>
      <c r="N827" s="3">
        <v>356.1</v>
      </c>
      <c r="O827" s="2">
        <v>0</v>
      </c>
      <c r="P827">
        <v>0</v>
      </c>
      <c r="Q827" t="s">
        <v>14</v>
      </c>
      <c r="R827" s="4">
        <v>33.68</v>
      </c>
      <c r="S827" s="4">
        <v>48.84</v>
      </c>
      <c r="T827" t="s">
        <v>31</v>
      </c>
      <c r="U827" s="4">
        <v>-0.52</v>
      </c>
      <c r="V827" s="4">
        <v>1.9359999999999999</v>
      </c>
      <c r="W827" s="4">
        <v>0</v>
      </c>
    </row>
    <row r="828" spans="1:23" ht="15" customHeight="1" x14ac:dyDescent="0.25">
      <c r="A828">
        <v>874</v>
      </c>
      <c r="B828" s="1">
        <v>45794.333333333343</v>
      </c>
      <c r="C828">
        <v>8</v>
      </c>
      <c r="D828" t="s">
        <v>60</v>
      </c>
      <c r="E828">
        <v>5</v>
      </c>
      <c r="F828" t="s">
        <v>35</v>
      </c>
      <c r="G828" t="s">
        <v>36</v>
      </c>
      <c r="H828" t="s">
        <v>50</v>
      </c>
      <c r="I828" t="s">
        <v>22</v>
      </c>
      <c r="J828" t="s">
        <v>12</v>
      </c>
      <c r="K828" s="2">
        <v>21000</v>
      </c>
      <c r="L828" s="3">
        <v>24</v>
      </c>
      <c r="M828" s="3">
        <v>61.9</v>
      </c>
      <c r="N828" s="3">
        <v>249.1</v>
      </c>
      <c r="O828" s="2">
        <v>428</v>
      </c>
      <c r="P828">
        <v>1</v>
      </c>
      <c r="Q828" t="s">
        <v>23</v>
      </c>
      <c r="R828" s="4">
        <v>193.64</v>
      </c>
      <c r="S828" s="4">
        <v>50.62</v>
      </c>
      <c r="T828" t="s">
        <v>31</v>
      </c>
      <c r="U828" s="4">
        <v>12.37</v>
      </c>
      <c r="V828" s="4">
        <v>9.2210000000000001</v>
      </c>
      <c r="W828" s="4">
        <v>143.02000000000001</v>
      </c>
    </row>
    <row r="829" spans="1:23" ht="15" customHeight="1" x14ac:dyDescent="0.25">
      <c r="A829">
        <v>1978</v>
      </c>
      <c r="B829" s="1">
        <v>45794.333333333343</v>
      </c>
      <c r="C829">
        <v>8</v>
      </c>
      <c r="D829" t="s">
        <v>60</v>
      </c>
      <c r="E829">
        <v>5</v>
      </c>
      <c r="F829" t="s">
        <v>35</v>
      </c>
      <c r="G829" t="s">
        <v>36</v>
      </c>
      <c r="H829" t="s">
        <v>52</v>
      </c>
      <c r="I829" t="s">
        <v>13</v>
      </c>
      <c r="J829" t="s">
        <v>21</v>
      </c>
      <c r="K829" s="2">
        <v>9800</v>
      </c>
      <c r="L829" s="3">
        <v>18.5</v>
      </c>
      <c r="M829" s="3">
        <v>82.5</v>
      </c>
      <c r="N829" s="3">
        <v>316.39999999999998</v>
      </c>
      <c r="O829" s="2">
        <v>121</v>
      </c>
      <c r="P829">
        <v>0</v>
      </c>
      <c r="Q829" t="s">
        <v>14</v>
      </c>
      <c r="R829" s="4">
        <v>28.15</v>
      </c>
      <c r="S829" s="4">
        <v>0</v>
      </c>
      <c r="T829" t="s">
        <v>31</v>
      </c>
      <c r="U829" s="4">
        <v>2.4700000000000002</v>
      </c>
      <c r="V829" s="4">
        <v>2.8719999999999999</v>
      </c>
      <c r="W829" s="4">
        <v>28.15</v>
      </c>
    </row>
    <row r="830" spans="1:23" ht="15" customHeight="1" x14ac:dyDescent="0.25">
      <c r="A830">
        <v>875</v>
      </c>
      <c r="B830" s="1">
        <v>45794.583333333343</v>
      </c>
      <c r="C830">
        <v>14</v>
      </c>
      <c r="D830" t="s">
        <v>60</v>
      </c>
      <c r="E830">
        <v>5</v>
      </c>
      <c r="F830" t="s">
        <v>35</v>
      </c>
      <c r="G830" t="s">
        <v>36</v>
      </c>
      <c r="H830" t="s">
        <v>50</v>
      </c>
      <c r="I830" t="s">
        <v>22</v>
      </c>
      <c r="J830" t="s">
        <v>12</v>
      </c>
      <c r="K830" s="2">
        <v>21000</v>
      </c>
      <c r="L830" s="3">
        <v>29.5</v>
      </c>
      <c r="M830" s="3">
        <v>50.1</v>
      </c>
      <c r="N830" s="3">
        <v>567.79999999999995</v>
      </c>
      <c r="O830" s="2">
        <v>403</v>
      </c>
      <c r="P830">
        <v>1</v>
      </c>
      <c r="Q830" t="s">
        <v>20</v>
      </c>
      <c r="R830" s="4">
        <v>208.7</v>
      </c>
      <c r="S830" s="4">
        <v>110.08</v>
      </c>
      <c r="T830" t="s">
        <v>31</v>
      </c>
      <c r="U830" s="4">
        <v>8.36</v>
      </c>
      <c r="V830" s="4">
        <v>9.9380000000000006</v>
      </c>
      <c r="W830" s="4">
        <v>98.62</v>
      </c>
    </row>
    <row r="831" spans="1:23" ht="15" customHeight="1" x14ac:dyDescent="0.25">
      <c r="A831">
        <v>1611</v>
      </c>
      <c r="B831" s="1">
        <v>45794.583333333343</v>
      </c>
      <c r="C831">
        <v>14</v>
      </c>
      <c r="D831" t="s">
        <v>60</v>
      </c>
      <c r="E831">
        <v>5</v>
      </c>
      <c r="F831" t="s">
        <v>35</v>
      </c>
      <c r="G831" t="s">
        <v>36</v>
      </c>
      <c r="H831" t="s">
        <v>49</v>
      </c>
      <c r="I831" t="s">
        <v>27</v>
      </c>
      <c r="J831" t="s">
        <v>18</v>
      </c>
      <c r="K831" s="2">
        <v>26000</v>
      </c>
      <c r="L831" s="3">
        <v>27.2</v>
      </c>
      <c r="M831" s="3">
        <v>41</v>
      </c>
      <c r="N831" s="3">
        <v>824</v>
      </c>
      <c r="O831" s="2">
        <v>72</v>
      </c>
      <c r="P831">
        <v>1</v>
      </c>
      <c r="Q831" t="s">
        <v>20</v>
      </c>
      <c r="R831" s="4">
        <v>96.48</v>
      </c>
      <c r="S831" s="4">
        <v>218.47</v>
      </c>
      <c r="T831" t="s">
        <v>31</v>
      </c>
      <c r="U831" s="4">
        <v>-4.38</v>
      </c>
      <c r="V831" s="4">
        <v>3.7109999999999999</v>
      </c>
      <c r="W831" s="4">
        <v>0</v>
      </c>
    </row>
    <row r="832" spans="1:23" ht="15" customHeight="1" x14ac:dyDescent="0.25">
      <c r="A832">
        <v>1243</v>
      </c>
      <c r="B832" s="1">
        <v>45794.583333333343</v>
      </c>
      <c r="C832">
        <v>14</v>
      </c>
      <c r="D832" t="s">
        <v>60</v>
      </c>
      <c r="E832">
        <v>5</v>
      </c>
      <c r="F832" t="s">
        <v>35</v>
      </c>
      <c r="G832" t="s">
        <v>36</v>
      </c>
      <c r="H832" t="s">
        <v>51</v>
      </c>
      <c r="I832" t="s">
        <v>25</v>
      </c>
      <c r="J832" t="s">
        <v>15</v>
      </c>
      <c r="K832" s="2">
        <v>17400</v>
      </c>
      <c r="L832" s="3">
        <v>29.3</v>
      </c>
      <c r="M832" s="3"/>
      <c r="N832" s="3">
        <v>612</v>
      </c>
      <c r="O832" s="2">
        <v>1460</v>
      </c>
      <c r="P832">
        <v>1</v>
      </c>
      <c r="Q832" t="s">
        <v>20</v>
      </c>
      <c r="R832" s="4">
        <v>231.66</v>
      </c>
      <c r="S832" s="4">
        <v>73.3</v>
      </c>
      <c r="T832" t="s">
        <v>31</v>
      </c>
      <c r="U832" s="4">
        <v>13.86</v>
      </c>
      <c r="V832" s="4">
        <v>13.314</v>
      </c>
      <c r="W832" s="4">
        <v>158.36000000000001</v>
      </c>
    </row>
    <row r="833" spans="1:23" ht="15" customHeight="1" x14ac:dyDescent="0.25">
      <c r="A833">
        <v>507</v>
      </c>
      <c r="B833" s="1">
        <v>45794.583333333343</v>
      </c>
      <c r="C833">
        <v>14</v>
      </c>
      <c r="D833" t="s">
        <v>60</v>
      </c>
      <c r="E833">
        <v>5</v>
      </c>
      <c r="F833" t="s">
        <v>35</v>
      </c>
      <c r="G833" t="s">
        <v>36</v>
      </c>
      <c r="H833" t="s">
        <v>54</v>
      </c>
      <c r="I833" t="s">
        <v>16</v>
      </c>
      <c r="J833" t="s">
        <v>24</v>
      </c>
      <c r="K833" s="2">
        <v>8600</v>
      </c>
      <c r="L833" s="3">
        <v>24.1</v>
      </c>
      <c r="M833" s="3">
        <v>69.599999999999994</v>
      </c>
      <c r="N833" s="3">
        <v>635.79999999999995</v>
      </c>
      <c r="O833" s="2">
        <v>0</v>
      </c>
      <c r="P833">
        <v>0</v>
      </c>
      <c r="Q833" t="s">
        <v>14</v>
      </c>
      <c r="R833" s="4">
        <v>7.61</v>
      </c>
      <c r="S833" s="4">
        <v>42.7</v>
      </c>
      <c r="T833" t="s">
        <v>31</v>
      </c>
      <c r="U833" s="4">
        <v>-1.2</v>
      </c>
      <c r="V833" s="4">
        <v>0.88500000000000001</v>
      </c>
      <c r="W833" s="4">
        <v>0</v>
      </c>
    </row>
    <row r="834" spans="1:23" ht="15" customHeight="1" x14ac:dyDescent="0.25">
      <c r="A834">
        <v>1979</v>
      </c>
      <c r="B834" s="1">
        <v>45794.583333333343</v>
      </c>
      <c r="C834">
        <v>14</v>
      </c>
      <c r="D834" t="s">
        <v>60</v>
      </c>
      <c r="E834">
        <v>5</v>
      </c>
      <c r="F834" t="s">
        <v>35</v>
      </c>
      <c r="G834" t="s">
        <v>36</v>
      </c>
      <c r="H834" t="s">
        <v>52</v>
      </c>
      <c r="I834" t="s">
        <v>13</v>
      </c>
      <c r="J834" t="s">
        <v>21</v>
      </c>
      <c r="K834" s="2">
        <v>9800</v>
      </c>
      <c r="L834" s="3">
        <v>25.5</v>
      </c>
      <c r="M834" s="3">
        <v>77.900000000000006</v>
      </c>
      <c r="N834" s="3"/>
      <c r="O834" s="2">
        <v>108</v>
      </c>
      <c r="P834">
        <v>1</v>
      </c>
      <c r="Q834" t="s">
        <v>20</v>
      </c>
      <c r="R834" s="4">
        <v>27.13</v>
      </c>
      <c r="S834" s="4">
        <v>0</v>
      </c>
      <c r="T834" t="s">
        <v>31</v>
      </c>
      <c r="U834" s="4">
        <v>2.34</v>
      </c>
      <c r="V834" s="4">
        <v>2.7679999999999998</v>
      </c>
      <c r="W834" s="4">
        <v>27.13</v>
      </c>
    </row>
    <row r="835" spans="1:23" ht="15" customHeight="1" x14ac:dyDescent="0.25">
      <c r="A835">
        <v>139</v>
      </c>
      <c r="B835" s="1">
        <v>45794.583333333343</v>
      </c>
      <c r="C835">
        <v>14</v>
      </c>
      <c r="D835" t="s">
        <v>60</v>
      </c>
      <c r="E835">
        <v>5</v>
      </c>
      <c r="F835" t="s">
        <v>35</v>
      </c>
      <c r="G835" t="s">
        <v>36</v>
      </c>
      <c r="H835" t="s">
        <v>53</v>
      </c>
      <c r="I835" t="s">
        <v>19</v>
      </c>
      <c r="J835" t="s">
        <v>26</v>
      </c>
      <c r="K835" s="2">
        <v>12500</v>
      </c>
      <c r="L835" s="3">
        <v>26.4</v>
      </c>
      <c r="M835" s="3">
        <v>57</v>
      </c>
      <c r="N835" s="3">
        <v>742.5</v>
      </c>
      <c r="O835" s="2">
        <v>21</v>
      </c>
      <c r="P835">
        <v>0</v>
      </c>
      <c r="Q835" t="s">
        <v>14</v>
      </c>
      <c r="R835" s="4">
        <v>17.57</v>
      </c>
      <c r="S835" s="4">
        <v>112.65</v>
      </c>
      <c r="T835" t="s">
        <v>31</v>
      </c>
      <c r="U835" s="4">
        <v>-3.42</v>
      </c>
      <c r="V835" s="4">
        <v>1.4059999999999999</v>
      </c>
      <c r="W835" s="4">
        <v>0</v>
      </c>
    </row>
    <row r="836" spans="1:23" ht="15" customHeight="1" x14ac:dyDescent="0.25">
      <c r="A836">
        <v>508</v>
      </c>
      <c r="B836" s="1">
        <v>45794.833333333343</v>
      </c>
      <c r="C836">
        <v>20</v>
      </c>
      <c r="D836" t="s">
        <v>60</v>
      </c>
      <c r="E836">
        <v>5</v>
      </c>
      <c r="F836" t="s">
        <v>35</v>
      </c>
      <c r="G836" t="s">
        <v>36</v>
      </c>
      <c r="H836" t="s">
        <v>54</v>
      </c>
      <c r="I836" t="s">
        <v>16</v>
      </c>
      <c r="J836" t="s">
        <v>24</v>
      </c>
      <c r="K836" s="2">
        <v>8600</v>
      </c>
      <c r="L836" s="3">
        <v>19.3</v>
      </c>
      <c r="M836" s="3">
        <v>87.4</v>
      </c>
      <c r="N836" s="3">
        <v>21.5</v>
      </c>
      <c r="O836" s="2">
        <v>0</v>
      </c>
      <c r="P836">
        <v>0</v>
      </c>
      <c r="Q836" t="s">
        <v>14</v>
      </c>
      <c r="R836" s="4">
        <v>11.82</v>
      </c>
      <c r="S836" s="4">
        <v>1.73</v>
      </c>
      <c r="T836" t="s">
        <v>31</v>
      </c>
      <c r="U836" s="4">
        <v>0.88</v>
      </c>
      <c r="V836" s="4">
        <v>1.3740000000000001</v>
      </c>
      <c r="W836" s="4">
        <v>10.09</v>
      </c>
    </row>
    <row r="837" spans="1:23" ht="15" customHeight="1" x14ac:dyDescent="0.25">
      <c r="A837">
        <v>140</v>
      </c>
      <c r="B837" s="1">
        <v>45794.833333333343</v>
      </c>
      <c r="C837">
        <v>20</v>
      </c>
      <c r="D837" t="s">
        <v>60</v>
      </c>
      <c r="E837">
        <v>5</v>
      </c>
      <c r="F837" t="s">
        <v>35</v>
      </c>
      <c r="G837" t="s">
        <v>36</v>
      </c>
      <c r="H837" t="s">
        <v>53</v>
      </c>
      <c r="I837" t="s">
        <v>19</v>
      </c>
      <c r="J837" t="s">
        <v>26</v>
      </c>
      <c r="K837" s="2">
        <v>12500</v>
      </c>
      <c r="L837" s="3">
        <v>20</v>
      </c>
      <c r="M837" s="3">
        <v>60.6</v>
      </c>
      <c r="N837" s="3">
        <v>23.1</v>
      </c>
      <c r="O837" s="2">
        <v>35</v>
      </c>
      <c r="P837">
        <v>0</v>
      </c>
      <c r="Q837" t="s">
        <v>14</v>
      </c>
      <c r="R837" s="4">
        <v>26.52</v>
      </c>
      <c r="S837" s="4">
        <v>3.69</v>
      </c>
      <c r="T837" t="s">
        <v>31</v>
      </c>
      <c r="U837" s="4">
        <v>1.94</v>
      </c>
      <c r="V837" s="4">
        <v>2.1219999999999999</v>
      </c>
      <c r="W837" s="4">
        <v>22.83</v>
      </c>
    </row>
    <row r="838" spans="1:23" ht="15" customHeight="1" x14ac:dyDescent="0.25">
      <c r="A838">
        <v>1980</v>
      </c>
      <c r="B838" s="1">
        <v>45794.833333333343</v>
      </c>
      <c r="C838">
        <v>20</v>
      </c>
      <c r="D838" t="s">
        <v>60</v>
      </c>
      <c r="E838">
        <v>5</v>
      </c>
      <c r="F838" t="s">
        <v>35</v>
      </c>
      <c r="G838" t="s">
        <v>36</v>
      </c>
      <c r="H838" t="s">
        <v>52</v>
      </c>
      <c r="I838" t="s">
        <v>13</v>
      </c>
      <c r="J838" t="s">
        <v>21</v>
      </c>
      <c r="K838" s="2">
        <v>9800</v>
      </c>
      <c r="L838" s="3">
        <v>20.9</v>
      </c>
      <c r="M838" s="3">
        <v>91.8</v>
      </c>
      <c r="N838" s="3">
        <v>23.3</v>
      </c>
      <c r="O838" s="2">
        <v>305</v>
      </c>
      <c r="P838">
        <v>0</v>
      </c>
      <c r="Q838" t="s">
        <v>14</v>
      </c>
      <c r="R838" s="4">
        <v>94.11</v>
      </c>
      <c r="S838" s="4">
        <v>0</v>
      </c>
      <c r="T838" t="s">
        <v>31</v>
      </c>
      <c r="U838" s="4">
        <v>8.18</v>
      </c>
      <c r="V838" s="4">
        <v>9.6029999999999998</v>
      </c>
      <c r="W838" s="4">
        <v>94.11</v>
      </c>
    </row>
    <row r="839" spans="1:23" ht="15" customHeight="1" x14ac:dyDescent="0.25">
      <c r="A839">
        <v>1244</v>
      </c>
      <c r="B839" s="1">
        <v>45794.833333333343</v>
      </c>
      <c r="C839">
        <v>20</v>
      </c>
      <c r="D839" t="s">
        <v>60</v>
      </c>
      <c r="E839">
        <v>5</v>
      </c>
      <c r="F839" t="s">
        <v>35</v>
      </c>
      <c r="G839" t="s">
        <v>36</v>
      </c>
      <c r="H839" t="s">
        <v>51</v>
      </c>
      <c r="I839" t="s">
        <v>25</v>
      </c>
      <c r="J839" t="s">
        <v>15</v>
      </c>
      <c r="K839" s="2">
        <v>17400</v>
      </c>
      <c r="L839" s="3">
        <v>23.9</v>
      </c>
      <c r="M839" s="3">
        <v>70.099999999999994</v>
      </c>
      <c r="N839" s="3">
        <v>13.8</v>
      </c>
      <c r="O839" s="2">
        <v>1603</v>
      </c>
      <c r="P839">
        <v>1</v>
      </c>
      <c r="Q839" t="s">
        <v>23</v>
      </c>
      <c r="R839" s="4">
        <v>306.79000000000002</v>
      </c>
      <c r="S839" s="4">
        <v>1.73</v>
      </c>
      <c r="T839" t="s">
        <v>31</v>
      </c>
      <c r="U839" s="4">
        <v>27.55</v>
      </c>
      <c r="V839" s="4">
        <v>17.632000000000001</v>
      </c>
      <c r="W839" s="4">
        <v>305.06</v>
      </c>
    </row>
    <row r="840" spans="1:23" ht="15" customHeight="1" x14ac:dyDescent="0.25">
      <c r="A840">
        <v>876</v>
      </c>
      <c r="B840" s="1">
        <v>45794.833333333343</v>
      </c>
      <c r="C840">
        <v>20</v>
      </c>
      <c r="D840" t="s">
        <v>60</v>
      </c>
      <c r="E840">
        <v>5</v>
      </c>
      <c r="F840" t="s">
        <v>35</v>
      </c>
      <c r="G840" t="s">
        <v>36</v>
      </c>
      <c r="H840" t="s">
        <v>50</v>
      </c>
      <c r="I840" t="s">
        <v>22</v>
      </c>
      <c r="J840" t="s">
        <v>12</v>
      </c>
      <c r="K840" s="2">
        <v>21000</v>
      </c>
      <c r="L840" s="3">
        <v>27.8</v>
      </c>
      <c r="M840" s="3">
        <v>49.3</v>
      </c>
      <c r="N840" s="3">
        <v>11.3</v>
      </c>
      <c r="O840" s="2">
        <v>412</v>
      </c>
      <c r="P840">
        <v>1</v>
      </c>
      <c r="Q840" t="s">
        <v>20</v>
      </c>
      <c r="R840" s="4">
        <v>316.64</v>
      </c>
      <c r="S840" s="4">
        <v>2.27</v>
      </c>
      <c r="T840" t="s">
        <v>31</v>
      </c>
      <c r="U840" s="4">
        <v>26.63</v>
      </c>
      <c r="V840" s="4">
        <v>15.077999999999999</v>
      </c>
      <c r="W840" s="4">
        <v>314.37</v>
      </c>
    </row>
    <row r="841" spans="1:23" ht="15" customHeight="1" x14ac:dyDescent="0.25">
      <c r="A841">
        <v>1612</v>
      </c>
      <c r="B841" s="1">
        <v>45794.833333333343</v>
      </c>
      <c r="C841">
        <v>20</v>
      </c>
      <c r="D841" t="s">
        <v>60</v>
      </c>
      <c r="E841">
        <v>5</v>
      </c>
      <c r="F841" t="s">
        <v>35</v>
      </c>
      <c r="G841" t="s">
        <v>36</v>
      </c>
      <c r="H841" t="s">
        <v>49</v>
      </c>
      <c r="I841" t="s">
        <v>27</v>
      </c>
      <c r="J841" t="s">
        <v>18</v>
      </c>
      <c r="K841" s="2">
        <v>26000</v>
      </c>
      <c r="L841" s="3">
        <v>20.5</v>
      </c>
      <c r="M841" s="3">
        <v>59.1</v>
      </c>
      <c r="N841" s="3">
        <v>23.2</v>
      </c>
      <c r="O841" s="2">
        <v>57</v>
      </c>
      <c r="P841">
        <v>0</v>
      </c>
      <c r="Q841" t="s">
        <v>14</v>
      </c>
      <c r="R841" s="4">
        <v>123.61</v>
      </c>
      <c r="S841" s="4">
        <v>6.8</v>
      </c>
      <c r="T841" t="s">
        <v>31</v>
      </c>
      <c r="U841" s="4">
        <v>10.35</v>
      </c>
      <c r="V841" s="4">
        <v>4.7539999999999996</v>
      </c>
      <c r="W841" s="4">
        <v>116.81</v>
      </c>
    </row>
    <row r="842" spans="1:23" ht="15" customHeight="1" x14ac:dyDescent="0.25">
      <c r="A842">
        <v>1245</v>
      </c>
      <c r="B842" s="1">
        <v>45798</v>
      </c>
      <c r="C842">
        <v>0</v>
      </c>
      <c r="D842" t="s">
        <v>48</v>
      </c>
      <c r="E842">
        <v>5</v>
      </c>
      <c r="F842" t="s">
        <v>35</v>
      </c>
      <c r="G842" t="s">
        <v>33</v>
      </c>
      <c r="H842" t="s">
        <v>51</v>
      </c>
      <c r="I842" t="s">
        <v>25</v>
      </c>
      <c r="J842" t="s">
        <v>15</v>
      </c>
      <c r="K842" s="2">
        <v>17400</v>
      </c>
      <c r="L842" s="3">
        <v>21.4</v>
      </c>
      <c r="M842" s="3">
        <v>63.6</v>
      </c>
      <c r="N842" s="3">
        <v>0</v>
      </c>
      <c r="O842" s="2">
        <v>67</v>
      </c>
      <c r="P842">
        <v>0</v>
      </c>
      <c r="Q842" t="s">
        <v>14</v>
      </c>
      <c r="R842" s="4">
        <v>51.22</v>
      </c>
      <c r="S842" s="4">
        <v>0</v>
      </c>
      <c r="T842" t="s">
        <v>31</v>
      </c>
      <c r="U842" s="4">
        <v>4.55</v>
      </c>
      <c r="V842" s="4">
        <v>2.944</v>
      </c>
      <c r="W842" s="4">
        <v>51.22</v>
      </c>
    </row>
    <row r="843" spans="1:23" ht="15" customHeight="1" x14ac:dyDescent="0.25">
      <c r="A843">
        <v>509</v>
      </c>
      <c r="B843" s="1">
        <v>45798</v>
      </c>
      <c r="C843">
        <v>0</v>
      </c>
      <c r="D843" t="s">
        <v>48</v>
      </c>
      <c r="E843">
        <v>5</v>
      </c>
      <c r="F843" t="s">
        <v>35</v>
      </c>
      <c r="G843" t="s">
        <v>33</v>
      </c>
      <c r="H843" t="s">
        <v>54</v>
      </c>
      <c r="I843" t="s">
        <v>16</v>
      </c>
      <c r="J843" t="s">
        <v>24</v>
      </c>
      <c r="K843" s="2">
        <v>8600</v>
      </c>
      <c r="L843" s="3">
        <v>18.5</v>
      </c>
      <c r="M843" s="3">
        <v>87.8</v>
      </c>
      <c r="N843" s="3">
        <v>0</v>
      </c>
      <c r="O843" s="2">
        <v>67</v>
      </c>
      <c r="P843">
        <v>0</v>
      </c>
      <c r="Q843" t="s">
        <v>14</v>
      </c>
      <c r="R843" s="4">
        <v>20.34</v>
      </c>
      <c r="S843" s="4">
        <v>0</v>
      </c>
      <c r="T843" t="s">
        <v>31</v>
      </c>
      <c r="U843" s="4">
        <v>1.83</v>
      </c>
      <c r="V843" s="4">
        <v>2.3650000000000002</v>
      </c>
      <c r="W843" s="4">
        <v>20.34</v>
      </c>
    </row>
    <row r="844" spans="1:23" ht="15" customHeight="1" x14ac:dyDescent="0.25">
      <c r="A844">
        <v>141</v>
      </c>
      <c r="B844" s="1">
        <v>45798</v>
      </c>
      <c r="C844">
        <v>0</v>
      </c>
      <c r="D844" t="s">
        <v>48</v>
      </c>
      <c r="E844">
        <v>5</v>
      </c>
      <c r="F844" t="s">
        <v>35</v>
      </c>
      <c r="G844" t="s">
        <v>33</v>
      </c>
      <c r="H844" t="s">
        <v>53</v>
      </c>
      <c r="I844" t="s">
        <v>19</v>
      </c>
      <c r="J844" t="s">
        <v>26</v>
      </c>
      <c r="K844" s="2">
        <v>12500</v>
      </c>
      <c r="L844" s="3">
        <v>17.100000000000001</v>
      </c>
      <c r="M844" s="3">
        <v>56.8</v>
      </c>
      <c r="N844" s="3">
        <v>0</v>
      </c>
      <c r="O844" s="2">
        <v>13</v>
      </c>
      <c r="P844">
        <v>0</v>
      </c>
      <c r="Q844" t="s">
        <v>14</v>
      </c>
      <c r="R844" s="4">
        <v>26.44</v>
      </c>
      <c r="S844" s="4">
        <v>0</v>
      </c>
      <c r="T844" t="s">
        <v>31</v>
      </c>
      <c r="U844" s="4">
        <v>2.2799999999999998</v>
      </c>
      <c r="V844" s="4">
        <v>2.1150000000000002</v>
      </c>
      <c r="W844" s="4">
        <v>26.44</v>
      </c>
    </row>
    <row r="845" spans="1:23" ht="15" customHeight="1" x14ac:dyDescent="0.25">
      <c r="A845">
        <v>1613</v>
      </c>
      <c r="B845" s="1">
        <v>45798</v>
      </c>
      <c r="C845">
        <v>0</v>
      </c>
      <c r="D845" t="s">
        <v>48</v>
      </c>
      <c r="E845">
        <v>5</v>
      </c>
      <c r="F845" t="s">
        <v>35</v>
      </c>
      <c r="G845" t="s">
        <v>33</v>
      </c>
      <c r="H845" t="s">
        <v>49</v>
      </c>
      <c r="I845" t="s">
        <v>27</v>
      </c>
      <c r="J845" t="s">
        <v>18</v>
      </c>
      <c r="K845" s="2">
        <v>26000</v>
      </c>
      <c r="L845" s="3">
        <v>17.600000000000001</v>
      </c>
      <c r="M845" s="3">
        <v>52.6</v>
      </c>
      <c r="N845" s="3">
        <v>0</v>
      </c>
      <c r="O845" s="2">
        <v>49</v>
      </c>
      <c r="P845">
        <v>0</v>
      </c>
      <c r="Q845" t="s">
        <v>14</v>
      </c>
      <c r="R845" s="4">
        <v>108.44</v>
      </c>
      <c r="S845" s="4">
        <v>0</v>
      </c>
      <c r="T845" t="s">
        <v>31</v>
      </c>
      <c r="U845" s="4">
        <v>9.4600000000000009</v>
      </c>
      <c r="V845" s="4">
        <v>4.1710000000000003</v>
      </c>
      <c r="W845" s="4">
        <v>108.44</v>
      </c>
    </row>
    <row r="846" spans="1:23" ht="15" customHeight="1" x14ac:dyDescent="0.25">
      <c r="A846">
        <v>1981</v>
      </c>
      <c r="B846" s="1">
        <v>45798</v>
      </c>
      <c r="C846">
        <v>0</v>
      </c>
      <c r="D846" t="s">
        <v>48</v>
      </c>
      <c r="E846">
        <v>5</v>
      </c>
      <c r="F846" t="s">
        <v>35</v>
      </c>
      <c r="G846" t="s">
        <v>33</v>
      </c>
      <c r="H846" t="s">
        <v>52</v>
      </c>
      <c r="I846" t="s">
        <v>13</v>
      </c>
      <c r="J846" t="s">
        <v>21</v>
      </c>
      <c r="K846" s="2">
        <v>9800</v>
      </c>
      <c r="L846" s="3">
        <v>17.100000000000001</v>
      </c>
      <c r="M846" s="3">
        <v>77.3</v>
      </c>
      <c r="N846" s="3">
        <v>0</v>
      </c>
      <c r="O846" s="2">
        <v>293</v>
      </c>
      <c r="P846">
        <v>0</v>
      </c>
      <c r="Q846" t="s">
        <v>14</v>
      </c>
      <c r="R846" s="4">
        <v>97.01</v>
      </c>
      <c r="S846" s="4">
        <v>0</v>
      </c>
      <c r="T846" t="s">
        <v>31</v>
      </c>
      <c r="U846" s="4">
        <v>8.31</v>
      </c>
      <c r="V846" s="4">
        <v>9.8989999999999991</v>
      </c>
      <c r="W846" s="4">
        <v>97.01</v>
      </c>
    </row>
    <row r="847" spans="1:23" ht="15" customHeight="1" x14ac:dyDescent="0.25">
      <c r="A847">
        <v>877</v>
      </c>
      <c r="B847" s="1">
        <v>45798</v>
      </c>
      <c r="C847">
        <v>0</v>
      </c>
      <c r="D847" t="s">
        <v>48</v>
      </c>
      <c r="E847">
        <v>5</v>
      </c>
      <c r="F847" t="s">
        <v>35</v>
      </c>
      <c r="G847" t="s">
        <v>33</v>
      </c>
      <c r="H847" t="s">
        <v>50</v>
      </c>
      <c r="I847" t="s">
        <v>22</v>
      </c>
      <c r="J847" t="s">
        <v>12</v>
      </c>
      <c r="K847" s="2">
        <v>21000</v>
      </c>
      <c r="L847" s="3">
        <v>16.7</v>
      </c>
      <c r="M847" s="3">
        <v>67</v>
      </c>
      <c r="N847" s="3">
        <v>0</v>
      </c>
      <c r="O847" s="2">
        <v>206</v>
      </c>
      <c r="P847">
        <v>0</v>
      </c>
      <c r="Q847" t="s">
        <v>14</v>
      </c>
      <c r="R847" s="4">
        <v>170.99</v>
      </c>
      <c r="S847" s="4">
        <v>0</v>
      </c>
      <c r="T847" t="s">
        <v>31</v>
      </c>
      <c r="U847" s="4">
        <v>15.13</v>
      </c>
      <c r="V847" s="4">
        <v>8.1419999999999995</v>
      </c>
      <c r="W847" s="4">
        <v>170.99</v>
      </c>
    </row>
    <row r="848" spans="1:23" ht="15" customHeight="1" x14ac:dyDescent="0.25">
      <c r="A848">
        <v>510</v>
      </c>
      <c r="B848" s="1">
        <v>45798.333333333343</v>
      </c>
      <c r="C848">
        <v>8</v>
      </c>
      <c r="D848" t="s">
        <v>48</v>
      </c>
      <c r="E848">
        <v>5</v>
      </c>
      <c r="F848" t="s">
        <v>35</v>
      </c>
      <c r="G848" t="s">
        <v>33</v>
      </c>
      <c r="H848" t="s">
        <v>54</v>
      </c>
      <c r="I848" t="s">
        <v>16</v>
      </c>
      <c r="J848" t="s">
        <v>24</v>
      </c>
      <c r="K848" s="2">
        <v>8600</v>
      </c>
      <c r="L848" s="3">
        <v>16.100000000000001</v>
      </c>
      <c r="M848" s="3">
        <v>81.3</v>
      </c>
      <c r="N848" s="3">
        <v>266</v>
      </c>
      <c r="O848" s="2">
        <v>811</v>
      </c>
      <c r="P848">
        <v>0</v>
      </c>
      <c r="Q848" t="s">
        <v>14</v>
      </c>
      <c r="R848" s="4">
        <v>82.67</v>
      </c>
      <c r="S848" s="4">
        <v>18.97</v>
      </c>
      <c r="T848" t="s">
        <v>34</v>
      </c>
      <c r="U848" s="4">
        <v>8.9700000000000006</v>
      </c>
      <c r="V848" s="4">
        <v>9.6129999999999995</v>
      </c>
      <c r="W848" s="4">
        <v>63.7</v>
      </c>
    </row>
    <row r="849" spans="1:23" ht="15" customHeight="1" x14ac:dyDescent="0.25">
      <c r="A849">
        <v>878</v>
      </c>
      <c r="B849" s="1">
        <v>45798.333333333343</v>
      </c>
      <c r="C849">
        <v>8</v>
      </c>
      <c r="D849" t="s">
        <v>48</v>
      </c>
      <c r="E849">
        <v>5</v>
      </c>
      <c r="F849" t="s">
        <v>35</v>
      </c>
      <c r="G849" t="s">
        <v>33</v>
      </c>
      <c r="H849" t="s">
        <v>50</v>
      </c>
      <c r="I849" t="s">
        <v>22</v>
      </c>
      <c r="J849" t="s">
        <v>12</v>
      </c>
      <c r="K849" s="2">
        <v>21000</v>
      </c>
      <c r="L849" s="3">
        <v>25.6</v>
      </c>
      <c r="M849" s="3">
        <v>45.3</v>
      </c>
      <c r="N849" s="3">
        <v>378.4</v>
      </c>
      <c r="O849" s="2">
        <v>410</v>
      </c>
      <c r="P849">
        <v>1</v>
      </c>
      <c r="Q849" t="s">
        <v>20</v>
      </c>
      <c r="R849" s="4">
        <v>199.68</v>
      </c>
      <c r="S849" s="4">
        <v>72.95</v>
      </c>
      <c r="T849" t="s">
        <v>34</v>
      </c>
      <c r="U849" s="4">
        <v>17.59</v>
      </c>
      <c r="V849" s="4">
        <v>9.5090000000000003</v>
      </c>
      <c r="W849" s="4">
        <v>126.73</v>
      </c>
    </row>
    <row r="850" spans="1:23" ht="15" customHeight="1" x14ac:dyDescent="0.25">
      <c r="A850">
        <v>1982</v>
      </c>
      <c r="B850" s="1">
        <v>45798.333333333343</v>
      </c>
      <c r="C850">
        <v>8</v>
      </c>
      <c r="D850" t="s">
        <v>48</v>
      </c>
      <c r="E850">
        <v>5</v>
      </c>
      <c r="F850" t="s">
        <v>35</v>
      </c>
      <c r="G850" t="s">
        <v>33</v>
      </c>
      <c r="H850" t="s">
        <v>52</v>
      </c>
      <c r="I850" t="s">
        <v>13</v>
      </c>
      <c r="J850" t="s">
        <v>21</v>
      </c>
      <c r="K850" s="2">
        <v>9800</v>
      </c>
      <c r="L850" s="3">
        <v>19.399999999999999</v>
      </c>
      <c r="M850" s="3">
        <v>76.400000000000006</v>
      </c>
      <c r="N850" s="3">
        <v>297.89999999999998</v>
      </c>
      <c r="O850" s="2">
        <v>106</v>
      </c>
      <c r="P850">
        <v>0</v>
      </c>
      <c r="Q850" t="s">
        <v>14</v>
      </c>
      <c r="R850" s="4">
        <v>20.98</v>
      </c>
      <c r="S850" s="4">
        <v>0</v>
      </c>
      <c r="T850" t="s">
        <v>34</v>
      </c>
      <c r="U850" s="4">
        <v>2.86</v>
      </c>
      <c r="V850" s="4">
        <v>2.141</v>
      </c>
      <c r="W850" s="4">
        <v>20.98</v>
      </c>
    </row>
    <row r="851" spans="1:23" ht="15" customHeight="1" x14ac:dyDescent="0.25">
      <c r="A851">
        <v>1246</v>
      </c>
      <c r="B851" s="1">
        <v>45798.333333333343</v>
      </c>
      <c r="C851">
        <v>8</v>
      </c>
      <c r="D851" t="s">
        <v>48</v>
      </c>
      <c r="E851">
        <v>5</v>
      </c>
      <c r="F851" t="s">
        <v>35</v>
      </c>
      <c r="G851" t="s">
        <v>33</v>
      </c>
      <c r="H851" t="s">
        <v>51</v>
      </c>
      <c r="I851" t="s">
        <v>25</v>
      </c>
      <c r="J851" t="s">
        <v>15</v>
      </c>
      <c r="K851" s="2">
        <v>17400</v>
      </c>
      <c r="L851" s="3">
        <v>22.7</v>
      </c>
      <c r="M851" s="3">
        <v>72.7</v>
      </c>
      <c r="N851" s="3">
        <v>387.6</v>
      </c>
      <c r="O851" s="2"/>
      <c r="P851">
        <v>0</v>
      </c>
      <c r="Q851" t="s">
        <v>14</v>
      </c>
      <c r="R851" s="4">
        <v>44.83</v>
      </c>
      <c r="S851" s="4">
        <v>45.96</v>
      </c>
      <c r="T851" t="s">
        <v>34</v>
      </c>
      <c r="U851" s="4">
        <v>-0.06</v>
      </c>
      <c r="V851" s="4">
        <v>2.5760000000000001</v>
      </c>
      <c r="W851" s="4">
        <v>0</v>
      </c>
    </row>
    <row r="852" spans="1:23" ht="15" customHeight="1" x14ac:dyDescent="0.25">
      <c r="A852">
        <v>1614</v>
      </c>
      <c r="B852" s="1">
        <v>45798.333333333343</v>
      </c>
      <c r="C852">
        <v>8</v>
      </c>
      <c r="D852" t="s">
        <v>48</v>
      </c>
      <c r="E852">
        <v>5</v>
      </c>
      <c r="F852" t="s">
        <v>35</v>
      </c>
      <c r="G852" t="s">
        <v>33</v>
      </c>
      <c r="H852" t="s">
        <v>49</v>
      </c>
      <c r="I852" t="s">
        <v>27</v>
      </c>
      <c r="J852" t="s">
        <v>18</v>
      </c>
      <c r="K852" s="2">
        <v>26000</v>
      </c>
      <c r="L852" s="3">
        <v>21.7</v>
      </c>
      <c r="M852" s="3">
        <v>58.1</v>
      </c>
      <c r="N852" s="3">
        <v>326</v>
      </c>
      <c r="O852" s="2">
        <v>163</v>
      </c>
      <c r="P852">
        <v>0</v>
      </c>
      <c r="Q852" t="s">
        <v>14</v>
      </c>
      <c r="R852" s="4">
        <v>142.52000000000001</v>
      </c>
      <c r="S852" s="4">
        <v>84.65</v>
      </c>
      <c r="T852" t="s">
        <v>34</v>
      </c>
      <c r="U852" s="4">
        <v>8.11</v>
      </c>
      <c r="V852" s="4">
        <v>5.4820000000000002</v>
      </c>
      <c r="W852" s="4">
        <v>57.87</v>
      </c>
    </row>
    <row r="853" spans="1:23" ht="15" customHeight="1" x14ac:dyDescent="0.25">
      <c r="A853">
        <v>142</v>
      </c>
      <c r="B853" s="1">
        <v>45798.333333333343</v>
      </c>
      <c r="C853">
        <v>8</v>
      </c>
      <c r="D853" t="s">
        <v>48</v>
      </c>
      <c r="E853">
        <v>5</v>
      </c>
      <c r="F853" t="s">
        <v>35</v>
      </c>
      <c r="G853" t="s">
        <v>33</v>
      </c>
      <c r="H853" t="s">
        <v>53</v>
      </c>
      <c r="I853" t="s">
        <v>19</v>
      </c>
      <c r="J853" t="s">
        <v>26</v>
      </c>
      <c r="K853" s="2">
        <v>12500</v>
      </c>
      <c r="L853" s="3">
        <v>20.3</v>
      </c>
      <c r="M853" s="3">
        <v>55.6</v>
      </c>
      <c r="N853" s="3">
        <v>355.9</v>
      </c>
      <c r="O853" s="2">
        <v>351</v>
      </c>
      <c r="P853">
        <v>0</v>
      </c>
      <c r="Q853" t="s">
        <v>14</v>
      </c>
      <c r="R853" s="4">
        <v>64.099999999999994</v>
      </c>
      <c r="S853" s="4">
        <v>53.73</v>
      </c>
      <c r="T853" t="s">
        <v>34</v>
      </c>
      <c r="U853" s="4">
        <v>1.42</v>
      </c>
      <c r="V853" s="4">
        <v>5.1280000000000001</v>
      </c>
      <c r="W853" s="4">
        <v>10.37</v>
      </c>
    </row>
    <row r="854" spans="1:23" ht="15" customHeight="1" x14ac:dyDescent="0.25">
      <c r="A854">
        <v>1983</v>
      </c>
      <c r="B854" s="1">
        <v>45798.583333333343</v>
      </c>
      <c r="C854">
        <v>14</v>
      </c>
      <c r="D854" t="s">
        <v>48</v>
      </c>
      <c r="E854">
        <v>5</v>
      </c>
      <c r="F854" t="s">
        <v>35</v>
      </c>
      <c r="G854" t="s">
        <v>33</v>
      </c>
      <c r="H854" t="s">
        <v>52</v>
      </c>
      <c r="I854" t="s">
        <v>13</v>
      </c>
      <c r="J854" t="s">
        <v>21</v>
      </c>
      <c r="K854" s="2">
        <v>9800</v>
      </c>
      <c r="L854" s="3"/>
      <c r="M854" s="3">
        <v>60.1</v>
      </c>
      <c r="N854" s="3">
        <v>834</v>
      </c>
      <c r="O854" s="2">
        <v>59</v>
      </c>
      <c r="P854">
        <v>0</v>
      </c>
      <c r="Q854" t="s">
        <v>14</v>
      </c>
      <c r="R854" s="4">
        <v>17.93</v>
      </c>
      <c r="S854" s="4">
        <v>0</v>
      </c>
      <c r="T854" t="s">
        <v>34</v>
      </c>
      <c r="U854" s="4">
        <v>2.52</v>
      </c>
      <c r="V854" s="4">
        <v>1.83</v>
      </c>
      <c r="W854" s="4">
        <v>17.93</v>
      </c>
    </row>
    <row r="855" spans="1:23" ht="15" customHeight="1" x14ac:dyDescent="0.25">
      <c r="A855">
        <v>1615</v>
      </c>
      <c r="B855" s="1">
        <v>45798.583333333343</v>
      </c>
      <c r="C855">
        <v>14</v>
      </c>
      <c r="D855" t="s">
        <v>48</v>
      </c>
      <c r="E855">
        <v>5</v>
      </c>
      <c r="F855" t="s">
        <v>35</v>
      </c>
      <c r="G855" t="s">
        <v>33</v>
      </c>
      <c r="H855" t="s">
        <v>49</v>
      </c>
      <c r="I855" t="s">
        <v>27</v>
      </c>
      <c r="J855" t="s">
        <v>18</v>
      </c>
      <c r="K855" s="2">
        <v>26000</v>
      </c>
      <c r="L855" s="3">
        <v>28.4</v>
      </c>
      <c r="M855" s="3">
        <v>68.900000000000006</v>
      </c>
      <c r="N855" s="3">
        <v>593</v>
      </c>
      <c r="O855" s="2">
        <v>171</v>
      </c>
      <c r="P855">
        <v>1</v>
      </c>
      <c r="Q855" t="s">
        <v>20</v>
      </c>
      <c r="R855" s="4">
        <v>166.15</v>
      </c>
      <c r="S855" s="4">
        <v>163.57</v>
      </c>
      <c r="T855" t="s">
        <v>34</v>
      </c>
      <c r="U855" s="4">
        <v>0.35</v>
      </c>
      <c r="V855" s="4">
        <v>6.39</v>
      </c>
      <c r="W855" s="4">
        <v>2.58</v>
      </c>
    </row>
    <row r="856" spans="1:23" ht="15" customHeight="1" x14ac:dyDescent="0.25">
      <c r="A856">
        <v>879</v>
      </c>
      <c r="B856" s="1">
        <v>45798.583333333343</v>
      </c>
      <c r="C856">
        <v>14</v>
      </c>
      <c r="D856" t="s">
        <v>48</v>
      </c>
      <c r="E856">
        <v>5</v>
      </c>
      <c r="F856" t="s">
        <v>35</v>
      </c>
      <c r="G856" t="s">
        <v>33</v>
      </c>
      <c r="H856" t="s">
        <v>50</v>
      </c>
      <c r="I856" t="s">
        <v>22</v>
      </c>
      <c r="J856" t="s">
        <v>12</v>
      </c>
      <c r="K856" s="2">
        <v>21000</v>
      </c>
      <c r="L856" s="3">
        <v>31.9</v>
      </c>
      <c r="M856" s="3">
        <v>55.8</v>
      </c>
      <c r="N856" s="3">
        <v>794.8</v>
      </c>
      <c r="O856" s="2">
        <v>398</v>
      </c>
      <c r="P856">
        <v>1</v>
      </c>
      <c r="Q856" t="s">
        <v>20</v>
      </c>
      <c r="R856" s="4">
        <v>244.36</v>
      </c>
      <c r="S856" s="4">
        <v>151.54</v>
      </c>
      <c r="T856" t="s">
        <v>34</v>
      </c>
      <c r="U856" s="4">
        <v>12.98</v>
      </c>
      <c r="V856" s="4">
        <v>11.635999999999999</v>
      </c>
      <c r="W856" s="4">
        <v>92.82</v>
      </c>
    </row>
    <row r="857" spans="1:23" ht="15" customHeight="1" x14ac:dyDescent="0.25">
      <c r="A857">
        <v>1247</v>
      </c>
      <c r="B857" s="1">
        <v>45798.583333333343</v>
      </c>
      <c r="C857">
        <v>14</v>
      </c>
      <c r="D857" t="s">
        <v>48</v>
      </c>
      <c r="E857">
        <v>5</v>
      </c>
      <c r="F857" t="s">
        <v>35</v>
      </c>
      <c r="G857" t="s">
        <v>33</v>
      </c>
      <c r="H857" t="s">
        <v>51</v>
      </c>
      <c r="I857" t="s">
        <v>25</v>
      </c>
      <c r="J857" t="s">
        <v>15</v>
      </c>
      <c r="K857" s="2">
        <v>17400</v>
      </c>
      <c r="L857" s="3">
        <v>26.9</v>
      </c>
      <c r="M857" s="3">
        <v>63.5</v>
      </c>
      <c r="N857" s="3">
        <v>788</v>
      </c>
      <c r="O857" s="2">
        <v>1398</v>
      </c>
      <c r="P857">
        <v>1</v>
      </c>
      <c r="Q857" t="s">
        <v>20</v>
      </c>
      <c r="R857" s="4">
        <v>212.29</v>
      </c>
      <c r="S857" s="4">
        <v>96.87</v>
      </c>
      <c r="T857" t="s">
        <v>34</v>
      </c>
      <c r="U857" s="4">
        <v>16.04</v>
      </c>
      <c r="V857" s="4">
        <v>12.201000000000001</v>
      </c>
      <c r="W857" s="4">
        <v>115.42</v>
      </c>
    </row>
    <row r="858" spans="1:23" ht="15" customHeight="1" x14ac:dyDescent="0.25">
      <c r="A858">
        <v>511</v>
      </c>
      <c r="B858" s="1">
        <v>45798.583333333343</v>
      </c>
      <c r="C858">
        <v>14</v>
      </c>
      <c r="D858" t="s">
        <v>48</v>
      </c>
      <c r="E858">
        <v>5</v>
      </c>
      <c r="F858" t="s">
        <v>35</v>
      </c>
      <c r="G858" t="s">
        <v>33</v>
      </c>
      <c r="H858" t="s">
        <v>54</v>
      </c>
      <c r="I858" t="s">
        <v>16</v>
      </c>
      <c r="J858" t="s">
        <v>24</v>
      </c>
      <c r="K858" s="2">
        <v>8600</v>
      </c>
      <c r="L858" s="3">
        <v>21.7</v>
      </c>
      <c r="M858" s="3">
        <v>71.3</v>
      </c>
      <c r="N858" s="3">
        <v>695</v>
      </c>
      <c r="O858" s="2">
        <v>750</v>
      </c>
      <c r="P858">
        <v>0</v>
      </c>
      <c r="Q858" t="s">
        <v>14</v>
      </c>
      <c r="R858" s="4">
        <v>84.27</v>
      </c>
      <c r="S858" s="4">
        <v>52.77</v>
      </c>
      <c r="T858" t="s">
        <v>34</v>
      </c>
      <c r="U858" s="4">
        <v>4.38</v>
      </c>
      <c r="V858" s="4">
        <v>9.7989999999999995</v>
      </c>
      <c r="W858" s="4">
        <v>31.5</v>
      </c>
    </row>
    <row r="859" spans="1:23" ht="15" customHeight="1" x14ac:dyDescent="0.25">
      <c r="A859">
        <v>143</v>
      </c>
      <c r="B859" s="1">
        <v>45798.583333333343</v>
      </c>
      <c r="C859">
        <v>14</v>
      </c>
      <c r="D859" t="s">
        <v>48</v>
      </c>
      <c r="E859">
        <v>5</v>
      </c>
      <c r="F859" t="s">
        <v>35</v>
      </c>
      <c r="G859" t="s">
        <v>33</v>
      </c>
      <c r="H859" t="s">
        <v>53</v>
      </c>
      <c r="I859" t="s">
        <v>19</v>
      </c>
      <c r="J859" t="s">
        <v>26</v>
      </c>
      <c r="K859" s="2">
        <v>12500</v>
      </c>
      <c r="L859" s="3">
        <v>25.2</v>
      </c>
      <c r="M859" s="3">
        <v>51.4</v>
      </c>
      <c r="N859" s="3">
        <v>821.5</v>
      </c>
      <c r="O859" s="2">
        <v>581</v>
      </c>
      <c r="P859">
        <v>1</v>
      </c>
      <c r="Q859" t="s">
        <v>20</v>
      </c>
      <c r="R859" s="4">
        <v>96.26</v>
      </c>
      <c r="S859" s="4">
        <v>117.91</v>
      </c>
      <c r="T859" t="s">
        <v>34</v>
      </c>
      <c r="U859" s="4">
        <v>-1.2</v>
      </c>
      <c r="V859" s="4">
        <v>7.7009999999999996</v>
      </c>
      <c r="W859" s="4">
        <v>0</v>
      </c>
    </row>
    <row r="860" spans="1:23" ht="15" customHeight="1" x14ac:dyDescent="0.25">
      <c r="A860">
        <v>144</v>
      </c>
      <c r="B860" s="1">
        <v>45798.833333333343</v>
      </c>
      <c r="C860">
        <v>20</v>
      </c>
      <c r="D860" t="s">
        <v>48</v>
      </c>
      <c r="E860">
        <v>5</v>
      </c>
      <c r="F860" t="s">
        <v>35</v>
      </c>
      <c r="G860" t="s">
        <v>33</v>
      </c>
      <c r="H860" t="s">
        <v>53</v>
      </c>
      <c r="I860" t="s">
        <v>19</v>
      </c>
      <c r="J860" t="s">
        <v>26</v>
      </c>
      <c r="K860" s="2">
        <v>12500</v>
      </c>
      <c r="L860" s="3">
        <v>23</v>
      </c>
      <c r="M860" s="3">
        <v>49.7</v>
      </c>
      <c r="N860" s="3">
        <v>46.2</v>
      </c>
      <c r="O860" s="2">
        <v>47</v>
      </c>
      <c r="P860">
        <v>0</v>
      </c>
      <c r="Q860" t="s">
        <v>14</v>
      </c>
      <c r="R860" s="4">
        <v>37.270000000000003</v>
      </c>
      <c r="S860" s="4">
        <v>7.28</v>
      </c>
      <c r="T860" t="s">
        <v>37</v>
      </c>
      <c r="U860" s="4">
        <v>6.59</v>
      </c>
      <c r="V860" s="4">
        <v>2.9820000000000002</v>
      </c>
      <c r="W860" s="4">
        <v>29.99</v>
      </c>
    </row>
    <row r="861" spans="1:23" ht="15" customHeight="1" x14ac:dyDescent="0.25">
      <c r="A861">
        <v>1984</v>
      </c>
      <c r="B861" s="1">
        <v>45798.833333333343</v>
      </c>
      <c r="C861">
        <v>20</v>
      </c>
      <c r="D861" t="s">
        <v>48</v>
      </c>
      <c r="E861">
        <v>5</v>
      </c>
      <c r="F861" t="s">
        <v>35</v>
      </c>
      <c r="G861" t="s">
        <v>33</v>
      </c>
      <c r="H861" t="s">
        <v>52</v>
      </c>
      <c r="I861" t="s">
        <v>13</v>
      </c>
      <c r="J861" t="s">
        <v>21</v>
      </c>
      <c r="K861" s="2">
        <v>9800</v>
      </c>
      <c r="L861" s="3">
        <v>19.8</v>
      </c>
      <c r="M861" s="3">
        <v>85</v>
      </c>
      <c r="N861" s="3">
        <v>0</v>
      </c>
      <c r="O861" s="2">
        <v>309</v>
      </c>
      <c r="P861">
        <v>0</v>
      </c>
      <c r="Q861" t="s">
        <v>14</v>
      </c>
      <c r="R861" s="4">
        <v>94.63</v>
      </c>
      <c r="S861" s="4">
        <v>0</v>
      </c>
      <c r="T861" t="s">
        <v>37</v>
      </c>
      <c r="U861" s="4">
        <v>20.5</v>
      </c>
      <c r="V861" s="4">
        <v>9.6560000000000006</v>
      </c>
      <c r="W861" s="4">
        <v>94.63</v>
      </c>
    </row>
    <row r="862" spans="1:23" ht="15" customHeight="1" x14ac:dyDescent="0.25">
      <c r="A862">
        <v>880</v>
      </c>
      <c r="B862" s="1">
        <v>45798.833333333343</v>
      </c>
      <c r="C862">
        <v>20</v>
      </c>
      <c r="D862" t="s">
        <v>48</v>
      </c>
      <c r="E862">
        <v>5</v>
      </c>
      <c r="F862" t="s">
        <v>35</v>
      </c>
      <c r="G862" t="s">
        <v>33</v>
      </c>
      <c r="H862" t="s">
        <v>50</v>
      </c>
      <c r="I862" t="s">
        <v>22</v>
      </c>
      <c r="J862" t="s">
        <v>12</v>
      </c>
      <c r="K862" s="2">
        <v>21000</v>
      </c>
      <c r="L862" s="3">
        <v>25.9</v>
      </c>
      <c r="M862" s="3">
        <v>48.9</v>
      </c>
      <c r="N862" s="3">
        <v>45.2</v>
      </c>
      <c r="O862" s="2">
        <v>344</v>
      </c>
      <c r="P862">
        <v>1</v>
      </c>
      <c r="Q862" t="s">
        <v>20</v>
      </c>
      <c r="R862" s="4">
        <v>266.94</v>
      </c>
      <c r="S862" s="4">
        <v>9.07</v>
      </c>
      <c r="T862" t="s">
        <v>37</v>
      </c>
      <c r="U862" s="4">
        <v>56.53</v>
      </c>
      <c r="V862" s="4">
        <v>12.711</v>
      </c>
      <c r="W862" s="4">
        <v>257.87</v>
      </c>
    </row>
    <row r="863" spans="1:23" ht="15" customHeight="1" x14ac:dyDescent="0.25">
      <c r="A863">
        <v>512</v>
      </c>
      <c r="B863" s="1">
        <v>45798.833333333343</v>
      </c>
      <c r="C863">
        <v>20</v>
      </c>
      <c r="D863" t="s">
        <v>48</v>
      </c>
      <c r="E863">
        <v>5</v>
      </c>
      <c r="F863" t="s">
        <v>35</v>
      </c>
      <c r="G863" t="s">
        <v>33</v>
      </c>
      <c r="H863" t="s">
        <v>54</v>
      </c>
      <c r="I863" t="s">
        <v>16</v>
      </c>
      <c r="J863" t="s">
        <v>24</v>
      </c>
      <c r="K863" s="2">
        <v>8600</v>
      </c>
      <c r="L863" s="3">
        <v>20.5</v>
      </c>
      <c r="M863" s="3">
        <v>66.099999999999994</v>
      </c>
      <c r="N863" s="3">
        <v>53.8</v>
      </c>
      <c r="O863" s="2">
        <v>49</v>
      </c>
      <c r="P863">
        <v>0</v>
      </c>
      <c r="Q863" t="s">
        <v>14</v>
      </c>
      <c r="R863" s="4">
        <v>20.239999999999998</v>
      </c>
      <c r="S863" s="4">
        <v>4.07</v>
      </c>
      <c r="T863" t="s">
        <v>37</v>
      </c>
      <c r="U863" s="4">
        <v>3.47</v>
      </c>
      <c r="V863" s="4">
        <v>2.3530000000000002</v>
      </c>
      <c r="W863" s="4">
        <v>16.170000000000002</v>
      </c>
    </row>
    <row r="864" spans="1:23" ht="15" customHeight="1" x14ac:dyDescent="0.25">
      <c r="A864">
        <v>1248</v>
      </c>
      <c r="B864" s="1">
        <v>45798.833333333343</v>
      </c>
      <c r="C864">
        <v>20</v>
      </c>
      <c r="D864" t="s">
        <v>48</v>
      </c>
      <c r="E864">
        <v>5</v>
      </c>
      <c r="F864" t="s">
        <v>35</v>
      </c>
      <c r="G864" t="s">
        <v>33</v>
      </c>
      <c r="H864" t="s">
        <v>51</v>
      </c>
      <c r="I864" t="s">
        <v>25</v>
      </c>
      <c r="J864" t="s">
        <v>15</v>
      </c>
      <c r="K864" s="2">
        <v>17400</v>
      </c>
      <c r="L864" s="3">
        <v>23.8</v>
      </c>
      <c r="M864" s="3">
        <v>72.2</v>
      </c>
      <c r="N864" s="3">
        <v>55.2</v>
      </c>
      <c r="O864" s="2">
        <v>1333</v>
      </c>
      <c r="P864">
        <v>1</v>
      </c>
      <c r="Q864" t="s">
        <v>23</v>
      </c>
      <c r="R864" s="4">
        <v>275.08999999999997</v>
      </c>
      <c r="S864" s="4">
        <v>6.72</v>
      </c>
      <c r="T864" t="s">
        <v>37</v>
      </c>
      <c r="U864" s="4">
        <v>56.47</v>
      </c>
      <c r="V864" s="4">
        <v>15.81</v>
      </c>
      <c r="W864" s="4">
        <v>268.37</v>
      </c>
    </row>
    <row r="865" spans="1:23" ht="15" customHeight="1" x14ac:dyDescent="0.25">
      <c r="A865">
        <v>1616</v>
      </c>
      <c r="B865" s="1">
        <v>45798.833333333343</v>
      </c>
      <c r="C865">
        <v>20</v>
      </c>
      <c r="D865" t="s">
        <v>48</v>
      </c>
      <c r="E865">
        <v>5</v>
      </c>
      <c r="F865" t="s">
        <v>35</v>
      </c>
      <c r="G865" t="s">
        <v>33</v>
      </c>
      <c r="H865" t="s">
        <v>49</v>
      </c>
      <c r="I865" t="s">
        <v>27</v>
      </c>
      <c r="J865" t="s">
        <v>18</v>
      </c>
      <c r="K865" s="2">
        <v>26000</v>
      </c>
      <c r="L865" s="3">
        <v>19.899999999999999</v>
      </c>
      <c r="M865" s="3">
        <v>56.2</v>
      </c>
      <c r="N865" s="3">
        <v>58.5</v>
      </c>
      <c r="O865" s="2">
        <v>173</v>
      </c>
      <c r="P865">
        <v>0</v>
      </c>
      <c r="Q865" t="s">
        <v>14</v>
      </c>
      <c r="R865" s="4">
        <v>222.33</v>
      </c>
      <c r="S865" s="4">
        <v>15.62</v>
      </c>
      <c r="T865" t="s">
        <v>37</v>
      </c>
      <c r="U865" s="4">
        <v>45.81</v>
      </c>
      <c r="V865" s="4">
        <v>8.5510000000000002</v>
      </c>
      <c r="W865" s="4">
        <v>206.71</v>
      </c>
    </row>
    <row r="866" spans="1:23" ht="15" customHeight="1" x14ac:dyDescent="0.25">
      <c r="A866">
        <v>1249</v>
      </c>
      <c r="B866" s="1">
        <v>45802</v>
      </c>
      <c r="C866">
        <v>0</v>
      </c>
      <c r="D866" t="s">
        <v>55</v>
      </c>
      <c r="E866">
        <v>5</v>
      </c>
      <c r="F866" t="s">
        <v>35</v>
      </c>
      <c r="G866" t="s">
        <v>36</v>
      </c>
      <c r="H866" t="s">
        <v>51</v>
      </c>
      <c r="I866" t="s">
        <v>25</v>
      </c>
      <c r="J866" t="s">
        <v>15</v>
      </c>
      <c r="K866" s="2">
        <v>17400</v>
      </c>
      <c r="L866" s="3">
        <v>17.2</v>
      </c>
      <c r="M866" s="3">
        <v>69.3</v>
      </c>
      <c r="N866" s="3">
        <v>0</v>
      </c>
      <c r="O866" s="2">
        <v>0</v>
      </c>
      <c r="P866">
        <v>0</v>
      </c>
      <c r="Q866" t="s">
        <v>14</v>
      </c>
      <c r="R866" s="4">
        <v>48.57</v>
      </c>
      <c r="S866" s="4">
        <v>0</v>
      </c>
      <c r="T866" t="s">
        <v>31</v>
      </c>
      <c r="U866" s="4">
        <v>4.33</v>
      </c>
      <c r="V866" s="4">
        <v>2.7909999999999999</v>
      </c>
      <c r="W866" s="4">
        <v>48.57</v>
      </c>
    </row>
    <row r="867" spans="1:23" ht="15" customHeight="1" x14ac:dyDescent="0.25">
      <c r="A867">
        <v>513</v>
      </c>
      <c r="B867" s="1">
        <v>45802</v>
      </c>
      <c r="C867">
        <v>0</v>
      </c>
      <c r="D867" t="s">
        <v>55</v>
      </c>
      <c r="E867">
        <v>5</v>
      </c>
      <c r="F867" t="s">
        <v>35</v>
      </c>
      <c r="G867" t="s">
        <v>36</v>
      </c>
      <c r="H867" t="s">
        <v>54</v>
      </c>
      <c r="I867" t="s">
        <v>16</v>
      </c>
      <c r="J867" t="s">
        <v>24</v>
      </c>
      <c r="K867" s="2">
        <v>8600</v>
      </c>
      <c r="L867" s="3">
        <v>16.100000000000001</v>
      </c>
      <c r="M867" s="3">
        <v>81.7</v>
      </c>
      <c r="N867" s="3">
        <v>0</v>
      </c>
      <c r="O867" s="2">
        <v>16</v>
      </c>
      <c r="P867">
        <v>0</v>
      </c>
      <c r="Q867" t="s">
        <v>14</v>
      </c>
      <c r="R867" s="4">
        <v>12.97</v>
      </c>
      <c r="S867" s="4">
        <v>0</v>
      </c>
      <c r="T867" t="s">
        <v>31</v>
      </c>
      <c r="U867" s="4">
        <v>1.1299999999999999</v>
      </c>
      <c r="V867" s="4">
        <v>1.508</v>
      </c>
      <c r="W867" s="4">
        <v>12.97</v>
      </c>
    </row>
    <row r="868" spans="1:23" ht="15" customHeight="1" x14ac:dyDescent="0.25">
      <c r="A868">
        <v>145</v>
      </c>
      <c r="B868" s="1">
        <v>45802</v>
      </c>
      <c r="C868">
        <v>0</v>
      </c>
      <c r="D868" t="s">
        <v>55</v>
      </c>
      <c r="E868">
        <v>5</v>
      </c>
      <c r="F868" t="s">
        <v>35</v>
      </c>
      <c r="G868" t="s">
        <v>36</v>
      </c>
      <c r="H868" t="s">
        <v>53</v>
      </c>
      <c r="I868" t="s">
        <v>19</v>
      </c>
      <c r="J868" t="s">
        <v>26</v>
      </c>
      <c r="K868" s="2">
        <v>12500</v>
      </c>
      <c r="L868" s="3">
        <v>14.7</v>
      </c>
      <c r="M868" s="3">
        <v>77</v>
      </c>
      <c r="N868" s="3">
        <v>0</v>
      </c>
      <c r="O868" s="2">
        <v>10</v>
      </c>
      <c r="P868">
        <v>0</v>
      </c>
      <c r="Q868" t="s">
        <v>14</v>
      </c>
      <c r="R868" s="4">
        <v>24.12</v>
      </c>
      <c r="S868" s="4">
        <v>0</v>
      </c>
      <c r="T868" t="s">
        <v>31</v>
      </c>
      <c r="U868" s="4">
        <v>2.1800000000000002</v>
      </c>
      <c r="V868" s="4">
        <v>1.93</v>
      </c>
      <c r="W868" s="4">
        <v>24.12</v>
      </c>
    </row>
    <row r="869" spans="1:23" ht="15" customHeight="1" x14ac:dyDescent="0.25">
      <c r="A869">
        <v>1617</v>
      </c>
      <c r="B869" s="1">
        <v>45802</v>
      </c>
      <c r="C869">
        <v>0</v>
      </c>
      <c r="D869" t="s">
        <v>55</v>
      </c>
      <c r="E869">
        <v>5</v>
      </c>
      <c r="F869" t="s">
        <v>35</v>
      </c>
      <c r="G869" t="s">
        <v>36</v>
      </c>
      <c r="H869" t="s">
        <v>49</v>
      </c>
      <c r="I869" t="s">
        <v>27</v>
      </c>
      <c r="J869" t="s">
        <v>18</v>
      </c>
      <c r="K869" s="2">
        <v>26000</v>
      </c>
      <c r="L869" s="3">
        <v>17.2</v>
      </c>
      <c r="M869" s="3">
        <v>59.3</v>
      </c>
      <c r="N869" s="3">
        <v>0</v>
      </c>
      <c r="O869" s="2">
        <v>32</v>
      </c>
      <c r="P869">
        <v>0</v>
      </c>
      <c r="Q869" t="s">
        <v>14</v>
      </c>
      <c r="R869" s="4">
        <v>68.599999999999994</v>
      </c>
      <c r="S869" s="4">
        <v>0</v>
      </c>
      <c r="T869" t="s">
        <v>31</v>
      </c>
      <c r="U869" s="4">
        <v>6.07</v>
      </c>
      <c r="V869" s="4">
        <v>2.6379999999999999</v>
      </c>
      <c r="W869" s="4">
        <v>68.599999999999994</v>
      </c>
    </row>
    <row r="870" spans="1:23" ht="15" customHeight="1" x14ac:dyDescent="0.25">
      <c r="A870">
        <v>1985</v>
      </c>
      <c r="B870" s="1">
        <v>45802</v>
      </c>
      <c r="C870">
        <v>0</v>
      </c>
      <c r="D870" t="s">
        <v>55</v>
      </c>
      <c r="E870">
        <v>5</v>
      </c>
      <c r="F870" t="s">
        <v>35</v>
      </c>
      <c r="G870" t="s">
        <v>36</v>
      </c>
      <c r="H870" t="s">
        <v>52</v>
      </c>
      <c r="I870" t="s">
        <v>13</v>
      </c>
      <c r="J870" t="s">
        <v>21</v>
      </c>
      <c r="K870" s="2">
        <v>9800</v>
      </c>
      <c r="L870" s="3">
        <v>17.100000000000001</v>
      </c>
      <c r="M870" s="3">
        <v>69.599999999999994</v>
      </c>
      <c r="N870" s="3">
        <v>0</v>
      </c>
      <c r="O870" s="2">
        <v>315</v>
      </c>
      <c r="P870">
        <v>0</v>
      </c>
      <c r="Q870" t="s">
        <v>14</v>
      </c>
      <c r="R870" s="4">
        <v>99.19</v>
      </c>
      <c r="S870" s="4">
        <v>0</v>
      </c>
      <c r="T870" t="s">
        <v>31</v>
      </c>
      <c r="U870" s="4">
        <v>8.44</v>
      </c>
      <c r="V870" s="4">
        <v>10.121</v>
      </c>
      <c r="W870" s="4">
        <v>99.19</v>
      </c>
    </row>
    <row r="871" spans="1:23" ht="15" customHeight="1" x14ac:dyDescent="0.25">
      <c r="A871">
        <v>881</v>
      </c>
      <c r="B871" s="1">
        <v>45802</v>
      </c>
      <c r="C871">
        <v>0</v>
      </c>
      <c r="D871" t="s">
        <v>55</v>
      </c>
      <c r="E871">
        <v>5</v>
      </c>
      <c r="F871" t="s">
        <v>35</v>
      </c>
      <c r="G871" t="s">
        <v>36</v>
      </c>
      <c r="H871" t="s">
        <v>50</v>
      </c>
      <c r="I871" t="s">
        <v>22</v>
      </c>
      <c r="J871" t="s">
        <v>12</v>
      </c>
      <c r="K871" s="2">
        <v>21000</v>
      </c>
      <c r="L871" s="3">
        <v>20.9</v>
      </c>
      <c r="M871" s="3"/>
      <c r="N871" s="3">
        <v>0</v>
      </c>
      <c r="O871" s="2">
        <v>254</v>
      </c>
      <c r="P871">
        <v>0</v>
      </c>
      <c r="Q871" t="s">
        <v>14</v>
      </c>
      <c r="R871" s="4">
        <v>190.62</v>
      </c>
      <c r="S871" s="4">
        <v>0</v>
      </c>
      <c r="T871" t="s">
        <v>31</v>
      </c>
      <c r="U871" s="4">
        <v>17.329999999999998</v>
      </c>
      <c r="V871" s="4">
        <v>9.077</v>
      </c>
      <c r="W871" s="4">
        <v>190.62</v>
      </c>
    </row>
    <row r="872" spans="1:23" ht="15" customHeight="1" x14ac:dyDescent="0.25">
      <c r="A872">
        <v>882</v>
      </c>
      <c r="B872" s="1">
        <v>45802.333333333343</v>
      </c>
      <c r="C872">
        <v>8</v>
      </c>
      <c r="D872" t="s">
        <v>55</v>
      </c>
      <c r="E872">
        <v>5</v>
      </c>
      <c r="F872" t="s">
        <v>35</v>
      </c>
      <c r="G872" t="s">
        <v>36</v>
      </c>
      <c r="H872" t="s">
        <v>50</v>
      </c>
      <c r="I872" t="s">
        <v>22</v>
      </c>
      <c r="J872" t="s">
        <v>12</v>
      </c>
      <c r="K872" s="2">
        <v>21000</v>
      </c>
      <c r="L872" s="3">
        <v>24.9</v>
      </c>
      <c r="M872" s="3">
        <v>51.8</v>
      </c>
      <c r="N872" s="3">
        <v>399.5</v>
      </c>
      <c r="O872" s="2">
        <v>417</v>
      </c>
      <c r="P872">
        <v>1</v>
      </c>
      <c r="Q872" t="s">
        <v>20</v>
      </c>
      <c r="R872" s="4">
        <v>224.2</v>
      </c>
      <c r="S872" s="4">
        <v>79.44</v>
      </c>
      <c r="T872" t="s">
        <v>31</v>
      </c>
      <c r="U872" s="4">
        <v>12.9</v>
      </c>
      <c r="V872" s="4">
        <v>10.676</v>
      </c>
      <c r="W872" s="4">
        <v>144.76</v>
      </c>
    </row>
    <row r="873" spans="1:23" ht="15" customHeight="1" x14ac:dyDescent="0.25">
      <c r="A873">
        <v>514</v>
      </c>
      <c r="B873" s="1">
        <v>45802.333333333343</v>
      </c>
      <c r="C873">
        <v>8</v>
      </c>
      <c r="D873" t="s">
        <v>55</v>
      </c>
      <c r="E873">
        <v>5</v>
      </c>
      <c r="F873" t="s">
        <v>35</v>
      </c>
      <c r="G873" t="s">
        <v>36</v>
      </c>
      <c r="H873" t="s">
        <v>54</v>
      </c>
      <c r="I873" t="s">
        <v>16</v>
      </c>
      <c r="J873" t="s">
        <v>24</v>
      </c>
      <c r="K873" s="2">
        <v>8600</v>
      </c>
      <c r="L873" s="3">
        <v>19.399999999999999</v>
      </c>
      <c r="M873" s="3">
        <v>76.599999999999994</v>
      </c>
      <c r="N873" s="3">
        <v>295.60000000000002</v>
      </c>
      <c r="O873" s="2"/>
      <c r="P873">
        <v>0</v>
      </c>
      <c r="Q873" t="s">
        <v>14</v>
      </c>
      <c r="R873" s="4">
        <v>13.41</v>
      </c>
      <c r="S873" s="4">
        <v>23.16</v>
      </c>
      <c r="T873" t="s">
        <v>31</v>
      </c>
      <c r="U873" s="4">
        <v>-0.33</v>
      </c>
      <c r="V873" s="4">
        <v>1.5589999999999999</v>
      </c>
      <c r="W873" s="4">
        <v>0</v>
      </c>
    </row>
    <row r="874" spans="1:23" ht="15" customHeight="1" x14ac:dyDescent="0.25">
      <c r="A874">
        <v>146</v>
      </c>
      <c r="B874" s="1">
        <v>45802.333333333343</v>
      </c>
      <c r="C874">
        <v>8</v>
      </c>
      <c r="D874" t="s">
        <v>55</v>
      </c>
      <c r="E874">
        <v>5</v>
      </c>
      <c r="F874" t="s">
        <v>35</v>
      </c>
      <c r="G874" t="s">
        <v>36</v>
      </c>
      <c r="H874" t="s">
        <v>53</v>
      </c>
      <c r="I874" t="s">
        <v>19</v>
      </c>
      <c r="J874" t="s">
        <v>26</v>
      </c>
      <c r="K874" s="2">
        <v>12500</v>
      </c>
      <c r="L874" s="3">
        <v>21.6</v>
      </c>
      <c r="M874" s="3">
        <v>50.4</v>
      </c>
      <c r="N874" s="3">
        <v>388.7</v>
      </c>
      <c r="O874" s="2">
        <v>0</v>
      </c>
      <c r="P874">
        <v>0</v>
      </c>
      <c r="Q874" t="s">
        <v>14</v>
      </c>
      <c r="R874" s="4">
        <v>14.72</v>
      </c>
      <c r="S874" s="4">
        <v>60.76</v>
      </c>
      <c r="T874" t="s">
        <v>31</v>
      </c>
      <c r="U874" s="4">
        <v>-1.63</v>
      </c>
      <c r="V874" s="4">
        <v>1.1779999999999999</v>
      </c>
      <c r="W874" s="4">
        <v>0</v>
      </c>
    </row>
    <row r="875" spans="1:23" ht="15" customHeight="1" x14ac:dyDescent="0.25">
      <c r="A875">
        <v>1986</v>
      </c>
      <c r="B875" s="1">
        <v>45802.333333333343</v>
      </c>
      <c r="C875">
        <v>8</v>
      </c>
      <c r="D875" t="s">
        <v>55</v>
      </c>
      <c r="E875">
        <v>5</v>
      </c>
      <c r="F875" t="s">
        <v>35</v>
      </c>
      <c r="G875" t="s">
        <v>36</v>
      </c>
      <c r="H875" t="s">
        <v>52</v>
      </c>
      <c r="I875" t="s">
        <v>13</v>
      </c>
      <c r="J875" t="s">
        <v>21</v>
      </c>
      <c r="K875" s="2">
        <v>9800</v>
      </c>
      <c r="L875" s="3">
        <v>20.2</v>
      </c>
      <c r="M875" s="3">
        <v>71.5</v>
      </c>
      <c r="N875" s="3">
        <v>430.2</v>
      </c>
      <c r="O875" s="2">
        <v>108</v>
      </c>
      <c r="P875">
        <v>0</v>
      </c>
      <c r="Q875" t="s">
        <v>14</v>
      </c>
      <c r="R875" s="4">
        <v>28.07</v>
      </c>
      <c r="S875" s="4">
        <v>0</v>
      </c>
      <c r="T875" t="s">
        <v>31</v>
      </c>
      <c r="U875" s="4">
        <v>2.5099999999999998</v>
      </c>
      <c r="V875" s="4">
        <v>2.8639999999999999</v>
      </c>
      <c r="W875" s="4">
        <v>28.07</v>
      </c>
    </row>
    <row r="876" spans="1:23" ht="15" customHeight="1" x14ac:dyDescent="0.25">
      <c r="A876">
        <v>1250</v>
      </c>
      <c r="B876" s="1">
        <v>45802.333333333343</v>
      </c>
      <c r="C876">
        <v>8</v>
      </c>
      <c r="D876" t="s">
        <v>55</v>
      </c>
      <c r="E876">
        <v>5</v>
      </c>
      <c r="F876" t="s">
        <v>35</v>
      </c>
      <c r="G876" t="s">
        <v>36</v>
      </c>
      <c r="H876" t="s">
        <v>51</v>
      </c>
      <c r="I876" t="s">
        <v>25</v>
      </c>
      <c r="J876" t="s">
        <v>15</v>
      </c>
      <c r="K876" s="2">
        <v>17400</v>
      </c>
      <c r="L876" s="3">
        <v>24.1</v>
      </c>
      <c r="M876" s="3">
        <v>55.6</v>
      </c>
      <c r="N876" s="3">
        <v>388.1</v>
      </c>
      <c r="O876" s="2">
        <v>76</v>
      </c>
      <c r="P876">
        <v>1</v>
      </c>
      <c r="Q876" t="s">
        <v>20</v>
      </c>
      <c r="R876" s="4">
        <v>46.65</v>
      </c>
      <c r="S876" s="4">
        <v>51.22</v>
      </c>
      <c r="T876" t="s">
        <v>31</v>
      </c>
      <c r="U876" s="4">
        <v>-0.16</v>
      </c>
      <c r="V876" s="4">
        <v>2.681</v>
      </c>
      <c r="W876" s="4">
        <v>0</v>
      </c>
    </row>
    <row r="877" spans="1:23" ht="15" customHeight="1" x14ac:dyDescent="0.25">
      <c r="A877">
        <v>1618</v>
      </c>
      <c r="B877" s="1">
        <v>45802.333333333343</v>
      </c>
      <c r="C877">
        <v>8</v>
      </c>
      <c r="D877" t="s">
        <v>55</v>
      </c>
      <c r="E877">
        <v>5</v>
      </c>
      <c r="F877" t="s">
        <v>35</v>
      </c>
      <c r="G877" t="s">
        <v>36</v>
      </c>
      <c r="H877" t="s">
        <v>49</v>
      </c>
      <c r="I877" t="s">
        <v>27</v>
      </c>
      <c r="J877" t="s">
        <v>18</v>
      </c>
      <c r="K877" s="2">
        <v>26000</v>
      </c>
      <c r="L877" s="3">
        <v>19</v>
      </c>
      <c r="M877" s="3">
        <v>65.8</v>
      </c>
      <c r="N877" s="3">
        <v>402.3</v>
      </c>
      <c r="O877" s="2">
        <v>80</v>
      </c>
      <c r="P877">
        <v>0</v>
      </c>
      <c r="Q877" t="s">
        <v>14</v>
      </c>
      <c r="R877" s="4">
        <v>82.21</v>
      </c>
      <c r="S877" s="4">
        <v>106.1</v>
      </c>
      <c r="T877" t="s">
        <v>31</v>
      </c>
      <c r="U877" s="4">
        <v>-0.85</v>
      </c>
      <c r="V877" s="4">
        <v>3.1619999999999999</v>
      </c>
      <c r="W877" s="4">
        <v>0</v>
      </c>
    </row>
    <row r="878" spans="1:23" ht="15" customHeight="1" x14ac:dyDescent="0.25">
      <c r="A878">
        <v>515</v>
      </c>
      <c r="B878" s="1">
        <v>45802.583333333343</v>
      </c>
      <c r="C878">
        <v>14</v>
      </c>
      <c r="D878" t="s">
        <v>55</v>
      </c>
      <c r="E878">
        <v>5</v>
      </c>
      <c r="F878" t="s">
        <v>35</v>
      </c>
      <c r="G878" t="s">
        <v>36</v>
      </c>
      <c r="H878" t="s">
        <v>54</v>
      </c>
      <c r="I878" t="s">
        <v>16</v>
      </c>
      <c r="J878" t="s">
        <v>24</v>
      </c>
      <c r="K878" s="2">
        <v>8600</v>
      </c>
      <c r="L878" s="3">
        <v>20.8</v>
      </c>
      <c r="M878" s="3">
        <v>82.5</v>
      </c>
      <c r="N878" s="3">
        <v>809.6</v>
      </c>
      <c r="O878" s="2"/>
      <c r="P878">
        <v>0</v>
      </c>
      <c r="Q878" t="s">
        <v>14</v>
      </c>
      <c r="R878" s="4">
        <v>9.24</v>
      </c>
      <c r="S878" s="4">
        <v>61.81</v>
      </c>
      <c r="T878" t="s">
        <v>31</v>
      </c>
      <c r="U878" s="4">
        <v>-1.79</v>
      </c>
      <c r="V878" s="4">
        <v>1.0740000000000001</v>
      </c>
      <c r="W878" s="4">
        <v>0</v>
      </c>
    </row>
    <row r="879" spans="1:23" ht="15" customHeight="1" x14ac:dyDescent="0.25">
      <c r="A879">
        <v>1251</v>
      </c>
      <c r="B879" s="1">
        <v>45802.583333333343</v>
      </c>
      <c r="C879">
        <v>14</v>
      </c>
      <c r="D879" t="s">
        <v>55</v>
      </c>
      <c r="E879">
        <v>5</v>
      </c>
      <c r="F879" t="s">
        <v>35</v>
      </c>
      <c r="G879" t="s">
        <v>36</v>
      </c>
      <c r="H879" t="s">
        <v>51</v>
      </c>
      <c r="I879" t="s">
        <v>25</v>
      </c>
      <c r="J879" t="s">
        <v>15</v>
      </c>
      <c r="K879" s="2">
        <v>17400</v>
      </c>
      <c r="L879" s="3">
        <v>28.3</v>
      </c>
      <c r="M879" s="3">
        <v>67</v>
      </c>
      <c r="N879" s="3">
        <v>659.7</v>
      </c>
      <c r="O879" s="2">
        <v>1558</v>
      </c>
      <c r="P879">
        <v>1</v>
      </c>
      <c r="Q879" t="s">
        <v>20</v>
      </c>
      <c r="R879" s="4">
        <v>237.08</v>
      </c>
      <c r="S879" s="4">
        <v>77.36</v>
      </c>
      <c r="T879" t="s">
        <v>31</v>
      </c>
      <c r="U879" s="4">
        <v>14.22</v>
      </c>
      <c r="V879" s="4">
        <v>13.625</v>
      </c>
      <c r="W879" s="4">
        <v>159.72</v>
      </c>
    </row>
    <row r="880" spans="1:23" ht="15" customHeight="1" x14ac:dyDescent="0.25">
      <c r="A880">
        <v>1987</v>
      </c>
      <c r="B880" s="1">
        <v>45802.583333333343</v>
      </c>
      <c r="C880">
        <v>14</v>
      </c>
      <c r="D880" t="s">
        <v>55</v>
      </c>
      <c r="E880">
        <v>5</v>
      </c>
      <c r="F880" t="s">
        <v>35</v>
      </c>
      <c r="G880" t="s">
        <v>36</v>
      </c>
      <c r="H880" t="s">
        <v>52</v>
      </c>
      <c r="I880" t="s">
        <v>13</v>
      </c>
      <c r="J880" t="s">
        <v>21</v>
      </c>
      <c r="K880" s="2">
        <v>9800</v>
      </c>
      <c r="L880" s="3">
        <v>23.8</v>
      </c>
      <c r="M880" s="3">
        <v>59.3</v>
      </c>
      <c r="N880" s="3">
        <v>855.1</v>
      </c>
      <c r="O880" s="2">
        <v>129</v>
      </c>
      <c r="P880">
        <v>1</v>
      </c>
      <c r="Q880" t="s">
        <v>23</v>
      </c>
      <c r="R880" s="4">
        <v>26.59</v>
      </c>
      <c r="S880" s="4">
        <v>0</v>
      </c>
      <c r="T880" t="s">
        <v>31</v>
      </c>
      <c r="U880" s="4">
        <v>2.2799999999999998</v>
      </c>
      <c r="V880" s="4">
        <v>2.7130000000000001</v>
      </c>
      <c r="W880" s="4">
        <v>26.59</v>
      </c>
    </row>
    <row r="881" spans="1:23" ht="15" customHeight="1" x14ac:dyDescent="0.25">
      <c r="A881">
        <v>147</v>
      </c>
      <c r="B881" s="1">
        <v>45802.583333333343</v>
      </c>
      <c r="C881">
        <v>14</v>
      </c>
      <c r="D881" t="s">
        <v>55</v>
      </c>
      <c r="E881">
        <v>5</v>
      </c>
      <c r="F881" t="s">
        <v>35</v>
      </c>
      <c r="G881" t="s">
        <v>36</v>
      </c>
      <c r="H881" t="s">
        <v>53</v>
      </c>
      <c r="I881" t="s">
        <v>19</v>
      </c>
      <c r="J881" t="s">
        <v>26</v>
      </c>
      <c r="K881" s="2">
        <v>12500</v>
      </c>
      <c r="L881" s="3">
        <v>27.2</v>
      </c>
      <c r="M881" s="3">
        <v>56.6</v>
      </c>
      <c r="N881" s="3">
        <v>743.4</v>
      </c>
      <c r="O881" s="2">
        <v>0</v>
      </c>
      <c r="P881">
        <v>0</v>
      </c>
      <c r="Q881" t="s">
        <v>14</v>
      </c>
      <c r="R881" s="4">
        <v>16.91</v>
      </c>
      <c r="S881" s="4">
        <v>108.02</v>
      </c>
      <c r="T881" t="s">
        <v>31</v>
      </c>
      <c r="U881" s="4">
        <v>-3.2</v>
      </c>
      <c r="V881" s="4">
        <v>1.353</v>
      </c>
      <c r="W881" s="4">
        <v>0</v>
      </c>
    </row>
    <row r="882" spans="1:23" ht="15" customHeight="1" x14ac:dyDescent="0.25">
      <c r="A882">
        <v>1619</v>
      </c>
      <c r="B882" s="1">
        <v>45802.583333333343</v>
      </c>
      <c r="C882">
        <v>14</v>
      </c>
      <c r="D882" t="s">
        <v>55</v>
      </c>
      <c r="E882">
        <v>5</v>
      </c>
      <c r="F882" t="s">
        <v>35</v>
      </c>
      <c r="G882" t="s">
        <v>36</v>
      </c>
      <c r="H882" t="s">
        <v>49</v>
      </c>
      <c r="I882" t="s">
        <v>27</v>
      </c>
      <c r="J882" t="s">
        <v>18</v>
      </c>
      <c r="K882" s="2">
        <v>26000</v>
      </c>
      <c r="L882" s="3">
        <v>26.9</v>
      </c>
      <c r="M882" s="3">
        <v>69.099999999999994</v>
      </c>
      <c r="N882" s="3">
        <v>691.6</v>
      </c>
      <c r="O882" s="2">
        <v>59</v>
      </c>
      <c r="P882">
        <v>1</v>
      </c>
      <c r="Q882" t="s">
        <v>20</v>
      </c>
      <c r="R882" s="4">
        <v>95.51</v>
      </c>
      <c r="S882" s="4">
        <v>173.89</v>
      </c>
      <c r="T882" t="s">
        <v>31</v>
      </c>
      <c r="U882" s="4">
        <v>-2.82</v>
      </c>
      <c r="V882" s="4">
        <v>3.673</v>
      </c>
      <c r="W882" s="4">
        <v>0</v>
      </c>
    </row>
    <row r="883" spans="1:23" ht="15" customHeight="1" x14ac:dyDescent="0.25">
      <c r="A883">
        <v>883</v>
      </c>
      <c r="B883" s="1">
        <v>45802.583333333343</v>
      </c>
      <c r="C883">
        <v>14</v>
      </c>
      <c r="D883" t="s">
        <v>55</v>
      </c>
      <c r="E883">
        <v>5</v>
      </c>
      <c r="F883" t="s">
        <v>35</v>
      </c>
      <c r="G883" t="s">
        <v>36</v>
      </c>
      <c r="H883" t="s">
        <v>50</v>
      </c>
      <c r="I883" t="s">
        <v>22</v>
      </c>
      <c r="J883" t="s">
        <v>12</v>
      </c>
      <c r="K883" s="2">
        <v>21000</v>
      </c>
      <c r="L883" s="3">
        <v>33.5</v>
      </c>
      <c r="M883" s="3">
        <v>44.5</v>
      </c>
      <c r="N883" s="3">
        <v>842.4</v>
      </c>
      <c r="O883" s="2">
        <v>418</v>
      </c>
      <c r="P883">
        <v>1</v>
      </c>
      <c r="Q883" t="s">
        <v>20</v>
      </c>
      <c r="R883" s="4">
        <v>221.55</v>
      </c>
      <c r="S883" s="4">
        <v>160.80000000000001</v>
      </c>
      <c r="T883" t="s">
        <v>31</v>
      </c>
      <c r="U883" s="4">
        <v>5.32</v>
      </c>
      <c r="V883" s="4">
        <v>10.55</v>
      </c>
      <c r="W883" s="4">
        <v>60.75</v>
      </c>
    </row>
    <row r="884" spans="1:23" ht="15" customHeight="1" x14ac:dyDescent="0.25">
      <c r="A884">
        <v>148</v>
      </c>
      <c r="B884" s="1">
        <v>45802.833333333343</v>
      </c>
      <c r="C884">
        <v>20</v>
      </c>
      <c r="D884" t="s">
        <v>55</v>
      </c>
      <c r="E884">
        <v>5</v>
      </c>
      <c r="F884" t="s">
        <v>35</v>
      </c>
      <c r="G884" t="s">
        <v>36</v>
      </c>
      <c r="H884" t="s">
        <v>53</v>
      </c>
      <c r="I884" t="s">
        <v>19</v>
      </c>
      <c r="J884" t="s">
        <v>26</v>
      </c>
      <c r="K884" s="2">
        <v>12500</v>
      </c>
      <c r="L884" s="3">
        <v>22.9</v>
      </c>
      <c r="M884" s="3">
        <v>47.6</v>
      </c>
      <c r="N884" s="3">
        <v>36</v>
      </c>
      <c r="O884" s="2">
        <v>0</v>
      </c>
      <c r="P884">
        <v>0</v>
      </c>
      <c r="Q884" t="s">
        <v>14</v>
      </c>
      <c r="R884" s="4">
        <v>22.62</v>
      </c>
      <c r="S884" s="4">
        <v>5.33</v>
      </c>
      <c r="T884" t="s">
        <v>31</v>
      </c>
      <c r="U884" s="4">
        <v>1.52</v>
      </c>
      <c r="V884" s="4">
        <v>1.81</v>
      </c>
      <c r="W884" s="4">
        <v>17.29</v>
      </c>
    </row>
    <row r="885" spans="1:23" ht="15" customHeight="1" x14ac:dyDescent="0.25">
      <c r="A885">
        <v>1252</v>
      </c>
      <c r="B885" s="1">
        <v>45802.833333333343</v>
      </c>
      <c r="C885">
        <v>20</v>
      </c>
      <c r="D885" t="s">
        <v>55</v>
      </c>
      <c r="E885">
        <v>5</v>
      </c>
      <c r="F885" t="s">
        <v>35</v>
      </c>
      <c r="G885" t="s">
        <v>36</v>
      </c>
      <c r="H885" t="s">
        <v>51</v>
      </c>
      <c r="I885" t="s">
        <v>25</v>
      </c>
      <c r="J885" t="s">
        <v>15</v>
      </c>
      <c r="K885" s="2">
        <v>17400</v>
      </c>
      <c r="L885" s="3">
        <v>24.6</v>
      </c>
      <c r="M885" s="3"/>
      <c r="N885" s="3">
        <v>79.599999999999994</v>
      </c>
      <c r="O885" s="2">
        <v>1711</v>
      </c>
      <c r="P885">
        <v>1</v>
      </c>
      <c r="Q885" t="s">
        <v>20</v>
      </c>
      <c r="R885" s="4">
        <v>332.42</v>
      </c>
      <c r="S885" s="4">
        <v>9.81</v>
      </c>
      <c r="T885" t="s">
        <v>31</v>
      </c>
      <c r="U885" s="4">
        <v>28.91</v>
      </c>
      <c r="V885" s="4">
        <v>19.105</v>
      </c>
      <c r="W885" s="4">
        <v>322.61</v>
      </c>
    </row>
    <row r="886" spans="1:23" ht="15" customHeight="1" x14ac:dyDescent="0.25">
      <c r="A886">
        <v>1988</v>
      </c>
      <c r="B886" s="1">
        <v>45802.833333333343</v>
      </c>
      <c r="C886">
        <v>20</v>
      </c>
      <c r="D886" t="s">
        <v>55</v>
      </c>
      <c r="E886">
        <v>5</v>
      </c>
      <c r="F886" t="s">
        <v>35</v>
      </c>
      <c r="G886" t="s">
        <v>36</v>
      </c>
      <c r="H886" t="s">
        <v>52</v>
      </c>
      <c r="I886" t="s">
        <v>13</v>
      </c>
      <c r="J886" t="s">
        <v>21</v>
      </c>
      <c r="K886" s="2">
        <v>9800</v>
      </c>
      <c r="L886" s="3">
        <v>22.2</v>
      </c>
      <c r="M886" s="3">
        <v>69.400000000000006</v>
      </c>
      <c r="N886" s="3">
        <v>14.8</v>
      </c>
      <c r="O886" s="2">
        <v>311</v>
      </c>
      <c r="P886">
        <v>0</v>
      </c>
      <c r="Q886" t="s">
        <v>14</v>
      </c>
      <c r="R886" s="4">
        <v>90.55</v>
      </c>
      <c r="S886" s="4">
        <v>0</v>
      </c>
      <c r="T886" t="s">
        <v>31</v>
      </c>
      <c r="U886" s="4">
        <v>7.99</v>
      </c>
      <c r="V886" s="4">
        <v>9.24</v>
      </c>
      <c r="W886" s="4">
        <v>90.55</v>
      </c>
    </row>
    <row r="887" spans="1:23" ht="15" customHeight="1" x14ac:dyDescent="0.25">
      <c r="A887">
        <v>884</v>
      </c>
      <c r="B887" s="1">
        <v>45802.833333333343</v>
      </c>
      <c r="C887">
        <v>20</v>
      </c>
      <c r="D887" t="s">
        <v>55</v>
      </c>
      <c r="E887">
        <v>5</v>
      </c>
      <c r="F887" t="s">
        <v>35</v>
      </c>
      <c r="G887" t="s">
        <v>36</v>
      </c>
      <c r="H887" t="s">
        <v>50</v>
      </c>
      <c r="I887" t="s">
        <v>22</v>
      </c>
      <c r="J887" t="s">
        <v>12</v>
      </c>
      <c r="K887" s="2">
        <v>21000</v>
      </c>
      <c r="L887" s="3">
        <v>27.1</v>
      </c>
      <c r="M887" s="3">
        <v>56.1</v>
      </c>
      <c r="N887" s="3">
        <v>21</v>
      </c>
      <c r="O887" s="2">
        <v>400</v>
      </c>
      <c r="P887">
        <v>1</v>
      </c>
      <c r="Q887" t="s">
        <v>20</v>
      </c>
      <c r="R887" s="4">
        <v>325.52999999999997</v>
      </c>
      <c r="S887" s="4">
        <v>4.17</v>
      </c>
      <c r="T887" t="s">
        <v>31</v>
      </c>
      <c r="U887" s="4">
        <v>27.93</v>
      </c>
      <c r="V887" s="4">
        <v>15.500999999999999</v>
      </c>
      <c r="W887" s="4">
        <v>321.36</v>
      </c>
    </row>
    <row r="888" spans="1:23" ht="15" customHeight="1" x14ac:dyDescent="0.25">
      <c r="A888">
        <v>516</v>
      </c>
      <c r="B888" s="1">
        <v>45802.833333333343</v>
      </c>
      <c r="C888">
        <v>20</v>
      </c>
      <c r="D888" t="s">
        <v>55</v>
      </c>
      <c r="E888">
        <v>5</v>
      </c>
      <c r="F888" t="s">
        <v>35</v>
      </c>
      <c r="G888" t="s">
        <v>36</v>
      </c>
      <c r="H888" t="s">
        <v>54</v>
      </c>
      <c r="I888" t="s">
        <v>16</v>
      </c>
      <c r="J888" t="s">
        <v>24</v>
      </c>
      <c r="K888" s="2">
        <v>8600</v>
      </c>
      <c r="L888" s="3">
        <v>20</v>
      </c>
      <c r="M888" s="3">
        <v>83.3</v>
      </c>
      <c r="N888" s="3">
        <v>5.3</v>
      </c>
      <c r="O888" s="2">
        <v>0</v>
      </c>
      <c r="P888">
        <v>0</v>
      </c>
      <c r="Q888" t="s">
        <v>14</v>
      </c>
      <c r="R888" s="4">
        <v>13.48</v>
      </c>
      <c r="S888" s="4">
        <v>0.4</v>
      </c>
      <c r="T888" t="s">
        <v>31</v>
      </c>
      <c r="U888" s="4">
        <v>1.1399999999999999</v>
      </c>
      <c r="V888" s="4">
        <v>1.5669999999999999</v>
      </c>
      <c r="W888" s="4">
        <v>13.08</v>
      </c>
    </row>
    <row r="889" spans="1:23" ht="15" customHeight="1" x14ac:dyDescent="0.25">
      <c r="A889">
        <v>1620</v>
      </c>
      <c r="B889" s="1">
        <v>45802.833333333343</v>
      </c>
      <c r="C889">
        <v>20</v>
      </c>
      <c r="D889" t="s">
        <v>55</v>
      </c>
      <c r="E889">
        <v>5</v>
      </c>
      <c r="F889" t="s">
        <v>35</v>
      </c>
      <c r="G889" t="s">
        <v>36</v>
      </c>
      <c r="H889" t="s">
        <v>49</v>
      </c>
      <c r="I889" t="s">
        <v>27</v>
      </c>
      <c r="J889" t="s">
        <v>18</v>
      </c>
      <c r="K889" s="2">
        <v>26000</v>
      </c>
      <c r="L889" s="3">
        <v>19.8</v>
      </c>
      <c r="M889" s="3">
        <v>51.6</v>
      </c>
      <c r="N889" s="3">
        <v>54</v>
      </c>
      <c r="O889" s="2">
        <v>63</v>
      </c>
      <c r="P889">
        <v>0</v>
      </c>
      <c r="Q889" t="s">
        <v>14</v>
      </c>
      <c r="R889" s="4">
        <v>137.19999999999999</v>
      </c>
      <c r="S889" s="4">
        <v>16.12</v>
      </c>
      <c r="T889" t="s">
        <v>31</v>
      </c>
      <c r="U889" s="4">
        <v>11.09</v>
      </c>
      <c r="V889" s="4">
        <v>5.2770000000000001</v>
      </c>
      <c r="W889" s="4">
        <v>121.08</v>
      </c>
    </row>
    <row r="890" spans="1:23" ht="15" customHeight="1" x14ac:dyDescent="0.25">
      <c r="A890">
        <v>1621</v>
      </c>
      <c r="B890" s="1">
        <v>45806</v>
      </c>
      <c r="C890">
        <v>0</v>
      </c>
      <c r="D890" t="s">
        <v>56</v>
      </c>
      <c r="E890">
        <v>5</v>
      </c>
      <c r="F890" t="s">
        <v>35</v>
      </c>
      <c r="G890" t="s">
        <v>33</v>
      </c>
      <c r="H890" t="s">
        <v>49</v>
      </c>
      <c r="I890" t="s">
        <v>27</v>
      </c>
      <c r="J890" t="s">
        <v>18</v>
      </c>
      <c r="K890" s="2">
        <v>26000</v>
      </c>
      <c r="L890" s="3">
        <v>17.399999999999999</v>
      </c>
      <c r="M890" s="3"/>
      <c r="N890" s="3">
        <v>0</v>
      </c>
      <c r="O890" s="2">
        <v>41</v>
      </c>
      <c r="P890">
        <v>0</v>
      </c>
      <c r="Q890" t="s">
        <v>14</v>
      </c>
      <c r="R890" s="4">
        <v>112.36</v>
      </c>
      <c r="S890" s="4">
        <v>0</v>
      </c>
      <c r="T890" t="s">
        <v>31</v>
      </c>
      <c r="U890" s="4">
        <v>10.37</v>
      </c>
      <c r="V890" s="4">
        <v>4.3220000000000001</v>
      </c>
      <c r="W890" s="4">
        <v>112.36</v>
      </c>
    </row>
    <row r="891" spans="1:23" ht="15" customHeight="1" x14ac:dyDescent="0.25">
      <c r="A891">
        <v>149</v>
      </c>
      <c r="B891" s="1">
        <v>45806</v>
      </c>
      <c r="C891">
        <v>0</v>
      </c>
      <c r="D891" t="s">
        <v>56</v>
      </c>
      <c r="E891">
        <v>5</v>
      </c>
      <c r="F891" t="s">
        <v>35</v>
      </c>
      <c r="G891" t="s">
        <v>33</v>
      </c>
      <c r="H891" t="s">
        <v>53</v>
      </c>
      <c r="I891" t="s">
        <v>19</v>
      </c>
      <c r="J891" t="s">
        <v>26</v>
      </c>
      <c r="K891" s="2">
        <v>12500</v>
      </c>
      <c r="L891" s="3">
        <v>17.100000000000001</v>
      </c>
      <c r="M891" s="3"/>
      <c r="N891" s="3">
        <v>0</v>
      </c>
      <c r="O891" s="2">
        <v>22</v>
      </c>
      <c r="P891">
        <v>0</v>
      </c>
      <c r="Q891" t="s">
        <v>14</v>
      </c>
      <c r="R891" s="4">
        <v>23.83</v>
      </c>
      <c r="S891" s="4">
        <v>0</v>
      </c>
      <c r="T891" t="s">
        <v>31</v>
      </c>
      <c r="U891" s="4">
        <v>2.08</v>
      </c>
      <c r="V891" s="4">
        <v>1.9059999999999999</v>
      </c>
      <c r="W891" s="4">
        <v>23.83</v>
      </c>
    </row>
    <row r="892" spans="1:23" ht="15" customHeight="1" x14ac:dyDescent="0.25">
      <c r="A892">
        <v>1989</v>
      </c>
      <c r="B892" s="1">
        <v>45806</v>
      </c>
      <c r="C892">
        <v>0</v>
      </c>
      <c r="D892" t="s">
        <v>56</v>
      </c>
      <c r="E892">
        <v>5</v>
      </c>
      <c r="F892" t="s">
        <v>35</v>
      </c>
      <c r="G892" t="s">
        <v>33</v>
      </c>
      <c r="H892" t="s">
        <v>52</v>
      </c>
      <c r="I892" t="s">
        <v>13</v>
      </c>
      <c r="J892" t="s">
        <v>21</v>
      </c>
      <c r="K892" s="2">
        <v>9800</v>
      </c>
      <c r="L892" s="3">
        <v>19</v>
      </c>
      <c r="M892" s="3">
        <v>82.2</v>
      </c>
      <c r="N892" s="3">
        <v>0</v>
      </c>
      <c r="O892" s="2">
        <v>270</v>
      </c>
      <c r="P892">
        <v>0</v>
      </c>
      <c r="Q892" t="s">
        <v>14</v>
      </c>
      <c r="R892" s="4">
        <v>86</v>
      </c>
      <c r="S892" s="4">
        <v>0</v>
      </c>
      <c r="T892" t="s">
        <v>31</v>
      </c>
      <c r="U892" s="4">
        <v>7.84</v>
      </c>
      <c r="V892" s="4">
        <v>8.7759999999999998</v>
      </c>
      <c r="W892" s="4">
        <v>86</v>
      </c>
    </row>
    <row r="893" spans="1:23" ht="15" customHeight="1" x14ac:dyDescent="0.25">
      <c r="A893">
        <v>1253</v>
      </c>
      <c r="B893" s="1">
        <v>45806</v>
      </c>
      <c r="C893">
        <v>0</v>
      </c>
      <c r="D893" t="s">
        <v>56</v>
      </c>
      <c r="E893">
        <v>5</v>
      </c>
      <c r="F893" t="s">
        <v>35</v>
      </c>
      <c r="G893" t="s">
        <v>33</v>
      </c>
      <c r="H893" t="s">
        <v>51</v>
      </c>
      <c r="I893" t="s">
        <v>25</v>
      </c>
      <c r="J893" t="s">
        <v>15</v>
      </c>
      <c r="K893" s="2">
        <v>17400</v>
      </c>
      <c r="L893" s="3">
        <v>18.5</v>
      </c>
      <c r="M893" s="3">
        <v>65.8</v>
      </c>
      <c r="N893" s="3">
        <v>0</v>
      </c>
      <c r="O893" s="2">
        <v>125</v>
      </c>
      <c r="P893">
        <v>0</v>
      </c>
      <c r="Q893" t="s">
        <v>14</v>
      </c>
      <c r="R893" s="4">
        <v>55.99</v>
      </c>
      <c r="S893" s="4">
        <v>0</v>
      </c>
      <c r="T893" t="s">
        <v>31</v>
      </c>
      <c r="U893" s="4">
        <v>4.99</v>
      </c>
      <c r="V893" s="4">
        <v>3.218</v>
      </c>
      <c r="W893" s="4">
        <v>55.99</v>
      </c>
    </row>
    <row r="894" spans="1:23" ht="15" customHeight="1" x14ac:dyDescent="0.25">
      <c r="A894">
        <v>517</v>
      </c>
      <c r="B894" s="1">
        <v>45806</v>
      </c>
      <c r="C894">
        <v>0</v>
      </c>
      <c r="D894" t="s">
        <v>56</v>
      </c>
      <c r="E894">
        <v>5</v>
      </c>
      <c r="F894" t="s">
        <v>35</v>
      </c>
      <c r="G894" t="s">
        <v>33</v>
      </c>
      <c r="H894" t="s">
        <v>54</v>
      </c>
      <c r="I894" t="s">
        <v>16</v>
      </c>
      <c r="J894" t="s">
        <v>24</v>
      </c>
      <c r="K894" s="2">
        <v>8600</v>
      </c>
      <c r="L894" s="3">
        <v>14.4</v>
      </c>
      <c r="M894" s="3">
        <v>90</v>
      </c>
      <c r="N894" s="3">
        <v>0</v>
      </c>
      <c r="O894" s="2">
        <v>33</v>
      </c>
      <c r="P894">
        <v>1</v>
      </c>
      <c r="Q894" t="s">
        <v>17</v>
      </c>
      <c r="R894" s="4">
        <v>23.06</v>
      </c>
      <c r="S894" s="4">
        <v>0</v>
      </c>
      <c r="T894" t="s">
        <v>31</v>
      </c>
      <c r="U894" s="4">
        <v>2.0299999999999998</v>
      </c>
      <c r="V894" s="4">
        <v>2.681</v>
      </c>
      <c r="W894" s="4">
        <v>23.06</v>
      </c>
    </row>
    <row r="895" spans="1:23" ht="15" customHeight="1" x14ac:dyDescent="0.25">
      <c r="A895">
        <v>885</v>
      </c>
      <c r="B895" s="1">
        <v>45806</v>
      </c>
      <c r="C895">
        <v>0</v>
      </c>
      <c r="D895" t="s">
        <v>56</v>
      </c>
      <c r="E895">
        <v>5</v>
      </c>
      <c r="F895" t="s">
        <v>35</v>
      </c>
      <c r="G895" t="s">
        <v>33</v>
      </c>
      <c r="H895" t="s">
        <v>50</v>
      </c>
      <c r="I895" t="s">
        <v>22</v>
      </c>
      <c r="J895" t="s">
        <v>12</v>
      </c>
      <c r="K895" s="2">
        <v>21000</v>
      </c>
      <c r="L895" s="3">
        <v>22.2</v>
      </c>
      <c r="M895" s="3">
        <v>57.6</v>
      </c>
      <c r="N895" s="3">
        <v>0</v>
      </c>
      <c r="O895" s="2">
        <v>228</v>
      </c>
      <c r="P895">
        <v>0</v>
      </c>
      <c r="Q895" t="s">
        <v>14</v>
      </c>
      <c r="R895" s="4">
        <v>191.33</v>
      </c>
      <c r="S895" s="4">
        <v>0</v>
      </c>
      <c r="T895" t="s">
        <v>31</v>
      </c>
      <c r="U895" s="4">
        <v>17.22</v>
      </c>
      <c r="V895" s="4">
        <v>9.1110000000000007</v>
      </c>
      <c r="W895" s="4">
        <v>191.33</v>
      </c>
    </row>
    <row r="896" spans="1:23" ht="15" customHeight="1" x14ac:dyDescent="0.25">
      <c r="A896">
        <v>1622</v>
      </c>
      <c r="B896" s="1">
        <v>45806.333333333343</v>
      </c>
      <c r="C896">
        <v>8</v>
      </c>
      <c r="D896" t="s">
        <v>56</v>
      </c>
      <c r="E896">
        <v>5</v>
      </c>
      <c r="F896" t="s">
        <v>35</v>
      </c>
      <c r="G896" t="s">
        <v>33</v>
      </c>
      <c r="H896" t="s">
        <v>49</v>
      </c>
      <c r="I896" t="s">
        <v>27</v>
      </c>
      <c r="J896" t="s">
        <v>18</v>
      </c>
      <c r="K896" s="2">
        <v>26000</v>
      </c>
      <c r="L896" s="3">
        <v>20.9</v>
      </c>
      <c r="M896" s="3">
        <v>55.1</v>
      </c>
      <c r="N896" s="3"/>
      <c r="O896" s="2">
        <v>165</v>
      </c>
      <c r="P896">
        <v>0</v>
      </c>
      <c r="Q896" t="s">
        <v>14</v>
      </c>
      <c r="R896" s="4">
        <v>141.44</v>
      </c>
      <c r="S896" s="4">
        <v>84.26</v>
      </c>
      <c r="T896" t="s">
        <v>34</v>
      </c>
      <c r="U896" s="4">
        <v>7.94</v>
      </c>
      <c r="V896" s="4">
        <v>5.44</v>
      </c>
      <c r="W896" s="4">
        <v>57.18</v>
      </c>
    </row>
    <row r="897" spans="1:23" ht="15" customHeight="1" x14ac:dyDescent="0.25">
      <c r="A897">
        <v>1254</v>
      </c>
      <c r="B897" s="1">
        <v>45806.333333333343</v>
      </c>
      <c r="C897">
        <v>8</v>
      </c>
      <c r="D897" t="s">
        <v>56</v>
      </c>
      <c r="E897">
        <v>5</v>
      </c>
      <c r="F897" t="s">
        <v>35</v>
      </c>
      <c r="G897" t="s">
        <v>33</v>
      </c>
      <c r="H897" t="s">
        <v>51</v>
      </c>
      <c r="I897" t="s">
        <v>25</v>
      </c>
      <c r="J897" t="s">
        <v>15</v>
      </c>
      <c r="K897" s="2">
        <v>17400</v>
      </c>
      <c r="L897" s="3">
        <v>19.2</v>
      </c>
      <c r="M897" s="3">
        <v>65.8</v>
      </c>
      <c r="N897" s="3">
        <v>400.2</v>
      </c>
      <c r="O897" s="2">
        <v>22</v>
      </c>
      <c r="P897">
        <v>0</v>
      </c>
      <c r="Q897" t="s">
        <v>14</v>
      </c>
      <c r="R897" s="4">
        <v>34.340000000000003</v>
      </c>
      <c r="S897" s="4">
        <v>46.84</v>
      </c>
      <c r="T897" t="s">
        <v>34</v>
      </c>
      <c r="U897" s="4">
        <v>-0.72</v>
      </c>
      <c r="V897" s="4">
        <v>1.974</v>
      </c>
      <c r="W897" s="4">
        <v>0</v>
      </c>
    </row>
    <row r="898" spans="1:23" ht="15" customHeight="1" x14ac:dyDescent="0.25">
      <c r="A898">
        <v>150</v>
      </c>
      <c r="B898" s="1">
        <v>45806.333333333343</v>
      </c>
      <c r="C898">
        <v>8</v>
      </c>
      <c r="D898" t="s">
        <v>56</v>
      </c>
      <c r="E898">
        <v>5</v>
      </c>
      <c r="F898" t="s">
        <v>35</v>
      </c>
      <c r="G898" t="s">
        <v>33</v>
      </c>
      <c r="H898" t="s">
        <v>53</v>
      </c>
      <c r="I898" t="s">
        <v>19</v>
      </c>
      <c r="J898" t="s">
        <v>26</v>
      </c>
      <c r="K898" s="2">
        <v>12500</v>
      </c>
      <c r="L898" s="3">
        <v>20.100000000000001</v>
      </c>
      <c r="M898" s="3">
        <v>56.7</v>
      </c>
      <c r="N898" s="3">
        <v>431.1</v>
      </c>
      <c r="O898" s="2">
        <v>369</v>
      </c>
      <c r="P898">
        <v>0</v>
      </c>
      <c r="Q898" t="s">
        <v>14</v>
      </c>
      <c r="R898" s="4">
        <v>69.02</v>
      </c>
      <c r="S898" s="4">
        <v>61.91</v>
      </c>
      <c r="T898" t="s">
        <v>34</v>
      </c>
      <c r="U898" s="4">
        <v>0.97</v>
      </c>
      <c r="V898" s="4">
        <v>5.5220000000000002</v>
      </c>
      <c r="W898" s="4">
        <v>7.11</v>
      </c>
    </row>
    <row r="899" spans="1:23" ht="15" customHeight="1" x14ac:dyDescent="0.25">
      <c r="A899">
        <v>1990</v>
      </c>
      <c r="B899" s="1">
        <v>45806.333333333343</v>
      </c>
      <c r="C899">
        <v>8</v>
      </c>
      <c r="D899" t="s">
        <v>56</v>
      </c>
      <c r="E899">
        <v>5</v>
      </c>
      <c r="F899" t="s">
        <v>35</v>
      </c>
      <c r="G899" t="s">
        <v>33</v>
      </c>
      <c r="H899" t="s">
        <v>52</v>
      </c>
      <c r="I899" t="s">
        <v>13</v>
      </c>
      <c r="J899" t="s">
        <v>21</v>
      </c>
      <c r="K899" s="2">
        <v>9800</v>
      </c>
      <c r="L899" s="3">
        <v>19.100000000000001</v>
      </c>
      <c r="M899" s="3">
        <v>75.400000000000006</v>
      </c>
      <c r="N899" s="3">
        <v>358.4</v>
      </c>
      <c r="O899" s="2">
        <v>71</v>
      </c>
      <c r="P899">
        <v>0</v>
      </c>
      <c r="Q899" t="s">
        <v>14</v>
      </c>
      <c r="R899" s="4">
        <v>18.09</v>
      </c>
      <c r="S899" s="4">
        <v>0</v>
      </c>
      <c r="T899" t="s">
        <v>34</v>
      </c>
      <c r="U899" s="4">
        <v>2.67</v>
      </c>
      <c r="V899" s="4">
        <v>1.8460000000000001</v>
      </c>
      <c r="W899" s="4">
        <v>18.09</v>
      </c>
    </row>
    <row r="900" spans="1:23" ht="15" customHeight="1" x14ac:dyDescent="0.25">
      <c r="A900">
        <v>518</v>
      </c>
      <c r="B900" s="1">
        <v>45806.333333333343</v>
      </c>
      <c r="C900">
        <v>8</v>
      </c>
      <c r="D900" t="s">
        <v>56</v>
      </c>
      <c r="E900">
        <v>5</v>
      </c>
      <c r="F900" t="s">
        <v>35</v>
      </c>
      <c r="G900" t="s">
        <v>33</v>
      </c>
      <c r="H900" t="s">
        <v>54</v>
      </c>
      <c r="I900" t="s">
        <v>16</v>
      </c>
      <c r="J900" t="s">
        <v>24</v>
      </c>
      <c r="K900" s="2">
        <v>8600</v>
      </c>
      <c r="L900" s="3">
        <v>16.5</v>
      </c>
      <c r="M900" s="3">
        <v>86.3</v>
      </c>
      <c r="N900" s="3">
        <v>265.7</v>
      </c>
      <c r="O900" s="2">
        <v>815</v>
      </c>
      <c r="P900">
        <v>0</v>
      </c>
      <c r="Q900" t="s">
        <v>14</v>
      </c>
      <c r="R900" s="4">
        <v>79.78</v>
      </c>
      <c r="S900" s="4">
        <v>18.809999999999999</v>
      </c>
      <c r="T900" t="s">
        <v>34</v>
      </c>
      <c r="U900" s="4">
        <v>8.4700000000000006</v>
      </c>
      <c r="V900" s="4">
        <v>9.2769999999999992</v>
      </c>
      <c r="W900" s="4">
        <v>60.97</v>
      </c>
    </row>
    <row r="901" spans="1:23" ht="15" customHeight="1" x14ac:dyDescent="0.25">
      <c r="A901">
        <v>886</v>
      </c>
      <c r="B901" s="1">
        <v>45806.333333333343</v>
      </c>
      <c r="C901">
        <v>8</v>
      </c>
      <c r="D901" t="s">
        <v>56</v>
      </c>
      <c r="E901">
        <v>5</v>
      </c>
      <c r="F901" t="s">
        <v>35</v>
      </c>
      <c r="G901" t="s">
        <v>33</v>
      </c>
      <c r="H901" t="s">
        <v>50</v>
      </c>
      <c r="I901" t="s">
        <v>22</v>
      </c>
      <c r="J901" t="s">
        <v>12</v>
      </c>
      <c r="K901" s="2">
        <v>21000</v>
      </c>
      <c r="L901" s="3">
        <v>24.8</v>
      </c>
      <c r="M901" s="3">
        <v>62.5</v>
      </c>
      <c r="N901" s="3">
        <v>289</v>
      </c>
      <c r="O901" s="2">
        <v>414</v>
      </c>
      <c r="P901">
        <v>1</v>
      </c>
      <c r="Q901" t="s">
        <v>20</v>
      </c>
      <c r="R901" s="4">
        <v>205.77</v>
      </c>
      <c r="S901" s="4">
        <v>62.25</v>
      </c>
      <c r="T901" t="s">
        <v>34</v>
      </c>
      <c r="U901" s="4">
        <v>20.65</v>
      </c>
      <c r="V901" s="4">
        <v>9.7989999999999995</v>
      </c>
      <c r="W901" s="4">
        <v>143.52000000000001</v>
      </c>
    </row>
    <row r="902" spans="1:23" ht="15" customHeight="1" x14ac:dyDescent="0.25">
      <c r="A902">
        <v>887</v>
      </c>
      <c r="B902" s="1">
        <v>45806.583333333343</v>
      </c>
      <c r="C902">
        <v>14</v>
      </c>
      <c r="D902" t="s">
        <v>56</v>
      </c>
      <c r="E902">
        <v>5</v>
      </c>
      <c r="F902" t="s">
        <v>35</v>
      </c>
      <c r="G902" t="s">
        <v>33</v>
      </c>
      <c r="H902" t="s">
        <v>50</v>
      </c>
      <c r="I902" t="s">
        <v>22</v>
      </c>
      <c r="J902" t="s">
        <v>12</v>
      </c>
      <c r="K902" s="2">
        <v>21000</v>
      </c>
      <c r="L902" s="3">
        <v>34.799999999999997</v>
      </c>
      <c r="M902" s="3">
        <v>58.4</v>
      </c>
      <c r="N902" s="3">
        <v>677.6</v>
      </c>
      <c r="O902" s="2">
        <v>409</v>
      </c>
      <c r="P902">
        <v>1</v>
      </c>
      <c r="Q902" t="s">
        <v>20</v>
      </c>
      <c r="R902" s="4">
        <v>216.69</v>
      </c>
      <c r="S902" s="4">
        <v>124.23</v>
      </c>
      <c r="T902" t="s">
        <v>34</v>
      </c>
      <c r="U902" s="4">
        <v>13.47</v>
      </c>
      <c r="V902" s="4">
        <v>10.319000000000001</v>
      </c>
      <c r="W902" s="4">
        <v>92.46</v>
      </c>
    </row>
    <row r="903" spans="1:23" ht="15" customHeight="1" x14ac:dyDescent="0.25">
      <c r="A903">
        <v>151</v>
      </c>
      <c r="B903" s="1">
        <v>45806.583333333343</v>
      </c>
      <c r="C903">
        <v>14</v>
      </c>
      <c r="D903" t="s">
        <v>56</v>
      </c>
      <c r="E903">
        <v>5</v>
      </c>
      <c r="F903" t="s">
        <v>35</v>
      </c>
      <c r="G903" t="s">
        <v>33</v>
      </c>
      <c r="H903" t="s">
        <v>53</v>
      </c>
      <c r="I903" t="s">
        <v>19</v>
      </c>
      <c r="J903" t="s">
        <v>26</v>
      </c>
      <c r="K903" s="2">
        <v>12500</v>
      </c>
      <c r="L903" s="3">
        <v>28.6</v>
      </c>
      <c r="M903" s="3">
        <v>50.5</v>
      </c>
      <c r="N903" s="3">
        <v>646.1</v>
      </c>
      <c r="O903" s="2">
        <v>574</v>
      </c>
      <c r="P903">
        <v>1</v>
      </c>
      <c r="Q903" t="s">
        <v>20</v>
      </c>
      <c r="R903" s="4">
        <v>118.91</v>
      </c>
      <c r="S903" s="4">
        <v>100.7</v>
      </c>
      <c r="T903" t="s">
        <v>34</v>
      </c>
      <c r="U903" s="4">
        <v>2.57</v>
      </c>
      <c r="V903" s="4">
        <v>9.5129999999999999</v>
      </c>
      <c r="W903" s="4">
        <v>18.21</v>
      </c>
    </row>
    <row r="904" spans="1:23" ht="15" customHeight="1" x14ac:dyDescent="0.25">
      <c r="A904">
        <v>519</v>
      </c>
      <c r="B904" s="1">
        <v>45806.583333333343</v>
      </c>
      <c r="C904">
        <v>14</v>
      </c>
      <c r="D904" t="s">
        <v>56</v>
      </c>
      <c r="E904">
        <v>5</v>
      </c>
      <c r="F904" t="s">
        <v>35</v>
      </c>
      <c r="G904" t="s">
        <v>33</v>
      </c>
      <c r="H904" t="s">
        <v>54</v>
      </c>
      <c r="I904" t="s">
        <v>16</v>
      </c>
      <c r="J904" t="s">
        <v>24</v>
      </c>
      <c r="K904" s="2">
        <v>8600</v>
      </c>
      <c r="L904" s="3">
        <v>25.3</v>
      </c>
      <c r="M904" s="3">
        <v>82.6</v>
      </c>
      <c r="N904" s="3">
        <v>596.20000000000005</v>
      </c>
      <c r="O904" s="2">
        <v>803</v>
      </c>
      <c r="P904">
        <v>1</v>
      </c>
      <c r="Q904" t="s">
        <v>20</v>
      </c>
      <c r="R904" s="4">
        <v>89.73</v>
      </c>
      <c r="S904" s="4">
        <v>47.22</v>
      </c>
      <c r="T904" t="s">
        <v>34</v>
      </c>
      <c r="U904" s="4">
        <v>5.93</v>
      </c>
      <c r="V904" s="4">
        <v>10.433999999999999</v>
      </c>
      <c r="W904" s="4">
        <v>42.51</v>
      </c>
    </row>
    <row r="905" spans="1:23" ht="15" customHeight="1" x14ac:dyDescent="0.25">
      <c r="A905">
        <v>1623</v>
      </c>
      <c r="B905" s="1">
        <v>45806.583333333343</v>
      </c>
      <c r="C905">
        <v>14</v>
      </c>
      <c r="D905" t="s">
        <v>56</v>
      </c>
      <c r="E905">
        <v>5</v>
      </c>
      <c r="F905" t="s">
        <v>35</v>
      </c>
      <c r="G905" t="s">
        <v>33</v>
      </c>
      <c r="H905" t="s">
        <v>49</v>
      </c>
      <c r="I905" t="s">
        <v>27</v>
      </c>
      <c r="J905" t="s">
        <v>18</v>
      </c>
      <c r="K905" s="2">
        <v>26000</v>
      </c>
      <c r="L905" s="3">
        <v>31.5</v>
      </c>
      <c r="M905" s="3">
        <v>44.2</v>
      </c>
      <c r="N905" s="3">
        <v>882</v>
      </c>
      <c r="O905" s="2">
        <v>184</v>
      </c>
      <c r="P905">
        <v>1</v>
      </c>
      <c r="Q905" t="s">
        <v>20</v>
      </c>
      <c r="R905" s="4">
        <v>186.84</v>
      </c>
      <c r="S905" s="4">
        <v>233.11</v>
      </c>
      <c r="T905" t="s">
        <v>34</v>
      </c>
      <c r="U905" s="4">
        <v>-2.6</v>
      </c>
      <c r="V905" s="4">
        <v>7.1859999999999999</v>
      </c>
      <c r="W905" s="4">
        <v>0</v>
      </c>
    </row>
    <row r="906" spans="1:23" ht="15" customHeight="1" x14ac:dyDescent="0.25">
      <c r="A906">
        <v>1991</v>
      </c>
      <c r="B906" s="1">
        <v>45806.583333333343</v>
      </c>
      <c r="C906">
        <v>14</v>
      </c>
      <c r="D906" t="s">
        <v>56</v>
      </c>
      <c r="E906">
        <v>5</v>
      </c>
      <c r="F906" t="s">
        <v>35</v>
      </c>
      <c r="G906" t="s">
        <v>33</v>
      </c>
      <c r="H906" t="s">
        <v>52</v>
      </c>
      <c r="I906" t="s">
        <v>13</v>
      </c>
      <c r="J906" t="s">
        <v>21</v>
      </c>
      <c r="K906" s="2">
        <v>9800</v>
      </c>
      <c r="L906" s="3">
        <v>24.5</v>
      </c>
      <c r="M906" s="3">
        <v>73.3</v>
      </c>
      <c r="N906" s="3">
        <v>887.4</v>
      </c>
      <c r="O906" s="2">
        <v>70</v>
      </c>
      <c r="P906">
        <v>1</v>
      </c>
      <c r="Q906" t="s">
        <v>20</v>
      </c>
      <c r="R906" s="4">
        <v>21.38</v>
      </c>
      <c r="S906" s="4">
        <v>0</v>
      </c>
      <c r="T906" t="s">
        <v>34</v>
      </c>
      <c r="U906" s="4">
        <v>3.08</v>
      </c>
      <c r="V906" s="4">
        <v>2.1819999999999999</v>
      </c>
      <c r="W906" s="4">
        <v>21.38</v>
      </c>
    </row>
    <row r="907" spans="1:23" ht="15" customHeight="1" x14ac:dyDescent="0.25">
      <c r="A907">
        <v>1255</v>
      </c>
      <c r="B907" s="1">
        <v>45806.583333333343</v>
      </c>
      <c r="C907">
        <v>14</v>
      </c>
      <c r="D907" t="s">
        <v>56</v>
      </c>
      <c r="E907">
        <v>5</v>
      </c>
      <c r="F907" t="s">
        <v>35</v>
      </c>
      <c r="G907" t="s">
        <v>33</v>
      </c>
      <c r="H907" t="s">
        <v>51</v>
      </c>
      <c r="I907" t="s">
        <v>25</v>
      </c>
      <c r="J907" t="s">
        <v>15</v>
      </c>
      <c r="K907" s="2">
        <v>17400</v>
      </c>
      <c r="L907" s="3">
        <v>25.4</v>
      </c>
      <c r="M907" s="3">
        <v>64.900000000000006</v>
      </c>
      <c r="N907" s="3">
        <v>559.5</v>
      </c>
      <c r="O907" s="2">
        <v>1420</v>
      </c>
      <c r="P907">
        <v>1</v>
      </c>
      <c r="Q907" t="s">
        <v>20</v>
      </c>
      <c r="R907" s="4">
        <v>221.6</v>
      </c>
      <c r="S907" s="4">
        <v>67.510000000000005</v>
      </c>
      <c r="T907" t="s">
        <v>34</v>
      </c>
      <c r="U907" s="4">
        <v>22.17</v>
      </c>
      <c r="V907" s="4">
        <v>12.736000000000001</v>
      </c>
      <c r="W907" s="4">
        <v>154.09</v>
      </c>
    </row>
    <row r="908" spans="1:23" ht="15" customHeight="1" x14ac:dyDescent="0.25">
      <c r="A908">
        <v>1256</v>
      </c>
      <c r="B908" s="1">
        <v>45806.833333333343</v>
      </c>
      <c r="C908">
        <v>20</v>
      </c>
      <c r="D908" t="s">
        <v>56</v>
      </c>
      <c r="E908">
        <v>5</v>
      </c>
      <c r="F908" t="s">
        <v>35</v>
      </c>
      <c r="G908" t="s">
        <v>33</v>
      </c>
      <c r="H908" t="s">
        <v>51</v>
      </c>
      <c r="I908" t="s">
        <v>25</v>
      </c>
      <c r="J908" t="s">
        <v>15</v>
      </c>
      <c r="K908" s="2">
        <v>17400</v>
      </c>
      <c r="L908" s="3">
        <v>25.1</v>
      </c>
      <c r="M908" s="3">
        <v>58.9</v>
      </c>
      <c r="N908" s="3">
        <v>54.3</v>
      </c>
      <c r="O908" s="2">
        <v>1432</v>
      </c>
      <c r="P908">
        <v>1</v>
      </c>
      <c r="Q908" t="s">
        <v>20</v>
      </c>
      <c r="R908" s="4">
        <v>307.86</v>
      </c>
      <c r="S908" s="4">
        <v>7.02</v>
      </c>
      <c r="T908" t="s">
        <v>37</v>
      </c>
      <c r="U908" s="4">
        <v>67.09</v>
      </c>
      <c r="V908" s="4">
        <v>17.693000000000001</v>
      </c>
      <c r="W908" s="4">
        <v>300.83999999999997</v>
      </c>
    </row>
    <row r="909" spans="1:23" ht="15" customHeight="1" x14ac:dyDescent="0.25">
      <c r="A909">
        <v>520</v>
      </c>
      <c r="B909" s="1">
        <v>45806.833333333343</v>
      </c>
      <c r="C909">
        <v>20</v>
      </c>
      <c r="D909" t="s">
        <v>56</v>
      </c>
      <c r="E909">
        <v>5</v>
      </c>
      <c r="F909" t="s">
        <v>35</v>
      </c>
      <c r="G909" t="s">
        <v>33</v>
      </c>
      <c r="H909" t="s">
        <v>54</v>
      </c>
      <c r="I909" t="s">
        <v>16</v>
      </c>
      <c r="J909" t="s">
        <v>24</v>
      </c>
      <c r="K909" s="2">
        <v>8600</v>
      </c>
      <c r="L909" s="3">
        <v>19.600000000000001</v>
      </c>
      <c r="M909" s="3">
        <v>75.900000000000006</v>
      </c>
      <c r="N909" s="3">
        <v>79.2</v>
      </c>
      <c r="O909" s="2">
        <v>104</v>
      </c>
      <c r="P909">
        <v>0</v>
      </c>
      <c r="Q909" t="s">
        <v>14</v>
      </c>
      <c r="R909" s="4">
        <v>21.89</v>
      </c>
      <c r="S909" s="4">
        <v>6.12</v>
      </c>
      <c r="T909" t="s">
        <v>37</v>
      </c>
      <c r="U909" s="4">
        <v>3.44</v>
      </c>
      <c r="V909" s="4">
        <v>2.5449999999999999</v>
      </c>
      <c r="W909" s="4">
        <v>15.77</v>
      </c>
    </row>
    <row r="910" spans="1:23" ht="15" customHeight="1" x14ac:dyDescent="0.25">
      <c r="A910">
        <v>1624</v>
      </c>
      <c r="B910" s="1">
        <v>45806.833333333343</v>
      </c>
      <c r="C910">
        <v>20</v>
      </c>
      <c r="D910" t="s">
        <v>56</v>
      </c>
      <c r="E910">
        <v>5</v>
      </c>
      <c r="F910" t="s">
        <v>35</v>
      </c>
      <c r="G910" t="s">
        <v>33</v>
      </c>
      <c r="H910" t="s">
        <v>49</v>
      </c>
      <c r="I910" t="s">
        <v>27</v>
      </c>
      <c r="J910" t="s">
        <v>18</v>
      </c>
      <c r="K910" s="2">
        <v>26000</v>
      </c>
      <c r="L910" s="3">
        <v>24.1</v>
      </c>
      <c r="M910" s="3">
        <v>55.1</v>
      </c>
      <c r="N910" s="3">
        <v>40.299999999999997</v>
      </c>
      <c r="O910" s="2">
        <v>160</v>
      </c>
      <c r="P910">
        <v>1</v>
      </c>
      <c r="Q910" t="s">
        <v>20</v>
      </c>
      <c r="R910" s="4">
        <v>238.78</v>
      </c>
      <c r="S910" s="4">
        <v>10.26</v>
      </c>
      <c r="T910" t="s">
        <v>37</v>
      </c>
      <c r="U910" s="4">
        <v>49.36</v>
      </c>
      <c r="V910" s="4">
        <v>9.1839999999999993</v>
      </c>
      <c r="W910" s="4">
        <v>228.52</v>
      </c>
    </row>
    <row r="911" spans="1:23" ht="15" customHeight="1" x14ac:dyDescent="0.25">
      <c r="A911">
        <v>888</v>
      </c>
      <c r="B911" s="1">
        <v>45806.833333333343</v>
      </c>
      <c r="C911">
        <v>20</v>
      </c>
      <c r="D911" t="s">
        <v>56</v>
      </c>
      <c r="E911">
        <v>5</v>
      </c>
      <c r="F911" t="s">
        <v>35</v>
      </c>
      <c r="G911" t="s">
        <v>33</v>
      </c>
      <c r="H911" t="s">
        <v>50</v>
      </c>
      <c r="I911" t="s">
        <v>22</v>
      </c>
      <c r="J911" t="s">
        <v>12</v>
      </c>
      <c r="K911" s="2">
        <v>21000</v>
      </c>
      <c r="L911" s="3">
        <v>28.9</v>
      </c>
      <c r="M911" s="3">
        <v>45.1</v>
      </c>
      <c r="N911" s="3">
        <v>94.2</v>
      </c>
      <c r="O911" s="2">
        <v>394</v>
      </c>
      <c r="P911">
        <v>1</v>
      </c>
      <c r="Q911" t="s">
        <v>20</v>
      </c>
      <c r="R911" s="4"/>
      <c r="S911" s="4">
        <v>17.510000000000002</v>
      </c>
      <c r="T911" t="s">
        <v>37</v>
      </c>
      <c r="U911" s="4">
        <v>62.27</v>
      </c>
      <c r="V911" s="4"/>
      <c r="W911" s="4"/>
    </row>
    <row r="912" spans="1:23" ht="15" customHeight="1" x14ac:dyDescent="0.25">
      <c r="A912">
        <v>152</v>
      </c>
      <c r="B912" s="1">
        <v>45806.833333333343</v>
      </c>
      <c r="C912">
        <v>20</v>
      </c>
      <c r="D912" t="s">
        <v>56</v>
      </c>
      <c r="E912">
        <v>5</v>
      </c>
      <c r="F912" t="s">
        <v>35</v>
      </c>
      <c r="G912" t="s">
        <v>33</v>
      </c>
      <c r="H912" t="s">
        <v>53</v>
      </c>
      <c r="I912" t="s">
        <v>19</v>
      </c>
      <c r="J912" t="s">
        <v>26</v>
      </c>
      <c r="K912" s="2">
        <v>12500</v>
      </c>
      <c r="L912" s="3">
        <v>22.9</v>
      </c>
      <c r="M912" s="3">
        <v>54.2</v>
      </c>
      <c r="N912" s="3">
        <v>45.5</v>
      </c>
      <c r="O912" s="2">
        <v>52</v>
      </c>
      <c r="P912">
        <v>0</v>
      </c>
      <c r="Q912" t="s">
        <v>14</v>
      </c>
      <c r="R912" s="4">
        <v>40.1</v>
      </c>
      <c r="S912" s="4">
        <v>6.94</v>
      </c>
      <c r="T912" t="s">
        <v>37</v>
      </c>
      <c r="U912" s="4">
        <v>7.38</v>
      </c>
      <c r="V912" s="4">
        <v>3.2080000000000002</v>
      </c>
      <c r="W912" s="4">
        <v>33.159999999999997</v>
      </c>
    </row>
    <row r="913" spans="1:23" ht="15" customHeight="1" x14ac:dyDescent="0.25">
      <c r="A913">
        <v>1992</v>
      </c>
      <c r="B913" s="1">
        <v>45806.833333333343</v>
      </c>
      <c r="C913">
        <v>20</v>
      </c>
      <c r="D913" t="s">
        <v>56</v>
      </c>
      <c r="E913">
        <v>5</v>
      </c>
      <c r="F913" t="s">
        <v>35</v>
      </c>
      <c r="G913" t="s">
        <v>33</v>
      </c>
      <c r="H913" t="s">
        <v>52</v>
      </c>
      <c r="I913" t="s">
        <v>13</v>
      </c>
      <c r="J913" t="s">
        <v>21</v>
      </c>
      <c r="K913" s="2">
        <v>9800</v>
      </c>
      <c r="L913" s="3">
        <v>22.6</v>
      </c>
      <c r="M913" s="3">
        <v>68</v>
      </c>
      <c r="N913" s="3">
        <v>61.6</v>
      </c>
      <c r="O913" s="2">
        <v>307</v>
      </c>
      <c r="P913">
        <v>0</v>
      </c>
      <c r="Q913" t="s">
        <v>14</v>
      </c>
      <c r="R913" s="4">
        <v>96.83</v>
      </c>
      <c r="S913" s="4">
        <v>0</v>
      </c>
      <c r="T913" t="s">
        <v>37</v>
      </c>
      <c r="U913" s="4">
        <v>21.1</v>
      </c>
      <c r="V913" s="4">
        <v>9.8810000000000002</v>
      </c>
      <c r="W913" s="4">
        <v>96.83</v>
      </c>
    </row>
    <row r="914" spans="1:23" ht="15" customHeight="1" x14ac:dyDescent="0.25">
      <c r="A914">
        <v>1257</v>
      </c>
      <c r="B914" s="1">
        <v>45810</v>
      </c>
      <c r="C914">
        <v>0</v>
      </c>
      <c r="D914" t="s">
        <v>57</v>
      </c>
      <c r="E914">
        <v>6</v>
      </c>
      <c r="F914" t="s">
        <v>38</v>
      </c>
      <c r="G914" t="s">
        <v>33</v>
      </c>
      <c r="H914" t="s">
        <v>51</v>
      </c>
      <c r="I914" t="s">
        <v>25</v>
      </c>
      <c r="J914" t="s">
        <v>15</v>
      </c>
      <c r="K914" s="2">
        <v>17400</v>
      </c>
      <c r="L914" s="3">
        <v>20</v>
      </c>
      <c r="M914" s="3">
        <v>63.4</v>
      </c>
      <c r="N914" s="3">
        <v>0</v>
      </c>
      <c r="O914" s="2">
        <v>50</v>
      </c>
      <c r="P914">
        <v>0</v>
      </c>
      <c r="Q914" t="s">
        <v>14</v>
      </c>
      <c r="R914" s="4">
        <v>47.25</v>
      </c>
      <c r="S914" s="4">
        <v>0</v>
      </c>
      <c r="T914" t="s">
        <v>31</v>
      </c>
      <c r="U914" s="4">
        <v>4.2300000000000004</v>
      </c>
      <c r="V914" s="4">
        <v>2.7160000000000002</v>
      </c>
      <c r="W914" s="4">
        <v>47.25</v>
      </c>
    </row>
    <row r="915" spans="1:23" ht="15" customHeight="1" x14ac:dyDescent="0.25">
      <c r="A915">
        <v>1625</v>
      </c>
      <c r="B915" s="1">
        <v>45810</v>
      </c>
      <c r="C915">
        <v>0</v>
      </c>
      <c r="D915" t="s">
        <v>57</v>
      </c>
      <c r="E915">
        <v>6</v>
      </c>
      <c r="F915" t="s">
        <v>38</v>
      </c>
      <c r="G915" t="s">
        <v>33</v>
      </c>
      <c r="H915" t="s">
        <v>49</v>
      </c>
      <c r="I915" t="s">
        <v>27</v>
      </c>
      <c r="J915" t="s">
        <v>18</v>
      </c>
      <c r="K915" s="2">
        <v>26000</v>
      </c>
      <c r="L915" s="3">
        <v>21.4</v>
      </c>
      <c r="M915" s="3">
        <v>66.2</v>
      </c>
      <c r="N915" s="3">
        <v>0</v>
      </c>
      <c r="O915" s="2">
        <v>68</v>
      </c>
      <c r="P915">
        <v>0</v>
      </c>
      <c r="Q915" t="s">
        <v>14</v>
      </c>
      <c r="R915" s="4">
        <v>111.93</v>
      </c>
      <c r="S915" s="4">
        <v>0</v>
      </c>
      <c r="T915" t="s">
        <v>31</v>
      </c>
      <c r="U915" s="4">
        <v>9.94</v>
      </c>
      <c r="V915" s="4">
        <v>4.3049999999999997</v>
      </c>
      <c r="W915" s="4">
        <v>111.93</v>
      </c>
    </row>
    <row r="916" spans="1:23" ht="15" customHeight="1" x14ac:dyDescent="0.25">
      <c r="A916">
        <v>1993</v>
      </c>
      <c r="B916" s="1">
        <v>45810</v>
      </c>
      <c r="C916">
        <v>0</v>
      </c>
      <c r="D916" t="s">
        <v>57</v>
      </c>
      <c r="E916">
        <v>6</v>
      </c>
      <c r="F916" t="s">
        <v>38</v>
      </c>
      <c r="G916" t="s">
        <v>33</v>
      </c>
      <c r="H916" t="s">
        <v>52</v>
      </c>
      <c r="I916" t="s">
        <v>13</v>
      </c>
      <c r="J916" t="s">
        <v>21</v>
      </c>
      <c r="K916" s="2">
        <v>9800</v>
      </c>
      <c r="L916" s="3">
        <v>16.8</v>
      </c>
      <c r="M916" s="3">
        <v>70</v>
      </c>
      <c r="N916" s="3"/>
      <c r="O916" s="2">
        <v>328</v>
      </c>
      <c r="P916">
        <v>0</v>
      </c>
      <c r="Q916" t="s">
        <v>14</v>
      </c>
      <c r="R916" s="4">
        <v>91.32</v>
      </c>
      <c r="S916" s="4">
        <v>0</v>
      </c>
      <c r="T916" t="s">
        <v>31</v>
      </c>
      <c r="U916" s="4">
        <v>8</v>
      </c>
      <c r="V916" s="4">
        <v>9.3179999999999996</v>
      </c>
      <c r="W916" s="4">
        <v>91.32</v>
      </c>
    </row>
    <row r="917" spans="1:23" ht="15" customHeight="1" x14ac:dyDescent="0.25">
      <c r="A917">
        <v>153</v>
      </c>
      <c r="B917" s="1">
        <v>45810</v>
      </c>
      <c r="C917">
        <v>0</v>
      </c>
      <c r="D917" t="s">
        <v>57</v>
      </c>
      <c r="E917">
        <v>6</v>
      </c>
      <c r="F917" t="s">
        <v>38</v>
      </c>
      <c r="G917" t="s">
        <v>33</v>
      </c>
      <c r="H917" t="s">
        <v>53</v>
      </c>
      <c r="I917" t="s">
        <v>19</v>
      </c>
      <c r="J917" t="s">
        <v>26</v>
      </c>
      <c r="K917" s="2">
        <v>12500</v>
      </c>
      <c r="L917" s="3">
        <v>18.7</v>
      </c>
      <c r="M917" s="3">
        <v>51.6</v>
      </c>
      <c r="N917" s="3">
        <v>0</v>
      </c>
      <c r="O917" s="2">
        <v>41</v>
      </c>
      <c r="P917">
        <v>0</v>
      </c>
      <c r="Q917" t="s">
        <v>14</v>
      </c>
      <c r="R917" s="4">
        <v>26.97</v>
      </c>
      <c r="S917" s="4">
        <v>0</v>
      </c>
      <c r="T917" t="s">
        <v>31</v>
      </c>
      <c r="U917" s="4">
        <v>2.38</v>
      </c>
      <c r="V917" s="4">
        <v>2.1579999999999999</v>
      </c>
      <c r="W917" s="4">
        <v>26.97</v>
      </c>
    </row>
    <row r="918" spans="1:23" ht="15" customHeight="1" x14ac:dyDescent="0.25">
      <c r="A918">
        <v>521</v>
      </c>
      <c r="B918" s="1">
        <v>45810</v>
      </c>
      <c r="C918">
        <v>0</v>
      </c>
      <c r="D918" t="s">
        <v>57</v>
      </c>
      <c r="E918">
        <v>6</v>
      </c>
      <c r="F918" t="s">
        <v>38</v>
      </c>
      <c r="G918" t="s">
        <v>33</v>
      </c>
      <c r="H918" t="s">
        <v>54</v>
      </c>
      <c r="I918" t="s">
        <v>16</v>
      </c>
      <c r="J918" t="s">
        <v>24</v>
      </c>
      <c r="K918" s="2">
        <v>8600</v>
      </c>
      <c r="L918" s="3">
        <v>17.399999999999999</v>
      </c>
      <c r="M918" s="3">
        <v>81.7</v>
      </c>
      <c r="N918" s="3">
        <v>0</v>
      </c>
      <c r="O918" s="2">
        <v>174</v>
      </c>
      <c r="P918">
        <v>0</v>
      </c>
      <c r="Q918" t="s">
        <v>14</v>
      </c>
      <c r="R918" s="4">
        <v>28.69</v>
      </c>
      <c r="S918" s="4">
        <v>0</v>
      </c>
      <c r="T918" t="s">
        <v>31</v>
      </c>
      <c r="U918" s="4">
        <v>2.59</v>
      </c>
      <c r="V918" s="4">
        <v>3.3359999999999999</v>
      </c>
      <c r="W918" s="4">
        <v>28.69</v>
      </c>
    </row>
    <row r="919" spans="1:23" ht="15" customHeight="1" x14ac:dyDescent="0.25">
      <c r="A919">
        <v>889</v>
      </c>
      <c r="B919" s="1">
        <v>45810</v>
      </c>
      <c r="C919">
        <v>0</v>
      </c>
      <c r="D919" t="s">
        <v>57</v>
      </c>
      <c r="E919">
        <v>6</v>
      </c>
      <c r="F919" t="s">
        <v>38</v>
      </c>
      <c r="G919" t="s">
        <v>33</v>
      </c>
      <c r="H919" t="s">
        <v>50</v>
      </c>
      <c r="I919" t="s">
        <v>22</v>
      </c>
      <c r="J919" t="s">
        <v>12</v>
      </c>
      <c r="K919" s="2">
        <v>21000</v>
      </c>
      <c r="L919" s="3">
        <v>21.3</v>
      </c>
      <c r="M919" s="3">
        <v>58.9</v>
      </c>
      <c r="N919" s="3">
        <v>0</v>
      </c>
      <c r="O919" s="2">
        <v>222</v>
      </c>
      <c r="P919">
        <v>0</v>
      </c>
      <c r="Q919" t="s">
        <v>14</v>
      </c>
      <c r="R919" s="4">
        <v>168.94</v>
      </c>
      <c r="S919" s="4">
        <v>0</v>
      </c>
      <c r="T919" t="s">
        <v>31</v>
      </c>
      <c r="U919" s="4">
        <v>15.49</v>
      </c>
      <c r="V919" s="4">
        <v>8.0449999999999999</v>
      </c>
      <c r="W919" s="4">
        <v>168.94</v>
      </c>
    </row>
    <row r="920" spans="1:23" ht="15" customHeight="1" x14ac:dyDescent="0.25">
      <c r="A920">
        <v>1994</v>
      </c>
      <c r="B920" s="1">
        <v>45810.333333333343</v>
      </c>
      <c r="C920">
        <v>8</v>
      </c>
      <c r="D920" t="s">
        <v>57</v>
      </c>
      <c r="E920">
        <v>6</v>
      </c>
      <c r="F920" t="s">
        <v>38</v>
      </c>
      <c r="G920" t="s">
        <v>33</v>
      </c>
      <c r="H920" t="s">
        <v>52</v>
      </c>
      <c r="I920" t="s">
        <v>13</v>
      </c>
      <c r="J920" t="s">
        <v>21</v>
      </c>
      <c r="K920" s="2">
        <v>9800</v>
      </c>
      <c r="L920" s="3">
        <v>20.9</v>
      </c>
      <c r="M920" s="3">
        <v>75</v>
      </c>
      <c r="N920" s="3">
        <v>331.8</v>
      </c>
      <c r="O920" s="2">
        <v>82</v>
      </c>
      <c r="P920">
        <v>0</v>
      </c>
      <c r="Q920" t="s">
        <v>14</v>
      </c>
      <c r="R920" s="4">
        <v>18.45</v>
      </c>
      <c r="S920" s="4">
        <v>0</v>
      </c>
      <c r="T920" t="s">
        <v>34</v>
      </c>
      <c r="U920" s="4">
        <v>2.7</v>
      </c>
      <c r="V920" s="4">
        <v>1.883</v>
      </c>
      <c r="W920" s="4">
        <v>18.45</v>
      </c>
    </row>
    <row r="921" spans="1:23" ht="15" customHeight="1" x14ac:dyDescent="0.25">
      <c r="A921">
        <v>1626</v>
      </c>
      <c r="B921" s="1">
        <v>45810.333333333343</v>
      </c>
      <c r="C921">
        <v>8</v>
      </c>
      <c r="D921" t="s">
        <v>57</v>
      </c>
      <c r="E921">
        <v>6</v>
      </c>
      <c r="F921" t="s">
        <v>38</v>
      </c>
      <c r="G921" t="s">
        <v>33</v>
      </c>
      <c r="H921" t="s">
        <v>49</v>
      </c>
      <c r="I921" t="s">
        <v>27</v>
      </c>
      <c r="J921" t="s">
        <v>18</v>
      </c>
      <c r="K921" s="2">
        <v>26000</v>
      </c>
      <c r="L921" s="3">
        <v>21.4</v>
      </c>
      <c r="M921" s="3">
        <v>57.2</v>
      </c>
      <c r="N921" s="3">
        <v>443.4</v>
      </c>
      <c r="O921" s="2">
        <v>178</v>
      </c>
      <c r="P921">
        <v>0</v>
      </c>
      <c r="Q921" t="s">
        <v>14</v>
      </c>
      <c r="R921" s="4">
        <v>161.69999999999999</v>
      </c>
      <c r="S921" s="4">
        <v>110.23</v>
      </c>
      <c r="T921" t="s">
        <v>34</v>
      </c>
      <c r="U921" s="4">
        <v>7.54</v>
      </c>
      <c r="V921" s="4">
        <v>6.2190000000000003</v>
      </c>
      <c r="W921" s="4">
        <v>51.47</v>
      </c>
    </row>
    <row r="922" spans="1:23" ht="15" customHeight="1" x14ac:dyDescent="0.25">
      <c r="A922">
        <v>1258</v>
      </c>
      <c r="B922" s="1">
        <v>45810.333333333343</v>
      </c>
      <c r="C922">
        <v>8</v>
      </c>
      <c r="D922" t="s">
        <v>57</v>
      </c>
      <c r="E922">
        <v>6</v>
      </c>
      <c r="F922" t="s">
        <v>38</v>
      </c>
      <c r="G922" t="s">
        <v>33</v>
      </c>
      <c r="H922" t="s">
        <v>51</v>
      </c>
      <c r="I922" t="s">
        <v>25</v>
      </c>
      <c r="J922" t="s">
        <v>15</v>
      </c>
      <c r="K922" s="2">
        <v>17400</v>
      </c>
      <c r="L922" s="3">
        <v>22.7</v>
      </c>
      <c r="M922" s="3">
        <v>69.8</v>
      </c>
      <c r="N922" s="3">
        <v>264.5</v>
      </c>
      <c r="O922" s="2">
        <v>142</v>
      </c>
      <c r="P922">
        <v>0</v>
      </c>
      <c r="Q922" t="s">
        <v>14</v>
      </c>
      <c r="R922" s="4">
        <v>41.88</v>
      </c>
      <c r="S922" s="4">
        <v>34.909999999999997</v>
      </c>
      <c r="T922" t="s">
        <v>34</v>
      </c>
      <c r="U922" s="4">
        <v>0.99</v>
      </c>
      <c r="V922" s="4">
        <v>2.407</v>
      </c>
      <c r="W922" s="4">
        <v>6.97</v>
      </c>
    </row>
    <row r="923" spans="1:23" ht="15" customHeight="1" x14ac:dyDescent="0.25">
      <c r="A923">
        <v>890</v>
      </c>
      <c r="B923" s="1">
        <v>45810.333333333343</v>
      </c>
      <c r="C923">
        <v>8</v>
      </c>
      <c r="D923" t="s">
        <v>57</v>
      </c>
      <c r="E923">
        <v>6</v>
      </c>
      <c r="F923" t="s">
        <v>38</v>
      </c>
      <c r="G923" t="s">
        <v>33</v>
      </c>
      <c r="H923" t="s">
        <v>50</v>
      </c>
      <c r="I923" t="s">
        <v>22</v>
      </c>
      <c r="J923" t="s">
        <v>12</v>
      </c>
      <c r="K923" s="2">
        <v>21000</v>
      </c>
      <c r="L923" s="3">
        <v>26.2</v>
      </c>
      <c r="M923" s="3"/>
      <c r="N923" s="3">
        <v>434.6</v>
      </c>
      <c r="O923" s="2">
        <v>425</v>
      </c>
      <c r="P923">
        <v>1</v>
      </c>
      <c r="Q923" t="s">
        <v>20</v>
      </c>
      <c r="R923" s="4">
        <v>210.9</v>
      </c>
      <c r="S923" s="4">
        <v>87.98</v>
      </c>
      <c r="T923" t="s">
        <v>34</v>
      </c>
      <c r="U923" s="4">
        <v>17.47</v>
      </c>
      <c r="V923" s="4">
        <v>10.042999999999999</v>
      </c>
      <c r="W923" s="4">
        <v>122.92</v>
      </c>
    </row>
    <row r="924" spans="1:23" ht="15" customHeight="1" x14ac:dyDescent="0.25">
      <c r="A924">
        <v>522</v>
      </c>
      <c r="B924" s="1">
        <v>45810.333333333343</v>
      </c>
      <c r="C924">
        <v>8</v>
      </c>
      <c r="D924" t="s">
        <v>57</v>
      </c>
      <c r="E924">
        <v>6</v>
      </c>
      <c r="F924" t="s">
        <v>38</v>
      </c>
      <c r="G924" t="s">
        <v>33</v>
      </c>
      <c r="H924" t="s">
        <v>54</v>
      </c>
      <c r="I924" t="s">
        <v>16</v>
      </c>
      <c r="J924" t="s">
        <v>24</v>
      </c>
      <c r="K924" s="2">
        <v>8600</v>
      </c>
      <c r="L924" s="3">
        <v>19.7</v>
      </c>
      <c r="M924" s="3">
        <v>65.2</v>
      </c>
      <c r="N924" s="3">
        <v>311.10000000000002</v>
      </c>
      <c r="O924" s="2">
        <v>757</v>
      </c>
      <c r="P924">
        <v>0</v>
      </c>
      <c r="Q924" t="s">
        <v>14</v>
      </c>
      <c r="R924" s="4">
        <v>80.61</v>
      </c>
      <c r="S924" s="4">
        <v>23.44</v>
      </c>
      <c r="T924" t="s">
        <v>34</v>
      </c>
      <c r="U924" s="4">
        <v>7.95</v>
      </c>
      <c r="V924" s="4">
        <v>9.3729999999999993</v>
      </c>
      <c r="W924" s="4">
        <v>57.17</v>
      </c>
    </row>
    <row r="925" spans="1:23" ht="15" customHeight="1" x14ac:dyDescent="0.25">
      <c r="A925">
        <v>154</v>
      </c>
      <c r="B925" s="1">
        <v>45810.333333333343</v>
      </c>
      <c r="C925">
        <v>8</v>
      </c>
      <c r="D925" t="s">
        <v>57</v>
      </c>
      <c r="E925">
        <v>6</v>
      </c>
      <c r="F925" t="s">
        <v>38</v>
      </c>
      <c r="G925" t="s">
        <v>33</v>
      </c>
      <c r="H925" t="s">
        <v>53</v>
      </c>
      <c r="I925" t="s">
        <v>19</v>
      </c>
      <c r="J925" t="s">
        <v>26</v>
      </c>
      <c r="K925" s="2">
        <v>12500</v>
      </c>
      <c r="L925" s="3">
        <v>20.9</v>
      </c>
      <c r="M925" s="3">
        <v>45.8</v>
      </c>
      <c r="N925" s="3">
        <v>402.3</v>
      </c>
      <c r="O925" s="2">
        <v>368</v>
      </c>
      <c r="P925">
        <v>0</v>
      </c>
      <c r="Q925" t="s">
        <v>14</v>
      </c>
      <c r="R925" s="4">
        <v>67.27</v>
      </c>
      <c r="S925" s="4">
        <v>60.71</v>
      </c>
      <c r="T925" t="s">
        <v>34</v>
      </c>
      <c r="U925" s="4">
        <v>0.96</v>
      </c>
      <c r="V925" s="4">
        <v>5.3819999999999997</v>
      </c>
      <c r="W925" s="4">
        <v>6.56</v>
      </c>
    </row>
    <row r="926" spans="1:23" ht="15" customHeight="1" x14ac:dyDescent="0.25">
      <c r="A926">
        <v>155</v>
      </c>
      <c r="B926" s="1">
        <v>45810.583333333343</v>
      </c>
      <c r="C926">
        <v>14</v>
      </c>
      <c r="D926" t="s">
        <v>57</v>
      </c>
      <c r="E926">
        <v>6</v>
      </c>
      <c r="F926" t="s">
        <v>38</v>
      </c>
      <c r="G926" t="s">
        <v>33</v>
      </c>
      <c r="H926" t="s">
        <v>53</v>
      </c>
      <c r="I926" t="s">
        <v>19</v>
      </c>
      <c r="J926" t="s">
        <v>26</v>
      </c>
      <c r="K926" s="2">
        <v>12500</v>
      </c>
      <c r="L926" s="3">
        <v>27.2</v>
      </c>
      <c r="M926" s="3">
        <v>41.8</v>
      </c>
      <c r="N926" s="3">
        <v>814.8</v>
      </c>
      <c r="O926" s="2">
        <v>548</v>
      </c>
      <c r="P926">
        <v>1</v>
      </c>
      <c r="Q926" t="s">
        <v>20</v>
      </c>
      <c r="R926" s="4">
        <v>110.04</v>
      </c>
      <c r="S926" s="4">
        <v>123.52</v>
      </c>
      <c r="T926" t="s">
        <v>34</v>
      </c>
      <c r="U926" s="4">
        <v>-0.78</v>
      </c>
      <c r="V926" s="4">
        <v>8.8030000000000008</v>
      </c>
      <c r="W926" s="4">
        <v>0</v>
      </c>
    </row>
    <row r="927" spans="1:23" ht="15" customHeight="1" x14ac:dyDescent="0.25">
      <c r="A927">
        <v>523</v>
      </c>
      <c r="B927" s="1">
        <v>45810.583333333343</v>
      </c>
      <c r="C927">
        <v>14</v>
      </c>
      <c r="D927" t="s">
        <v>57</v>
      </c>
      <c r="E927">
        <v>6</v>
      </c>
      <c r="F927" t="s">
        <v>38</v>
      </c>
      <c r="G927" t="s">
        <v>33</v>
      </c>
      <c r="H927" t="s">
        <v>54</v>
      </c>
      <c r="I927" t="s">
        <v>16</v>
      </c>
      <c r="J927" t="s">
        <v>24</v>
      </c>
      <c r="K927" s="2">
        <v>8600</v>
      </c>
      <c r="L927" s="3">
        <v>22</v>
      </c>
      <c r="M927" s="3">
        <v>67.8</v>
      </c>
      <c r="N927" s="3">
        <v>765.8</v>
      </c>
      <c r="O927" s="2">
        <v>793</v>
      </c>
      <c r="P927">
        <v>0</v>
      </c>
      <c r="Q927" t="s">
        <v>14</v>
      </c>
      <c r="R927" s="4">
        <v>77.2</v>
      </c>
      <c r="S927" s="4">
        <v>55.53</v>
      </c>
      <c r="T927" t="s">
        <v>34</v>
      </c>
      <c r="U927" s="4">
        <v>3.14</v>
      </c>
      <c r="V927" s="4">
        <v>8.9770000000000003</v>
      </c>
      <c r="W927" s="4">
        <v>21.67</v>
      </c>
    </row>
    <row r="928" spans="1:23" ht="15" customHeight="1" x14ac:dyDescent="0.25">
      <c r="A928">
        <v>1995</v>
      </c>
      <c r="B928" s="1">
        <v>45810.583333333343</v>
      </c>
      <c r="C928">
        <v>14</v>
      </c>
      <c r="D928" t="s">
        <v>57</v>
      </c>
      <c r="E928">
        <v>6</v>
      </c>
      <c r="F928" t="s">
        <v>38</v>
      </c>
      <c r="G928" t="s">
        <v>33</v>
      </c>
      <c r="H928" t="s">
        <v>52</v>
      </c>
      <c r="I928" t="s">
        <v>13</v>
      </c>
      <c r="J928" t="s">
        <v>21</v>
      </c>
      <c r="K928" s="2">
        <v>9800</v>
      </c>
      <c r="L928" s="3">
        <v>25.6</v>
      </c>
      <c r="M928" s="3">
        <v>57.1</v>
      </c>
      <c r="N928" s="3">
        <v>702.7</v>
      </c>
      <c r="O928" s="2">
        <v>60</v>
      </c>
      <c r="P928">
        <v>1</v>
      </c>
      <c r="Q928" t="s">
        <v>20</v>
      </c>
      <c r="R928" s="4">
        <v>20.399999999999999</v>
      </c>
      <c r="S928" s="4">
        <v>0</v>
      </c>
      <c r="T928" t="s">
        <v>34</v>
      </c>
      <c r="U928" s="4">
        <v>2.95</v>
      </c>
      <c r="V928" s="4">
        <v>2.0819999999999999</v>
      </c>
      <c r="W928" s="4">
        <v>20.399999999999999</v>
      </c>
    </row>
    <row r="929" spans="1:23" ht="15" customHeight="1" x14ac:dyDescent="0.25">
      <c r="A929">
        <v>1627</v>
      </c>
      <c r="B929" s="1">
        <v>45810.583333333343</v>
      </c>
      <c r="C929">
        <v>14</v>
      </c>
      <c r="D929" t="s">
        <v>57</v>
      </c>
      <c r="E929">
        <v>6</v>
      </c>
      <c r="F929" t="s">
        <v>38</v>
      </c>
      <c r="G929" t="s">
        <v>33</v>
      </c>
      <c r="H929" t="s">
        <v>49</v>
      </c>
      <c r="I929" t="s">
        <v>27</v>
      </c>
      <c r="J929" t="s">
        <v>18</v>
      </c>
      <c r="K929" s="2">
        <v>26000</v>
      </c>
      <c r="L929" s="3">
        <v>26.8</v>
      </c>
      <c r="M929" s="3">
        <v>61.3</v>
      </c>
      <c r="N929" s="3">
        <v>537.1</v>
      </c>
      <c r="O929" s="2">
        <v>166</v>
      </c>
      <c r="P929">
        <v>1</v>
      </c>
      <c r="Q929" t="s">
        <v>20</v>
      </c>
      <c r="R929" s="4">
        <v>170.09</v>
      </c>
      <c r="S929" s="4">
        <v>145.49</v>
      </c>
      <c r="T929" t="s">
        <v>34</v>
      </c>
      <c r="U929" s="4">
        <v>3.67</v>
      </c>
      <c r="V929" s="4">
        <v>6.5419999999999998</v>
      </c>
      <c r="W929" s="4">
        <v>24.6</v>
      </c>
    </row>
    <row r="930" spans="1:23" ht="15" customHeight="1" x14ac:dyDescent="0.25">
      <c r="A930">
        <v>891</v>
      </c>
      <c r="B930" s="1">
        <v>45810.583333333343</v>
      </c>
      <c r="C930">
        <v>14</v>
      </c>
      <c r="D930" t="s">
        <v>57</v>
      </c>
      <c r="E930">
        <v>6</v>
      </c>
      <c r="F930" t="s">
        <v>38</v>
      </c>
      <c r="G930" t="s">
        <v>33</v>
      </c>
      <c r="H930" t="s">
        <v>50</v>
      </c>
      <c r="I930" t="s">
        <v>22</v>
      </c>
      <c r="J930" t="s">
        <v>12</v>
      </c>
      <c r="K930" s="2">
        <v>21000</v>
      </c>
      <c r="L930" s="3">
        <v>34.200000000000003</v>
      </c>
      <c r="M930" s="3">
        <v>36.700000000000003</v>
      </c>
      <c r="N930" s="3">
        <v>776.2</v>
      </c>
      <c r="O930" s="2">
        <v>443</v>
      </c>
      <c r="P930">
        <v>1</v>
      </c>
      <c r="Q930" t="s">
        <v>20</v>
      </c>
      <c r="R930" s="4">
        <v>228.83</v>
      </c>
      <c r="S930" s="4">
        <v>143.18</v>
      </c>
      <c r="T930" t="s">
        <v>34</v>
      </c>
      <c r="U930" s="4">
        <v>11.94</v>
      </c>
      <c r="V930" s="4">
        <v>10.897</v>
      </c>
      <c r="W930" s="4">
        <v>85.65</v>
      </c>
    </row>
    <row r="931" spans="1:23" ht="15" customHeight="1" x14ac:dyDescent="0.25">
      <c r="A931">
        <v>1259</v>
      </c>
      <c r="B931" s="1">
        <v>45810.583333333343</v>
      </c>
      <c r="C931">
        <v>14</v>
      </c>
      <c r="D931" t="s">
        <v>57</v>
      </c>
      <c r="E931">
        <v>6</v>
      </c>
      <c r="F931" t="s">
        <v>38</v>
      </c>
      <c r="G931" t="s">
        <v>33</v>
      </c>
      <c r="H931" t="s">
        <v>51</v>
      </c>
      <c r="I931" t="s">
        <v>25</v>
      </c>
      <c r="J931" t="s">
        <v>15</v>
      </c>
      <c r="K931" s="2">
        <v>17400</v>
      </c>
      <c r="L931" s="3">
        <v>27</v>
      </c>
      <c r="M931" s="3">
        <v>68.3</v>
      </c>
      <c r="N931" s="3">
        <v>817</v>
      </c>
      <c r="O931" s="2">
        <v>1311</v>
      </c>
      <c r="P931">
        <v>1</v>
      </c>
      <c r="Q931" t="s">
        <v>20</v>
      </c>
      <c r="R931" s="4">
        <v>209.23</v>
      </c>
      <c r="S931" s="4">
        <v>94.68</v>
      </c>
      <c r="T931" t="s">
        <v>34</v>
      </c>
      <c r="U931" s="4">
        <v>16.37</v>
      </c>
      <c r="V931" s="4">
        <v>12.025</v>
      </c>
      <c r="W931" s="4">
        <v>114.55</v>
      </c>
    </row>
    <row r="932" spans="1:23" ht="15" customHeight="1" x14ac:dyDescent="0.25">
      <c r="A932">
        <v>1628</v>
      </c>
      <c r="B932" s="1">
        <v>45810.833333333343</v>
      </c>
      <c r="C932">
        <v>20</v>
      </c>
      <c r="D932" t="s">
        <v>57</v>
      </c>
      <c r="E932">
        <v>6</v>
      </c>
      <c r="F932" t="s">
        <v>38</v>
      </c>
      <c r="G932" t="s">
        <v>33</v>
      </c>
      <c r="H932" t="s">
        <v>49</v>
      </c>
      <c r="I932" t="s">
        <v>27</v>
      </c>
      <c r="J932" t="s">
        <v>18</v>
      </c>
      <c r="K932" s="2">
        <v>26000</v>
      </c>
      <c r="L932" s="3">
        <v>26.2</v>
      </c>
      <c r="M932" s="3">
        <v>60.7</v>
      </c>
      <c r="N932" s="3">
        <v>74.2</v>
      </c>
      <c r="O932" s="2">
        <v>159</v>
      </c>
      <c r="P932">
        <v>1</v>
      </c>
      <c r="Q932" t="s">
        <v>20</v>
      </c>
      <c r="R932" s="4">
        <v>253.15</v>
      </c>
      <c r="S932" s="4">
        <v>19.07</v>
      </c>
      <c r="T932" t="s">
        <v>37</v>
      </c>
      <c r="U932" s="4">
        <v>53</v>
      </c>
      <c r="V932" s="4">
        <v>9.7370000000000001</v>
      </c>
      <c r="W932" s="4">
        <v>234.08</v>
      </c>
    </row>
    <row r="933" spans="1:23" ht="15" customHeight="1" x14ac:dyDescent="0.25">
      <c r="A933">
        <v>524</v>
      </c>
      <c r="B933" s="1">
        <v>45810.833333333343</v>
      </c>
      <c r="C933">
        <v>20</v>
      </c>
      <c r="D933" t="s">
        <v>57</v>
      </c>
      <c r="E933">
        <v>6</v>
      </c>
      <c r="F933" t="s">
        <v>38</v>
      </c>
      <c r="G933" t="s">
        <v>33</v>
      </c>
      <c r="H933" t="s">
        <v>54</v>
      </c>
      <c r="I933" t="s">
        <v>16</v>
      </c>
      <c r="J933" t="s">
        <v>24</v>
      </c>
      <c r="K933" s="2">
        <v>8600</v>
      </c>
      <c r="L933" s="3">
        <v>19.600000000000001</v>
      </c>
      <c r="M933" s="3">
        <v>91.7</v>
      </c>
      <c r="N933" s="3">
        <v>39.700000000000003</v>
      </c>
      <c r="O933" s="2">
        <v>114</v>
      </c>
      <c r="P933">
        <v>0</v>
      </c>
      <c r="Q933" t="s">
        <v>14</v>
      </c>
      <c r="R933" s="4">
        <v>24.82</v>
      </c>
      <c r="S933" s="4">
        <v>2.87</v>
      </c>
      <c r="T933" t="s">
        <v>37</v>
      </c>
      <c r="U933" s="4">
        <v>4.84</v>
      </c>
      <c r="V933" s="4">
        <v>2.8860000000000001</v>
      </c>
      <c r="W933" s="4">
        <v>21.95</v>
      </c>
    </row>
    <row r="934" spans="1:23" ht="15" customHeight="1" x14ac:dyDescent="0.25">
      <c r="A934">
        <v>892</v>
      </c>
      <c r="B934" s="1">
        <v>45810.833333333343</v>
      </c>
      <c r="C934">
        <v>20</v>
      </c>
      <c r="D934" t="s">
        <v>57</v>
      </c>
      <c r="E934">
        <v>6</v>
      </c>
      <c r="F934" t="s">
        <v>38</v>
      </c>
      <c r="G934" t="s">
        <v>33</v>
      </c>
      <c r="H934" t="s">
        <v>50</v>
      </c>
      <c r="I934" t="s">
        <v>22</v>
      </c>
      <c r="J934" t="s">
        <v>12</v>
      </c>
      <c r="K934" s="2">
        <v>21000</v>
      </c>
      <c r="L934" s="3">
        <v>29.2</v>
      </c>
      <c r="M934" s="3">
        <v>56.9</v>
      </c>
      <c r="N934" s="3">
        <v>53.1</v>
      </c>
      <c r="O934" s="2">
        <v>444</v>
      </c>
      <c r="P934">
        <v>1</v>
      </c>
      <c r="Q934" t="s">
        <v>20</v>
      </c>
      <c r="R934" s="4">
        <v>308.17</v>
      </c>
      <c r="S934" s="4">
        <v>9.9499999999999993</v>
      </c>
      <c r="T934" t="s">
        <v>37</v>
      </c>
      <c r="U934" s="4">
        <v>64.739999999999995</v>
      </c>
      <c r="V934" s="4">
        <v>14.675000000000001</v>
      </c>
      <c r="W934" s="4">
        <v>298.22000000000003</v>
      </c>
    </row>
    <row r="935" spans="1:23" ht="15" customHeight="1" x14ac:dyDescent="0.25">
      <c r="A935">
        <v>156</v>
      </c>
      <c r="B935" s="1">
        <v>45810.833333333343</v>
      </c>
      <c r="C935">
        <v>20</v>
      </c>
      <c r="D935" t="s">
        <v>57</v>
      </c>
      <c r="E935">
        <v>6</v>
      </c>
      <c r="F935" t="s">
        <v>38</v>
      </c>
      <c r="G935" t="s">
        <v>33</v>
      </c>
      <c r="H935" t="s">
        <v>53</v>
      </c>
      <c r="I935" t="s">
        <v>19</v>
      </c>
      <c r="J935" t="s">
        <v>26</v>
      </c>
      <c r="K935" s="2">
        <v>12500</v>
      </c>
      <c r="L935" s="3">
        <v>21.2</v>
      </c>
      <c r="M935" s="3">
        <v>45.2</v>
      </c>
      <c r="N935" s="3">
        <v>105</v>
      </c>
      <c r="O935" s="2">
        <v>33</v>
      </c>
      <c r="P935">
        <v>0</v>
      </c>
      <c r="Q935" t="s">
        <v>14</v>
      </c>
      <c r="R935" s="4">
        <v>37.130000000000003</v>
      </c>
      <c r="S935" s="4">
        <v>16.3</v>
      </c>
      <c r="T935" t="s">
        <v>37</v>
      </c>
      <c r="U935" s="4">
        <v>4.71</v>
      </c>
      <c r="V935" s="4">
        <v>2.97</v>
      </c>
      <c r="W935" s="4">
        <v>20.83</v>
      </c>
    </row>
    <row r="936" spans="1:23" ht="15" customHeight="1" x14ac:dyDescent="0.25">
      <c r="A936">
        <v>1260</v>
      </c>
      <c r="B936" s="1">
        <v>45810.833333333343</v>
      </c>
      <c r="C936">
        <v>20</v>
      </c>
      <c r="D936" t="s">
        <v>57</v>
      </c>
      <c r="E936">
        <v>6</v>
      </c>
      <c r="F936" t="s">
        <v>38</v>
      </c>
      <c r="G936" t="s">
        <v>33</v>
      </c>
      <c r="H936" t="s">
        <v>51</v>
      </c>
      <c r="I936" t="s">
        <v>25</v>
      </c>
      <c r="J936" t="s">
        <v>15</v>
      </c>
      <c r="K936" s="2">
        <v>17400</v>
      </c>
      <c r="L936" s="3">
        <v>27.6</v>
      </c>
      <c r="M936" s="3">
        <v>57.3</v>
      </c>
      <c r="N936" s="3">
        <v>73.400000000000006</v>
      </c>
      <c r="O936" s="2">
        <v>1352</v>
      </c>
      <c r="P936">
        <v>1</v>
      </c>
      <c r="Q936" t="s">
        <v>20</v>
      </c>
      <c r="R936" s="4">
        <v>284.97000000000003</v>
      </c>
      <c r="S936" s="4">
        <v>9.39</v>
      </c>
      <c r="T936" t="s">
        <v>37</v>
      </c>
      <c r="U936" s="4">
        <v>59.39</v>
      </c>
      <c r="V936" s="4">
        <v>16.378</v>
      </c>
      <c r="W936" s="4">
        <v>275.58</v>
      </c>
    </row>
    <row r="937" spans="1:23" ht="15" customHeight="1" x14ac:dyDescent="0.25">
      <c r="A937">
        <v>1996</v>
      </c>
      <c r="B937" s="1">
        <v>45810.833333333343</v>
      </c>
      <c r="C937">
        <v>20</v>
      </c>
      <c r="D937" t="s">
        <v>57</v>
      </c>
      <c r="E937">
        <v>6</v>
      </c>
      <c r="F937" t="s">
        <v>38</v>
      </c>
      <c r="G937" t="s">
        <v>33</v>
      </c>
      <c r="H937" t="s">
        <v>52</v>
      </c>
      <c r="I937" t="s">
        <v>13</v>
      </c>
      <c r="J937" t="s">
        <v>21</v>
      </c>
      <c r="K937" s="2">
        <v>9800</v>
      </c>
      <c r="L937" s="3">
        <v>22.4</v>
      </c>
      <c r="M937" s="3">
        <v>75.099999999999994</v>
      </c>
      <c r="N937" s="3">
        <v>57.1</v>
      </c>
      <c r="O937" s="2">
        <v>304</v>
      </c>
      <c r="P937">
        <v>0</v>
      </c>
      <c r="Q937" t="s">
        <v>14</v>
      </c>
      <c r="R937" s="4">
        <v>94.4</v>
      </c>
      <c r="S937" s="4">
        <v>0</v>
      </c>
      <c r="T937" t="s">
        <v>37</v>
      </c>
      <c r="U937" s="4">
        <v>20.87</v>
      </c>
      <c r="V937" s="4">
        <v>9.6329999999999991</v>
      </c>
      <c r="W937" s="4">
        <v>94.4</v>
      </c>
    </row>
    <row r="938" spans="1:23" ht="15" customHeight="1" x14ac:dyDescent="0.25">
      <c r="A938">
        <v>157</v>
      </c>
      <c r="B938" s="1">
        <v>45814</v>
      </c>
      <c r="C938">
        <v>0</v>
      </c>
      <c r="D938" t="s">
        <v>58</v>
      </c>
      <c r="E938">
        <v>6</v>
      </c>
      <c r="F938" t="s">
        <v>38</v>
      </c>
      <c r="G938" t="s">
        <v>33</v>
      </c>
      <c r="H938" t="s">
        <v>53</v>
      </c>
      <c r="I938" t="s">
        <v>19</v>
      </c>
      <c r="J938" t="s">
        <v>26</v>
      </c>
      <c r="K938" s="2">
        <v>12500</v>
      </c>
      <c r="L938" s="3">
        <v>17.8</v>
      </c>
      <c r="M938" s="3">
        <v>58.1</v>
      </c>
      <c r="N938" s="3">
        <v>0</v>
      </c>
      <c r="O938" s="2">
        <v>0</v>
      </c>
      <c r="P938">
        <v>0</v>
      </c>
      <c r="Q938" t="s">
        <v>14</v>
      </c>
      <c r="R938" s="4">
        <v>22.62</v>
      </c>
      <c r="S938" s="4">
        <v>0</v>
      </c>
      <c r="T938" t="s">
        <v>31</v>
      </c>
      <c r="U938" s="4">
        <v>2.0699999999999998</v>
      </c>
      <c r="V938" s="4">
        <v>1.81</v>
      </c>
      <c r="W938" s="4">
        <v>22.62</v>
      </c>
    </row>
    <row r="939" spans="1:23" ht="15" customHeight="1" x14ac:dyDescent="0.25">
      <c r="A939">
        <v>525</v>
      </c>
      <c r="B939" s="1">
        <v>45814</v>
      </c>
      <c r="C939">
        <v>0</v>
      </c>
      <c r="D939" t="s">
        <v>58</v>
      </c>
      <c r="E939">
        <v>6</v>
      </c>
      <c r="F939" t="s">
        <v>38</v>
      </c>
      <c r="G939" t="s">
        <v>33</v>
      </c>
      <c r="H939" t="s">
        <v>54</v>
      </c>
      <c r="I939" t="s">
        <v>16</v>
      </c>
      <c r="J939" t="s">
        <v>24</v>
      </c>
      <c r="K939" s="2">
        <v>8600</v>
      </c>
      <c r="L939" s="3">
        <v>17.8</v>
      </c>
      <c r="M939" s="3">
        <v>83.9</v>
      </c>
      <c r="N939" s="3">
        <v>0</v>
      </c>
      <c r="O939" s="2">
        <v>123</v>
      </c>
      <c r="P939">
        <v>0</v>
      </c>
      <c r="Q939" t="s">
        <v>14</v>
      </c>
      <c r="R939" s="4">
        <v>24.88</v>
      </c>
      <c r="S939" s="4">
        <v>0</v>
      </c>
      <c r="T939" t="s">
        <v>31</v>
      </c>
      <c r="U939" s="4">
        <v>2.2999999999999998</v>
      </c>
      <c r="V939" s="4">
        <v>2.8929999999999998</v>
      </c>
      <c r="W939" s="4">
        <v>24.88</v>
      </c>
    </row>
    <row r="940" spans="1:23" ht="15" customHeight="1" x14ac:dyDescent="0.25">
      <c r="A940">
        <v>1997</v>
      </c>
      <c r="B940" s="1">
        <v>45814</v>
      </c>
      <c r="C940">
        <v>0</v>
      </c>
      <c r="D940" t="s">
        <v>58</v>
      </c>
      <c r="E940">
        <v>6</v>
      </c>
      <c r="F940" t="s">
        <v>38</v>
      </c>
      <c r="G940" t="s">
        <v>33</v>
      </c>
      <c r="H940" t="s">
        <v>52</v>
      </c>
      <c r="I940" t="s">
        <v>13</v>
      </c>
      <c r="J940" t="s">
        <v>21</v>
      </c>
      <c r="K940" s="2">
        <v>9800</v>
      </c>
      <c r="L940" s="3">
        <v>22.1</v>
      </c>
      <c r="M940" s="3"/>
      <c r="N940" s="3">
        <v>0</v>
      </c>
      <c r="O940" s="2">
        <v>289</v>
      </c>
      <c r="P940">
        <v>0</v>
      </c>
      <c r="Q940" t="s">
        <v>14</v>
      </c>
      <c r="R940" s="4">
        <v>89.61</v>
      </c>
      <c r="S940" s="4">
        <v>0</v>
      </c>
      <c r="T940" t="s">
        <v>31</v>
      </c>
      <c r="U940" s="4">
        <v>7.96</v>
      </c>
      <c r="V940" s="4">
        <v>9.1440000000000001</v>
      </c>
      <c r="W940" s="4">
        <v>89.61</v>
      </c>
    </row>
    <row r="941" spans="1:23" ht="15" customHeight="1" x14ac:dyDescent="0.25">
      <c r="A941">
        <v>893</v>
      </c>
      <c r="B941" s="1">
        <v>45814</v>
      </c>
      <c r="C941">
        <v>0</v>
      </c>
      <c r="D941" t="s">
        <v>58</v>
      </c>
      <c r="E941">
        <v>6</v>
      </c>
      <c r="F941" t="s">
        <v>38</v>
      </c>
      <c r="G941" t="s">
        <v>33</v>
      </c>
      <c r="H941" t="s">
        <v>50</v>
      </c>
      <c r="I941" t="s">
        <v>22</v>
      </c>
      <c r="J941" t="s">
        <v>12</v>
      </c>
      <c r="K941" s="2">
        <v>21000</v>
      </c>
      <c r="L941" s="3">
        <v>23.9</v>
      </c>
      <c r="M941" s="3">
        <v>52</v>
      </c>
      <c r="N941" s="3">
        <v>0</v>
      </c>
      <c r="O941" s="2">
        <v>197</v>
      </c>
      <c r="P941">
        <v>1</v>
      </c>
      <c r="Q941" t="s">
        <v>23</v>
      </c>
      <c r="R941" s="4">
        <v>173.36</v>
      </c>
      <c r="S941" s="4">
        <v>0</v>
      </c>
      <c r="T941" t="s">
        <v>31</v>
      </c>
      <c r="U941" s="4">
        <v>15.95</v>
      </c>
      <c r="V941" s="4">
        <v>8.2550000000000008</v>
      </c>
      <c r="W941" s="4">
        <v>173.36</v>
      </c>
    </row>
    <row r="942" spans="1:23" ht="15" customHeight="1" x14ac:dyDescent="0.25">
      <c r="A942">
        <v>1261</v>
      </c>
      <c r="B942" s="1">
        <v>45814</v>
      </c>
      <c r="C942">
        <v>0</v>
      </c>
      <c r="D942" t="s">
        <v>58</v>
      </c>
      <c r="E942">
        <v>6</v>
      </c>
      <c r="F942" t="s">
        <v>38</v>
      </c>
      <c r="G942" t="s">
        <v>33</v>
      </c>
      <c r="H942" t="s">
        <v>51</v>
      </c>
      <c r="I942" t="s">
        <v>25</v>
      </c>
      <c r="J942" t="s">
        <v>15</v>
      </c>
      <c r="K942" s="2">
        <v>17400</v>
      </c>
      <c r="L942" s="3">
        <v>18.7</v>
      </c>
      <c r="M942" s="3">
        <v>78.2</v>
      </c>
      <c r="N942" s="3">
        <v>0</v>
      </c>
      <c r="O942" s="2"/>
      <c r="P942">
        <v>0</v>
      </c>
      <c r="Q942" t="s">
        <v>14</v>
      </c>
      <c r="R942" s="4">
        <v>46.39</v>
      </c>
      <c r="S942" s="4">
        <v>0</v>
      </c>
      <c r="T942" t="s">
        <v>31</v>
      </c>
      <c r="U942" s="4">
        <v>4.16</v>
      </c>
      <c r="V942" s="4">
        <v>2.6659999999999999</v>
      </c>
      <c r="W942" s="4">
        <v>46.39</v>
      </c>
    </row>
    <row r="943" spans="1:23" ht="15" customHeight="1" x14ac:dyDescent="0.25">
      <c r="A943">
        <v>1629</v>
      </c>
      <c r="B943" s="1">
        <v>45814</v>
      </c>
      <c r="C943">
        <v>0</v>
      </c>
      <c r="D943" t="s">
        <v>58</v>
      </c>
      <c r="E943">
        <v>6</v>
      </c>
      <c r="F943" t="s">
        <v>38</v>
      </c>
      <c r="G943" t="s">
        <v>33</v>
      </c>
      <c r="H943" t="s">
        <v>49</v>
      </c>
      <c r="I943" t="s">
        <v>27</v>
      </c>
      <c r="J943" t="s">
        <v>18</v>
      </c>
      <c r="K943" s="2">
        <v>26000</v>
      </c>
      <c r="L943" s="3"/>
      <c r="M943" s="3">
        <v>56</v>
      </c>
      <c r="N943" s="3">
        <v>0</v>
      </c>
      <c r="O943" s="2">
        <v>60</v>
      </c>
      <c r="P943">
        <v>0</v>
      </c>
      <c r="Q943" t="s">
        <v>14</v>
      </c>
      <c r="R943" s="4">
        <v>111.15</v>
      </c>
      <c r="S943" s="4">
        <v>0</v>
      </c>
      <c r="T943" t="s">
        <v>31</v>
      </c>
      <c r="U943" s="4">
        <v>10.15</v>
      </c>
      <c r="V943" s="4">
        <v>4.2750000000000004</v>
      </c>
      <c r="W943" s="4">
        <v>111.15</v>
      </c>
    </row>
    <row r="944" spans="1:23" ht="15" customHeight="1" x14ac:dyDescent="0.25">
      <c r="A944">
        <v>894</v>
      </c>
      <c r="B944" s="1">
        <v>45814.333333333343</v>
      </c>
      <c r="C944">
        <v>8</v>
      </c>
      <c r="D944" t="s">
        <v>58</v>
      </c>
      <c r="E944">
        <v>6</v>
      </c>
      <c r="F944" t="s">
        <v>38</v>
      </c>
      <c r="G944" t="s">
        <v>33</v>
      </c>
      <c r="H944" t="s">
        <v>50</v>
      </c>
      <c r="I944" t="s">
        <v>22</v>
      </c>
      <c r="J944" t="s">
        <v>12</v>
      </c>
      <c r="K944" s="2">
        <v>21000</v>
      </c>
      <c r="L944" s="3">
        <v>27.5</v>
      </c>
      <c r="M944" s="3">
        <v>49.9</v>
      </c>
      <c r="N944" s="3">
        <v>410.1</v>
      </c>
      <c r="O944" s="2">
        <v>422</v>
      </c>
      <c r="P944">
        <v>1</v>
      </c>
      <c r="Q944" t="s">
        <v>20</v>
      </c>
      <c r="R944" s="4">
        <v>210.51</v>
      </c>
      <c r="S944" s="4">
        <v>73.31</v>
      </c>
      <c r="T944" t="s">
        <v>34</v>
      </c>
      <c r="U944" s="4">
        <v>19.78</v>
      </c>
      <c r="V944" s="4">
        <v>10.023999999999999</v>
      </c>
      <c r="W944" s="4">
        <v>137.19999999999999</v>
      </c>
    </row>
    <row r="945" spans="1:23" ht="15" customHeight="1" x14ac:dyDescent="0.25">
      <c r="A945">
        <v>1630</v>
      </c>
      <c r="B945" s="1">
        <v>45814.333333333343</v>
      </c>
      <c r="C945">
        <v>8</v>
      </c>
      <c r="D945" t="s">
        <v>58</v>
      </c>
      <c r="E945">
        <v>6</v>
      </c>
      <c r="F945" t="s">
        <v>38</v>
      </c>
      <c r="G945" t="s">
        <v>33</v>
      </c>
      <c r="H945" t="s">
        <v>49</v>
      </c>
      <c r="I945" t="s">
        <v>27</v>
      </c>
      <c r="J945" t="s">
        <v>18</v>
      </c>
      <c r="K945" s="2">
        <v>26000</v>
      </c>
      <c r="L945" s="3">
        <v>23.8</v>
      </c>
      <c r="M945" s="3">
        <v>56.8</v>
      </c>
      <c r="N945" s="3">
        <v>391.1</v>
      </c>
      <c r="O945" s="2">
        <v>169</v>
      </c>
      <c r="P945">
        <v>1</v>
      </c>
      <c r="Q945" t="s">
        <v>23</v>
      </c>
      <c r="R945" s="4">
        <v>147.94999999999999</v>
      </c>
      <c r="S945" s="4">
        <v>103.08</v>
      </c>
      <c r="T945" t="s">
        <v>34</v>
      </c>
      <c r="U945" s="4">
        <v>6.26</v>
      </c>
      <c r="V945" s="4">
        <v>5.69</v>
      </c>
      <c r="W945" s="4">
        <v>44.87</v>
      </c>
    </row>
    <row r="946" spans="1:23" ht="15" customHeight="1" x14ac:dyDescent="0.25">
      <c r="A946">
        <v>158</v>
      </c>
      <c r="B946" s="1">
        <v>45814.333333333343</v>
      </c>
      <c r="C946">
        <v>8</v>
      </c>
      <c r="D946" t="s">
        <v>58</v>
      </c>
      <c r="E946">
        <v>6</v>
      </c>
      <c r="F946" t="s">
        <v>38</v>
      </c>
      <c r="G946" t="s">
        <v>33</v>
      </c>
      <c r="H946" t="s">
        <v>53</v>
      </c>
      <c r="I946" t="s">
        <v>19</v>
      </c>
      <c r="J946" t="s">
        <v>26</v>
      </c>
      <c r="K946" s="2">
        <v>12500</v>
      </c>
      <c r="L946" s="3">
        <v>18.899999999999999</v>
      </c>
      <c r="M946" s="3">
        <v>58.7</v>
      </c>
      <c r="N946" s="3">
        <v>397.2</v>
      </c>
      <c r="O946" s="2">
        <v>333</v>
      </c>
      <c r="P946">
        <v>0</v>
      </c>
      <c r="Q946" t="s">
        <v>14</v>
      </c>
      <c r="R946" s="4">
        <v>64.44</v>
      </c>
      <c r="S946" s="4">
        <v>58.11</v>
      </c>
      <c r="T946" t="s">
        <v>34</v>
      </c>
      <c r="U946" s="4">
        <v>0.91</v>
      </c>
      <c r="V946" s="4">
        <v>5.1550000000000002</v>
      </c>
      <c r="W946" s="4">
        <v>6.33</v>
      </c>
    </row>
    <row r="947" spans="1:23" ht="15" customHeight="1" x14ac:dyDescent="0.25">
      <c r="A947">
        <v>1998</v>
      </c>
      <c r="B947" s="1">
        <v>45814.333333333343</v>
      </c>
      <c r="C947">
        <v>8</v>
      </c>
      <c r="D947" t="s">
        <v>58</v>
      </c>
      <c r="E947">
        <v>6</v>
      </c>
      <c r="F947" t="s">
        <v>38</v>
      </c>
      <c r="G947" t="s">
        <v>33</v>
      </c>
      <c r="H947" t="s">
        <v>52</v>
      </c>
      <c r="I947" t="s">
        <v>13</v>
      </c>
      <c r="J947" t="s">
        <v>21</v>
      </c>
      <c r="K947" s="2">
        <v>9800</v>
      </c>
      <c r="L947" s="3">
        <v>20.5</v>
      </c>
      <c r="M947" s="3">
        <v>84</v>
      </c>
      <c r="N947" s="3">
        <v>292</v>
      </c>
      <c r="O947" s="2">
        <v>23</v>
      </c>
      <c r="P947">
        <v>0</v>
      </c>
      <c r="Q947" t="s">
        <v>14</v>
      </c>
      <c r="R947" s="4">
        <v>16.21</v>
      </c>
      <c r="S947" s="4">
        <v>0</v>
      </c>
      <c r="T947" t="s">
        <v>34</v>
      </c>
      <c r="U947" s="4">
        <v>2.34</v>
      </c>
      <c r="V947" s="4">
        <v>1.6539999999999999</v>
      </c>
      <c r="W947" s="4">
        <v>16.21</v>
      </c>
    </row>
    <row r="948" spans="1:23" ht="15" customHeight="1" x14ac:dyDescent="0.25">
      <c r="A948">
        <v>526</v>
      </c>
      <c r="B948" s="1">
        <v>45814.333333333343</v>
      </c>
      <c r="C948">
        <v>8</v>
      </c>
      <c r="D948" t="s">
        <v>58</v>
      </c>
      <c r="E948">
        <v>6</v>
      </c>
      <c r="F948" t="s">
        <v>38</v>
      </c>
      <c r="G948" t="s">
        <v>33</v>
      </c>
      <c r="H948" t="s">
        <v>54</v>
      </c>
      <c r="I948" t="s">
        <v>16</v>
      </c>
      <c r="J948" t="s">
        <v>24</v>
      </c>
      <c r="K948" s="2">
        <v>8600</v>
      </c>
      <c r="L948" s="3">
        <v>16.7</v>
      </c>
      <c r="M948" s="3">
        <v>76.5</v>
      </c>
      <c r="N948" s="3">
        <v>419.1</v>
      </c>
      <c r="O948" s="2">
        <v>735</v>
      </c>
      <c r="P948">
        <v>0</v>
      </c>
      <c r="Q948" t="s">
        <v>14</v>
      </c>
      <c r="R948" s="4">
        <v>78.95</v>
      </c>
      <c r="S948" s="4">
        <v>29.55</v>
      </c>
      <c r="T948" t="s">
        <v>34</v>
      </c>
      <c r="U948" s="4">
        <v>7.41</v>
      </c>
      <c r="V948" s="4">
        <v>9.18</v>
      </c>
      <c r="W948" s="4">
        <v>49.4</v>
      </c>
    </row>
    <row r="949" spans="1:23" ht="15" customHeight="1" x14ac:dyDescent="0.25">
      <c r="A949">
        <v>1262</v>
      </c>
      <c r="B949" s="1">
        <v>45814.333333333343</v>
      </c>
      <c r="C949">
        <v>8</v>
      </c>
      <c r="D949" t="s">
        <v>58</v>
      </c>
      <c r="E949">
        <v>6</v>
      </c>
      <c r="F949" t="s">
        <v>38</v>
      </c>
      <c r="G949" t="s">
        <v>33</v>
      </c>
      <c r="H949" t="s">
        <v>51</v>
      </c>
      <c r="I949" t="s">
        <v>25</v>
      </c>
      <c r="J949" t="s">
        <v>15</v>
      </c>
      <c r="K949" s="2">
        <v>17400</v>
      </c>
      <c r="L949" s="3">
        <v>22.1</v>
      </c>
      <c r="M949" s="3">
        <v>62.4</v>
      </c>
      <c r="N949" s="3">
        <v>408.3</v>
      </c>
      <c r="O949" s="2">
        <v>0</v>
      </c>
      <c r="P949">
        <v>0</v>
      </c>
      <c r="Q949" t="s">
        <v>14</v>
      </c>
      <c r="R949" s="4">
        <v>32.22</v>
      </c>
      <c r="S949" s="4">
        <v>53.76</v>
      </c>
      <c r="T949" t="s">
        <v>34</v>
      </c>
      <c r="U949" s="4">
        <v>-1.27</v>
      </c>
      <c r="V949" s="4">
        <v>1.8520000000000001</v>
      </c>
      <c r="W949" s="4">
        <v>0</v>
      </c>
    </row>
    <row r="950" spans="1:23" ht="15" customHeight="1" x14ac:dyDescent="0.25">
      <c r="A950">
        <v>527</v>
      </c>
      <c r="B950" s="1">
        <v>45814.583333333343</v>
      </c>
      <c r="C950">
        <v>14</v>
      </c>
      <c r="D950" t="s">
        <v>58</v>
      </c>
      <c r="E950">
        <v>6</v>
      </c>
      <c r="F950" t="s">
        <v>38</v>
      </c>
      <c r="G950" t="s">
        <v>33</v>
      </c>
      <c r="H950" t="s">
        <v>54</v>
      </c>
      <c r="I950" t="s">
        <v>16</v>
      </c>
      <c r="J950" t="s">
        <v>24</v>
      </c>
      <c r="K950" s="2">
        <v>8600</v>
      </c>
      <c r="L950" s="3">
        <v>23.3</v>
      </c>
      <c r="M950" s="3">
        <v>79</v>
      </c>
      <c r="N950" s="3">
        <v>730.9</v>
      </c>
      <c r="O950" s="2">
        <v>866</v>
      </c>
      <c r="P950">
        <v>1</v>
      </c>
      <c r="Q950" t="s">
        <v>23</v>
      </c>
      <c r="R950" s="4">
        <v>85.91</v>
      </c>
      <c r="S950" s="4">
        <v>59.9</v>
      </c>
      <c r="T950" t="s">
        <v>34</v>
      </c>
      <c r="U950" s="4">
        <v>3.77</v>
      </c>
      <c r="V950" s="4">
        <v>9.99</v>
      </c>
      <c r="W950" s="4">
        <v>26.01</v>
      </c>
    </row>
    <row r="951" spans="1:23" ht="15" customHeight="1" x14ac:dyDescent="0.25">
      <c r="A951">
        <v>1263</v>
      </c>
      <c r="B951" s="1">
        <v>45814.583333333343</v>
      </c>
      <c r="C951">
        <v>14</v>
      </c>
      <c r="D951" t="s">
        <v>58</v>
      </c>
      <c r="E951">
        <v>6</v>
      </c>
      <c r="F951" t="s">
        <v>38</v>
      </c>
      <c r="G951" t="s">
        <v>33</v>
      </c>
      <c r="H951" t="s">
        <v>51</v>
      </c>
      <c r="I951" t="s">
        <v>25</v>
      </c>
      <c r="J951" t="s">
        <v>15</v>
      </c>
      <c r="K951" s="2">
        <v>17400</v>
      </c>
      <c r="L951" s="3">
        <v>28.3</v>
      </c>
      <c r="M951" s="3">
        <v>56.3</v>
      </c>
      <c r="N951" s="3">
        <v>728.3</v>
      </c>
      <c r="O951" s="2">
        <v>1392</v>
      </c>
      <c r="P951">
        <v>1</v>
      </c>
      <c r="Q951" t="s">
        <v>20</v>
      </c>
      <c r="R951" s="4">
        <v>214.95</v>
      </c>
      <c r="S951" s="4">
        <v>86.51</v>
      </c>
      <c r="T951" t="s">
        <v>34</v>
      </c>
      <c r="U951" s="4">
        <v>18.05</v>
      </c>
      <c r="V951" s="4">
        <v>12.353</v>
      </c>
      <c r="W951" s="4">
        <v>128.44</v>
      </c>
    </row>
    <row r="952" spans="1:23" ht="15" customHeight="1" x14ac:dyDescent="0.25">
      <c r="A952">
        <v>1999</v>
      </c>
      <c r="B952" s="1">
        <v>45814.583333333343</v>
      </c>
      <c r="C952">
        <v>14</v>
      </c>
      <c r="D952" t="s">
        <v>58</v>
      </c>
      <c r="E952">
        <v>6</v>
      </c>
      <c r="F952" t="s">
        <v>38</v>
      </c>
      <c r="G952" t="s">
        <v>33</v>
      </c>
      <c r="H952" t="s">
        <v>52</v>
      </c>
      <c r="I952" t="s">
        <v>13</v>
      </c>
      <c r="J952" t="s">
        <v>21</v>
      </c>
      <c r="K952" s="2">
        <v>9800</v>
      </c>
      <c r="L952" s="3">
        <v>26.3</v>
      </c>
      <c r="M952" s="3">
        <v>74.2</v>
      </c>
      <c r="N952" s="3">
        <v>698</v>
      </c>
      <c r="O952" s="2">
        <v>97</v>
      </c>
      <c r="P952">
        <v>1</v>
      </c>
      <c r="Q952" t="s">
        <v>20</v>
      </c>
      <c r="R952" s="4">
        <v>25.02</v>
      </c>
      <c r="S952" s="4">
        <v>0</v>
      </c>
      <c r="T952" t="s">
        <v>34</v>
      </c>
      <c r="U952" s="4">
        <v>3.58</v>
      </c>
      <c r="V952" s="4">
        <v>2.5529999999999999</v>
      </c>
      <c r="W952" s="4">
        <v>25.02</v>
      </c>
    </row>
    <row r="953" spans="1:23" ht="15" customHeight="1" x14ac:dyDescent="0.25">
      <c r="A953">
        <v>1631</v>
      </c>
      <c r="B953" s="1">
        <v>45814.583333333343</v>
      </c>
      <c r="C953">
        <v>14</v>
      </c>
      <c r="D953" t="s">
        <v>58</v>
      </c>
      <c r="E953">
        <v>6</v>
      </c>
      <c r="F953" t="s">
        <v>38</v>
      </c>
      <c r="G953" t="s">
        <v>33</v>
      </c>
      <c r="H953" t="s">
        <v>49</v>
      </c>
      <c r="I953" t="s">
        <v>27</v>
      </c>
      <c r="J953" t="s">
        <v>18</v>
      </c>
      <c r="K953" s="2">
        <v>26000</v>
      </c>
      <c r="L953" s="3">
        <v>25.4</v>
      </c>
      <c r="M953" s="3">
        <v>39.9</v>
      </c>
      <c r="N953" s="3">
        <v>879.7</v>
      </c>
      <c r="O953" s="2">
        <v>159</v>
      </c>
      <c r="P953">
        <v>1</v>
      </c>
      <c r="Q953" t="s">
        <v>20</v>
      </c>
      <c r="R953" s="4">
        <v>163.04</v>
      </c>
      <c r="S953" s="4">
        <v>226.54</v>
      </c>
      <c r="T953" t="s">
        <v>34</v>
      </c>
      <c r="U953" s="4">
        <v>-3.58</v>
      </c>
      <c r="V953" s="4">
        <v>6.2709999999999999</v>
      </c>
      <c r="W953" s="4">
        <v>0</v>
      </c>
    </row>
    <row r="954" spans="1:23" ht="15" customHeight="1" x14ac:dyDescent="0.25">
      <c r="A954">
        <v>895</v>
      </c>
      <c r="B954" s="1">
        <v>45814.583333333343</v>
      </c>
      <c r="C954">
        <v>14</v>
      </c>
      <c r="D954" t="s">
        <v>58</v>
      </c>
      <c r="E954">
        <v>6</v>
      </c>
      <c r="F954" t="s">
        <v>38</v>
      </c>
      <c r="G954" t="s">
        <v>33</v>
      </c>
      <c r="H954" t="s">
        <v>50</v>
      </c>
      <c r="I954" t="s">
        <v>22</v>
      </c>
      <c r="J954" t="s">
        <v>12</v>
      </c>
      <c r="K954" s="2">
        <v>21000</v>
      </c>
      <c r="L954" s="3">
        <v>35.4</v>
      </c>
      <c r="M954" s="3">
        <v>40.6</v>
      </c>
      <c r="N954" s="3">
        <v>828.6</v>
      </c>
      <c r="O954" s="2">
        <v>437</v>
      </c>
      <c r="P954">
        <v>1</v>
      </c>
      <c r="Q954" t="s">
        <v>20</v>
      </c>
      <c r="R954" s="4">
        <v>209.12</v>
      </c>
      <c r="S954" s="4">
        <v>158.55000000000001</v>
      </c>
      <c r="T954" t="s">
        <v>34</v>
      </c>
      <c r="U954" s="4">
        <v>7.33</v>
      </c>
      <c r="V954" s="4">
        <v>9.9580000000000002</v>
      </c>
      <c r="W954" s="4">
        <v>50.57</v>
      </c>
    </row>
    <row r="955" spans="1:23" ht="15" customHeight="1" x14ac:dyDescent="0.25">
      <c r="A955">
        <v>159</v>
      </c>
      <c r="B955" s="1">
        <v>45814.583333333343</v>
      </c>
      <c r="C955">
        <v>14</v>
      </c>
      <c r="D955" t="s">
        <v>58</v>
      </c>
      <c r="E955">
        <v>6</v>
      </c>
      <c r="F955" t="s">
        <v>38</v>
      </c>
      <c r="G955" t="s">
        <v>33</v>
      </c>
      <c r="H955" t="s">
        <v>53</v>
      </c>
      <c r="I955" t="s">
        <v>19</v>
      </c>
      <c r="J955" t="s">
        <v>26</v>
      </c>
      <c r="K955" s="2">
        <v>12500</v>
      </c>
      <c r="L955" s="3">
        <v>30.7</v>
      </c>
      <c r="M955" s="3">
        <v>53.7</v>
      </c>
      <c r="N955" s="3">
        <v>529.70000000000005</v>
      </c>
      <c r="O955" s="2">
        <v>608</v>
      </c>
      <c r="P955">
        <v>1</v>
      </c>
      <c r="Q955" t="s">
        <v>20</v>
      </c>
      <c r="R955" s="4">
        <v>110.06</v>
      </c>
      <c r="S955" s="4">
        <v>82.19</v>
      </c>
      <c r="T955" t="s">
        <v>34</v>
      </c>
      <c r="U955" s="4">
        <v>3.92</v>
      </c>
      <c r="V955" s="4">
        <v>8.8049999999999997</v>
      </c>
      <c r="W955" s="4">
        <v>27.87</v>
      </c>
    </row>
    <row r="956" spans="1:23" ht="15" customHeight="1" x14ac:dyDescent="0.25">
      <c r="A956">
        <v>896</v>
      </c>
      <c r="B956" s="1">
        <v>45814.833333333343</v>
      </c>
      <c r="C956">
        <v>20</v>
      </c>
      <c r="D956" t="s">
        <v>58</v>
      </c>
      <c r="E956">
        <v>6</v>
      </c>
      <c r="F956" t="s">
        <v>38</v>
      </c>
      <c r="G956" t="s">
        <v>33</v>
      </c>
      <c r="H956" t="s">
        <v>50</v>
      </c>
      <c r="I956" t="s">
        <v>22</v>
      </c>
      <c r="J956" t="s">
        <v>12</v>
      </c>
      <c r="K956" s="2">
        <v>21000</v>
      </c>
      <c r="L956" s="3">
        <v>28.2</v>
      </c>
      <c r="M956" s="3">
        <v>54</v>
      </c>
      <c r="N956" s="3">
        <v>77.599999999999994</v>
      </c>
      <c r="O956" s="2">
        <v>376</v>
      </c>
      <c r="P956">
        <v>1</v>
      </c>
      <c r="Q956" t="s">
        <v>20</v>
      </c>
      <c r="R956" s="4">
        <v>305.35000000000002</v>
      </c>
      <c r="S956" s="4">
        <v>15</v>
      </c>
      <c r="T956" t="s">
        <v>37</v>
      </c>
      <c r="U956" s="4">
        <v>64.569999999999993</v>
      </c>
      <c r="V956" s="4">
        <v>14.54</v>
      </c>
      <c r="W956" s="4">
        <v>290.35000000000002</v>
      </c>
    </row>
    <row r="957" spans="1:23" ht="15" customHeight="1" x14ac:dyDescent="0.25">
      <c r="A957">
        <v>160</v>
      </c>
      <c r="B957" s="1">
        <v>45814.833333333343</v>
      </c>
      <c r="C957">
        <v>20</v>
      </c>
      <c r="D957" t="s">
        <v>58</v>
      </c>
      <c r="E957">
        <v>6</v>
      </c>
      <c r="F957" t="s">
        <v>38</v>
      </c>
      <c r="G957" t="s">
        <v>33</v>
      </c>
      <c r="H957" t="s">
        <v>53</v>
      </c>
      <c r="I957" t="s">
        <v>19</v>
      </c>
      <c r="J957" t="s">
        <v>26</v>
      </c>
      <c r="K957" s="2">
        <v>12500</v>
      </c>
      <c r="L957" s="3">
        <v>24.2</v>
      </c>
      <c r="M957" s="3">
        <v>64.3</v>
      </c>
      <c r="N957" s="3">
        <v>55.1</v>
      </c>
      <c r="O957" s="2">
        <v>54</v>
      </c>
      <c r="P957">
        <v>1</v>
      </c>
      <c r="Q957" t="s">
        <v>20</v>
      </c>
      <c r="R957" s="4">
        <v>41.63</v>
      </c>
      <c r="S957" s="4">
        <v>8.5500000000000007</v>
      </c>
      <c r="T957" t="s">
        <v>37</v>
      </c>
      <c r="U957" s="4">
        <v>7.18</v>
      </c>
      <c r="V957" s="4">
        <v>3.33</v>
      </c>
      <c r="W957" s="4">
        <v>33.08</v>
      </c>
    </row>
    <row r="958" spans="1:23" ht="15" customHeight="1" x14ac:dyDescent="0.25">
      <c r="A958">
        <v>528</v>
      </c>
      <c r="B958" s="1">
        <v>45814.833333333343</v>
      </c>
      <c r="C958">
        <v>20</v>
      </c>
      <c r="D958" t="s">
        <v>58</v>
      </c>
      <c r="E958">
        <v>6</v>
      </c>
      <c r="F958" t="s">
        <v>38</v>
      </c>
      <c r="G958" t="s">
        <v>33</v>
      </c>
      <c r="H958" t="s">
        <v>54</v>
      </c>
      <c r="I958" t="s">
        <v>16</v>
      </c>
      <c r="J958" t="s">
        <v>24</v>
      </c>
      <c r="K958" s="2">
        <v>8600</v>
      </c>
      <c r="L958" s="3">
        <v>19.100000000000001</v>
      </c>
      <c r="M958" s="3">
        <v>82.4</v>
      </c>
      <c r="N958" s="3">
        <v>68.099999999999994</v>
      </c>
      <c r="O958" s="2">
        <v>62</v>
      </c>
      <c r="P958">
        <v>0</v>
      </c>
      <c r="Q958" t="s">
        <v>14</v>
      </c>
      <c r="R958" s="4">
        <v>21.69</v>
      </c>
      <c r="S958" s="4">
        <v>5.22</v>
      </c>
      <c r="T958" t="s">
        <v>37</v>
      </c>
      <c r="U958" s="4">
        <v>3.81</v>
      </c>
      <c r="V958" s="4">
        <v>2.5219999999999998</v>
      </c>
      <c r="W958" s="4">
        <v>16.47</v>
      </c>
    </row>
    <row r="959" spans="1:23" ht="15" customHeight="1" x14ac:dyDescent="0.25">
      <c r="A959">
        <v>1632</v>
      </c>
      <c r="B959" s="1">
        <v>45814.833333333343</v>
      </c>
      <c r="C959">
        <v>20</v>
      </c>
      <c r="D959" t="s">
        <v>58</v>
      </c>
      <c r="E959">
        <v>6</v>
      </c>
      <c r="F959" t="s">
        <v>38</v>
      </c>
      <c r="G959" t="s">
        <v>33</v>
      </c>
      <c r="H959" t="s">
        <v>49</v>
      </c>
      <c r="I959" t="s">
        <v>27</v>
      </c>
      <c r="J959" t="s">
        <v>18</v>
      </c>
      <c r="K959" s="2">
        <v>26000</v>
      </c>
      <c r="L959" s="3">
        <v>23.1</v>
      </c>
      <c r="M959" s="3">
        <v>42.6</v>
      </c>
      <c r="N959" s="3">
        <v>92.6</v>
      </c>
      <c r="O959" s="2">
        <v>164</v>
      </c>
      <c r="P959">
        <v>1</v>
      </c>
      <c r="Q959" t="s">
        <v>23</v>
      </c>
      <c r="R959" s="4">
        <v>250.82</v>
      </c>
      <c r="S959" s="4">
        <v>24.53</v>
      </c>
      <c r="T959" t="s">
        <v>37</v>
      </c>
      <c r="U959" s="4">
        <v>49.49</v>
      </c>
      <c r="V959" s="4">
        <v>9.6470000000000002</v>
      </c>
      <c r="W959" s="4">
        <v>226.29</v>
      </c>
    </row>
    <row r="960" spans="1:23" ht="15" customHeight="1" x14ac:dyDescent="0.25">
      <c r="A960">
        <v>1264</v>
      </c>
      <c r="B960" s="1">
        <v>45814.833333333343</v>
      </c>
      <c r="C960">
        <v>20</v>
      </c>
      <c r="D960" t="s">
        <v>58</v>
      </c>
      <c r="E960">
        <v>6</v>
      </c>
      <c r="F960" t="s">
        <v>38</v>
      </c>
      <c r="G960" t="s">
        <v>33</v>
      </c>
      <c r="H960" t="s">
        <v>51</v>
      </c>
      <c r="I960" t="s">
        <v>25</v>
      </c>
      <c r="J960" t="s">
        <v>15</v>
      </c>
      <c r="K960" s="2">
        <v>17400</v>
      </c>
      <c r="L960" s="3">
        <v>27.4</v>
      </c>
      <c r="M960" s="3">
        <v>69.7</v>
      </c>
      <c r="N960" s="3"/>
      <c r="O960" s="2">
        <v>1332</v>
      </c>
      <c r="P960">
        <v>1</v>
      </c>
      <c r="Q960" t="s">
        <v>20</v>
      </c>
      <c r="R960" s="4">
        <v>307.89999999999998</v>
      </c>
      <c r="S960" s="4">
        <v>5.45</v>
      </c>
      <c r="T960" t="s">
        <v>37</v>
      </c>
      <c r="U960" s="4">
        <v>67.45</v>
      </c>
      <c r="V960" s="4">
        <v>17.695</v>
      </c>
      <c r="W960" s="4">
        <v>302.45</v>
      </c>
    </row>
    <row r="961" spans="1:23" ht="15" customHeight="1" x14ac:dyDescent="0.25">
      <c r="A961">
        <v>2000</v>
      </c>
      <c r="B961" s="1">
        <v>45814.833333333343</v>
      </c>
      <c r="C961">
        <v>20</v>
      </c>
      <c r="D961" t="s">
        <v>58</v>
      </c>
      <c r="E961">
        <v>6</v>
      </c>
      <c r="F961" t="s">
        <v>38</v>
      </c>
      <c r="G961" t="s">
        <v>33</v>
      </c>
      <c r="H961" t="s">
        <v>52</v>
      </c>
      <c r="I961" t="s">
        <v>13</v>
      </c>
      <c r="J961" t="s">
        <v>21</v>
      </c>
      <c r="K961" s="2">
        <v>9800</v>
      </c>
      <c r="L961" s="3">
        <v>26.3</v>
      </c>
      <c r="M961" s="3">
        <v>66.599999999999994</v>
      </c>
      <c r="N961" s="3">
        <v>74.099999999999994</v>
      </c>
      <c r="O961" s="2">
        <v>294</v>
      </c>
      <c r="P961">
        <v>1</v>
      </c>
      <c r="Q961" t="s">
        <v>20</v>
      </c>
      <c r="R961" s="4">
        <v>99.76</v>
      </c>
      <c r="S961" s="4">
        <v>0</v>
      </c>
      <c r="T961" t="s">
        <v>37</v>
      </c>
      <c r="U961" s="4">
        <v>21.86</v>
      </c>
      <c r="V961" s="4">
        <v>10.18</v>
      </c>
      <c r="W961" s="4">
        <v>99.76</v>
      </c>
    </row>
    <row r="962" spans="1:23" ht="15" customHeight="1" x14ac:dyDescent="0.25">
      <c r="A962">
        <v>1633</v>
      </c>
      <c r="B962" s="1">
        <v>45818</v>
      </c>
      <c r="C962">
        <v>0</v>
      </c>
      <c r="D962" t="s">
        <v>59</v>
      </c>
      <c r="E962">
        <v>6</v>
      </c>
      <c r="F962" t="s">
        <v>38</v>
      </c>
      <c r="G962" t="s">
        <v>33</v>
      </c>
      <c r="H962" t="s">
        <v>49</v>
      </c>
      <c r="I962" t="s">
        <v>27</v>
      </c>
      <c r="J962" t="s">
        <v>18</v>
      </c>
      <c r="K962" s="2">
        <v>26000</v>
      </c>
      <c r="L962" s="3">
        <v>18.5</v>
      </c>
      <c r="M962" s="3">
        <v>58.9</v>
      </c>
      <c r="N962" s="3">
        <v>0</v>
      </c>
      <c r="O962" s="2">
        <v>60</v>
      </c>
      <c r="P962">
        <v>0</v>
      </c>
      <c r="Q962" t="s">
        <v>14</v>
      </c>
      <c r="R962" s="4">
        <v>114.65</v>
      </c>
      <c r="S962" s="4">
        <v>0</v>
      </c>
      <c r="T962" t="s">
        <v>31</v>
      </c>
      <c r="U962" s="4">
        <v>10.43</v>
      </c>
      <c r="V962" s="4">
        <v>4.41</v>
      </c>
      <c r="W962" s="4">
        <v>114.65</v>
      </c>
    </row>
    <row r="963" spans="1:23" ht="15" customHeight="1" x14ac:dyDescent="0.25">
      <c r="A963">
        <v>2001</v>
      </c>
      <c r="B963" s="1">
        <v>45818</v>
      </c>
      <c r="C963">
        <v>0</v>
      </c>
      <c r="D963" t="s">
        <v>59</v>
      </c>
      <c r="E963">
        <v>6</v>
      </c>
      <c r="F963" t="s">
        <v>38</v>
      </c>
      <c r="G963" t="s">
        <v>33</v>
      </c>
      <c r="H963" t="s">
        <v>52</v>
      </c>
      <c r="I963" t="s">
        <v>13</v>
      </c>
      <c r="J963" t="s">
        <v>21</v>
      </c>
      <c r="K963" s="2">
        <v>9800</v>
      </c>
      <c r="L963" s="3"/>
      <c r="M963" s="3">
        <v>75.7</v>
      </c>
      <c r="N963" s="3">
        <v>0</v>
      </c>
      <c r="O963" s="2">
        <v>312</v>
      </c>
      <c r="P963">
        <v>0</v>
      </c>
      <c r="Q963" t="s">
        <v>14</v>
      </c>
      <c r="R963" s="4">
        <v>99.35</v>
      </c>
      <c r="S963" s="4">
        <v>0</v>
      </c>
      <c r="T963" t="s">
        <v>31</v>
      </c>
      <c r="U963" s="4">
        <v>9.0500000000000007</v>
      </c>
      <c r="V963" s="4">
        <v>10.138</v>
      </c>
      <c r="W963" s="4">
        <v>99.35</v>
      </c>
    </row>
    <row r="964" spans="1:23" ht="15" customHeight="1" x14ac:dyDescent="0.25">
      <c r="A964">
        <v>1265</v>
      </c>
      <c r="B964" s="1">
        <v>45818</v>
      </c>
      <c r="C964">
        <v>0</v>
      </c>
      <c r="D964" t="s">
        <v>59</v>
      </c>
      <c r="E964">
        <v>6</v>
      </c>
      <c r="F964" t="s">
        <v>38</v>
      </c>
      <c r="G964" t="s">
        <v>33</v>
      </c>
      <c r="H964" t="s">
        <v>51</v>
      </c>
      <c r="I964" t="s">
        <v>25</v>
      </c>
      <c r="J964" t="s">
        <v>15</v>
      </c>
      <c r="K964" s="2">
        <v>17400</v>
      </c>
      <c r="L964" s="3">
        <v>16.399999999999999</v>
      </c>
      <c r="M964" s="3">
        <v>73.2</v>
      </c>
      <c r="N964" s="3">
        <v>0</v>
      </c>
      <c r="O964" s="2"/>
      <c r="P964">
        <v>0</v>
      </c>
      <c r="Q964" t="s">
        <v>14</v>
      </c>
      <c r="R964" s="4">
        <v>55.4</v>
      </c>
      <c r="S964" s="4">
        <v>0</v>
      </c>
      <c r="T964" t="s">
        <v>31</v>
      </c>
      <c r="U964" s="4">
        <v>4.84</v>
      </c>
      <c r="V964" s="4">
        <v>3.1840000000000002</v>
      </c>
      <c r="W964" s="4">
        <v>55.4</v>
      </c>
    </row>
    <row r="965" spans="1:23" ht="15" customHeight="1" x14ac:dyDescent="0.25">
      <c r="A965">
        <v>897</v>
      </c>
      <c r="B965" s="1">
        <v>45818</v>
      </c>
      <c r="C965">
        <v>0</v>
      </c>
      <c r="D965" t="s">
        <v>59</v>
      </c>
      <c r="E965">
        <v>6</v>
      </c>
      <c r="F965" t="s">
        <v>38</v>
      </c>
      <c r="G965" t="s">
        <v>33</v>
      </c>
      <c r="H965" t="s">
        <v>50</v>
      </c>
      <c r="I965" t="s">
        <v>22</v>
      </c>
      <c r="J965" t="s">
        <v>12</v>
      </c>
      <c r="K965" s="2">
        <v>21000</v>
      </c>
      <c r="L965" s="3">
        <v>22.4</v>
      </c>
      <c r="M965" s="3">
        <v>46.1</v>
      </c>
      <c r="N965" s="3">
        <v>0</v>
      </c>
      <c r="O965" s="2">
        <v>190</v>
      </c>
      <c r="P965">
        <v>0</v>
      </c>
      <c r="Q965" t="s">
        <v>14</v>
      </c>
      <c r="R965" s="4">
        <v>169.67</v>
      </c>
      <c r="S965" s="4">
        <v>0</v>
      </c>
      <c r="T965" t="s">
        <v>31</v>
      </c>
      <c r="U965" s="4">
        <v>15.59</v>
      </c>
      <c r="V965" s="4">
        <v>8.08</v>
      </c>
      <c r="W965" s="4">
        <v>169.67</v>
      </c>
    </row>
    <row r="966" spans="1:23" ht="15" customHeight="1" x14ac:dyDescent="0.25">
      <c r="A966">
        <v>529</v>
      </c>
      <c r="B966" s="1">
        <v>45818</v>
      </c>
      <c r="C966">
        <v>0</v>
      </c>
      <c r="D966" t="s">
        <v>59</v>
      </c>
      <c r="E966">
        <v>6</v>
      </c>
      <c r="F966" t="s">
        <v>38</v>
      </c>
      <c r="G966" t="s">
        <v>33</v>
      </c>
      <c r="H966" t="s">
        <v>54</v>
      </c>
      <c r="I966" t="s">
        <v>16</v>
      </c>
      <c r="J966" t="s">
        <v>24</v>
      </c>
      <c r="K966" s="2">
        <v>8600</v>
      </c>
      <c r="L966" s="3">
        <v>16.399999999999999</v>
      </c>
      <c r="M966" s="3">
        <v>90</v>
      </c>
      <c r="N966" s="3">
        <v>0</v>
      </c>
      <c r="O966" s="2">
        <v>106</v>
      </c>
      <c r="P966">
        <v>0</v>
      </c>
      <c r="Q966" t="s">
        <v>14</v>
      </c>
      <c r="R966" s="4">
        <v>22.33</v>
      </c>
      <c r="S966" s="4">
        <v>0</v>
      </c>
      <c r="T966" t="s">
        <v>31</v>
      </c>
      <c r="U966" s="4">
        <v>1.98</v>
      </c>
      <c r="V966" s="4">
        <v>2.597</v>
      </c>
      <c r="W966" s="4">
        <v>22.33</v>
      </c>
    </row>
    <row r="967" spans="1:23" ht="15" customHeight="1" x14ac:dyDescent="0.25">
      <c r="A967">
        <v>161</v>
      </c>
      <c r="B967" s="1">
        <v>45818</v>
      </c>
      <c r="C967">
        <v>0</v>
      </c>
      <c r="D967" t="s">
        <v>59</v>
      </c>
      <c r="E967">
        <v>6</v>
      </c>
      <c r="F967" t="s">
        <v>38</v>
      </c>
      <c r="G967" t="s">
        <v>33</v>
      </c>
      <c r="H967" t="s">
        <v>53</v>
      </c>
      <c r="I967" t="s">
        <v>19</v>
      </c>
      <c r="J967" t="s">
        <v>26</v>
      </c>
      <c r="K967" s="2">
        <v>12500</v>
      </c>
      <c r="L967" s="3">
        <v>17</v>
      </c>
      <c r="M967" s="3">
        <v>44.9</v>
      </c>
      <c r="N967" s="3">
        <v>0</v>
      </c>
      <c r="O967" s="2">
        <v>3</v>
      </c>
      <c r="P967">
        <v>0</v>
      </c>
      <c r="Q967" t="s">
        <v>14</v>
      </c>
      <c r="R967" s="4">
        <v>22.4</v>
      </c>
      <c r="S967" s="4">
        <v>0</v>
      </c>
      <c r="T967" t="s">
        <v>31</v>
      </c>
      <c r="U967" s="4">
        <v>2.02</v>
      </c>
      <c r="V967" s="4">
        <v>1.792</v>
      </c>
      <c r="W967" s="4">
        <v>22.4</v>
      </c>
    </row>
    <row r="968" spans="1:23" ht="15" customHeight="1" x14ac:dyDescent="0.25">
      <c r="A968">
        <v>530</v>
      </c>
      <c r="B968" s="1">
        <v>45818.333333333343</v>
      </c>
      <c r="C968">
        <v>8</v>
      </c>
      <c r="D968" t="s">
        <v>59</v>
      </c>
      <c r="E968">
        <v>6</v>
      </c>
      <c r="F968" t="s">
        <v>38</v>
      </c>
      <c r="G968" t="s">
        <v>33</v>
      </c>
      <c r="H968" t="s">
        <v>54</v>
      </c>
      <c r="I968" t="s">
        <v>16</v>
      </c>
      <c r="J968" t="s">
        <v>24</v>
      </c>
      <c r="K968" s="2">
        <v>8600</v>
      </c>
      <c r="L968" s="3">
        <v>18.899999999999999</v>
      </c>
      <c r="M968" s="3">
        <v>78.8</v>
      </c>
      <c r="N968" s="3">
        <v>297.10000000000002</v>
      </c>
      <c r="O968" s="2">
        <v>768</v>
      </c>
      <c r="P968">
        <v>0</v>
      </c>
      <c r="Q968" t="s">
        <v>14</v>
      </c>
      <c r="R968" s="4">
        <v>75.84</v>
      </c>
      <c r="S968" s="4">
        <v>21.34</v>
      </c>
      <c r="T968" t="s">
        <v>34</v>
      </c>
      <c r="U968" s="4">
        <v>7.82</v>
      </c>
      <c r="V968" s="4">
        <v>8.8190000000000008</v>
      </c>
      <c r="W968" s="4">
        <v>54.5</v>
      </c>
    </row>
    <row r="969" spans="1:23" ht="15" customHeight="1" x14ac:dyDescent="0.25">
      <c r="A969">
        <v>162</v>
      </c>
      <c r="B969" s="1">
        <v>45818.333333333343</v>
      </c>
      <c r="C969">
        <v>8</v>
      </c>
      <c r="D969" t="s">
        <v>59</v>
      </c>
      <c r="E969">
        <v>6</v>
      </c>
      <c r="F969" t="s">
        <v>38</v>
      </c>
      <c r="G969" t="s">
        <v>33</v>
      </c>
      <c r="H969" t="s">
        <v>53</v>
      </c>
      <c r="I969" t="s">
        <v>19</v>
      </c>
      <c r="J969" t="s">
        <v>26</v>
      </c>
      <c r="K969" s="2">
        <v>12500</v>
      </c>
      <c r="L969" s="3">
        <v>21</v>
      </c>
      <c r="M969" s="3">
        <v>54.9</v>
      </c>
      <c r="N969" s="3">
        <v>399.1</v>
      </c>
      <c r="O969" s="2">
        <v>352</v>
      </c>
      <c r="P969">
        <v>0</v>
      </c>
      <c r="Q969" t="s">
        <v>14</v>
      </c>
      <c r="R969" s="4">
        <v>69.44</v>
      </c>
      <c r="S969" s="4">
        <v>65.08</v>
      </c>
      <c r="T969" t="s">
        <v>34</v>
      </c>
      <c r="U969" s="4">
        <v>0.62</v>
      </c>
      <c r="V969" s="4">
        <v>5.5549999999999997</v>
      </c>
      <c r="W969" s="4">
        <v>4.3600000000000003</v>
      </c>
    </row>
    <row r="970" spans="1:23" ht="15" customHeight="1" x14ac:dyDescent="0.25">
      <c r="A970">
        <v>1634</v>
      </c>
      <c r="B970" s="1">
        <v>45818.333333333343</v>
      </c>
      <c r="C970">
        <v>8</v>
      </c>
      <c r="D970" t="s">
        <v>59</v>
      </c>
      <c r="E970">
        <v>6</v>
      </c>
      <c r="F970" t="s">
        <v>38</v>
      </c>
      <c r="G970" t="s">
        <v>33</v>
      </c>
      <c r="H970" t="s">
        <v>49</v>
      </c>
      <c r="I970" t="s">
        <v>27</v>
      </c>
      <c r="J970" t="s">
        <v>18</v>
      </c>
      <c r="K970" s="2">
        <v>26000</v>
      </c>
      <c r="L970" s="3">
        <v>20.2</v>
      </c>
      <c r="M970" s="3">
        <v>62.6</v>
      </c>
      <c r="N970" s="3">
        <v>392.8</v>
      </c>
      <c r="O970" s="2">
        <v>160</v>
      </c>
      <c r="P970">
        <v>0</v>
      </c>
      <c r="Q970" t="s">
        <v>14</v>
      </c>
      <c r="R970" s="4">
        <v>151.52000000000001</v>
      </c>
      <c r="S970" s="4">
        <v>103.04</v>
      </c>
      <c r="T970" t="s">
        <v>34</v>
      </c>
      <c r="U970" s="4">
        <v>6.8</v>
      </c>
      <c r="V970" s="4">
        <v>5.8280000000000003</v>
      </c>
      <c r="W970" s="4">
        <v>48.48</v>
      </c>
    </row>
    <row r="971" spans="1:23" ht="15" customHeight="1" x14ac:dyDescent="0.25">
      <c r="A971">
        <v>898</v>
      </c>
      <c r="B971" s="1">
        <v>45818.333333333343</v>
      </c>
      <c r="C971">
        <v>8</v>
      </c>
      <c r="D971" t="s">
        <v>59</v>
      </c>
      <c r="E971">
        <v>6</v>
      </c>
      <c r="F971" t="s">
        <v>38</v>
      </c>
      <c r="G971" t="s">
        <v>33</v>
      </c>
      <c r="H971" t="s">
        <v>50</v>
      </c>
      <c r="I971" t="s">
        <v>22</v>
      </c>
      <c r="J971" t="s">
        <v>12</v>
      </c>
      <c r="K971" s="2">
        <v>21000</v>
      </c>
      <c r="L971" s="3">
        <v>25.4</v>
      </c>
      <c r="M971" s="3">
        <v>50.2</v>
      </c>
      <c r="N971" s="3">
        <v>382.9</v>
      </c>
      <c r="O971" s="2">
        <v>381</v>
      </c>
      <c r="P971">
        <v>1</v>
      </c>
      <c r="Q971" t="s">
        <v>20</v>
      </c>
      <c r="R971" s="4">
        <v>217.08</v>
      </c>
      <c r="S971" s="4">
        <v>85.6</v>
      </c>
      <c r="T971" t="s">
        <v>34</v>
      </c>
      <c r="U971" s="4">
        <v>19.27</v>
      </c>
      <c r="V971" s="4">
        <v>10.337</v>
      </c>
      <c r="W971" s="4">
        <v>131.47999999999999</v>
      </c>
    </row>
    <row r="972" spans="1:23" ht="15" customHeight="1" x14ac:dyDescent="0.25">
      <c r="A972">
        <v>2002</v>
      </c>
      <c r="B972" s="1">
        <v>45818.333333333343</v>
      </c>
      <c r="C972">
        <v>8</v>
      </c>
      <c r="D972" t="s">
        <v>59</v>
      </c>
      <c r="E972">
        <v>6</v>
      </c>
      <c r="F972" t="s">
        <v>38</v>
      </c>
      <c r="G972" t="s">
        <v>33</v>
      </c>
      <c r="H972" t="s">
        <v>52</v>
      </c>
      <c r="I972" t="s">
        <v>13</v>
      </c>
      <c r="J972" t="s">
        <v>21</v>
      </c>
      <c r="K972" s="2">
        <v>9800</v>
      </c>
      <c r="L972" s="3">
        <v>24.9</v>
      </c>
      <c r="M972" s="3">
        <v>67.099999999999994</v>
      </c>
      <c r="N972" s="3">
        <v>377.4</v>
      </c>
      <c r="O972" s="2">
        <v>51</v>
      </c>
      <c r="P972">
        <v>1</v>
      </c>
      <c r="Q972" t="s">
        <v>20</v>
      </c>
      <c r="R972" s="4">
        <v>20.5</v>
      </c>
      <c r="S972" s="4">
        <v>0</v>
      </c>
      <c r="T972" t="s">
        <v>34</v>
      </c>
      <c r="U972" s="4">
        <v>2.94</v>
      </c>
      <c r="V972" s="4">
        <v>2.0920000000000001</v>
      </c>
      <c r="W972" s="4">
        <v>20.5</v>
      </c>
    </row>
    <row r="973" spans="1:23" ht="15" customHeight="1" x14ac:dyDescent="0.25">
      <c r="A973">
        <v>1266</v>
      </c>
      <c r="B973" s="1">
        <v>45818.333333333343</v>
      </c>
      <c r="C973">
        <v>8</v>
      </c>
      <c r="D973" t="s">
        <v>59</v>
      </c>
      <c r="E973">
        <v>6</v>
      </c>
      <c r="F973" t="s">
        <v>38</v>
      </c>
      <c r="G973" t="s">
        <v>33</v>
      </c>
      <c r="H973" t="s">
        <v>51</v>
      </c>
      <c r="I973" t="s">
        <v>25</v>
      </c>
      <c r="J973" t="s">
        <v>15</v>
      </c>
      <c r="K973" s="2">
        <v>17400</v>
      </c>
      <c r="L973" s="3">
        <v>23.9</v>
      </c>
      <c r="M973" s="3"/>
      <c r="N973" s="3">
        <v>419.8</v>
      </c>
      <c r="O973" s="2">
        <v>126</v>
      </c>
      <c r="P973">
        <v>0</v>
      </c>
      <c r="Q973" t="s">
        <v>14</v>
      </c>
      <c r="R973" s="4">
        <v>40.76</v>
      </c>
      <c r="S973" s="4">
        <v>49.53</v>
      </c>
      <c r="T973" t="s">
        <v>34</v>
      </c>
      <c r="U973" s="4">
        <v>-0.51</v>
      </c>
      <c r="V973" s="4">
        <v>2.343</v>
      </c>
      <c r="W973" s="4">
        <v>0</v>
      </c>
    </row>
    <row r="974" spans="1:23" ht="15" customHeight="1" x14ac:dyDescent="0.25">
      <c r="A974">
        <v>2003</v>
      </c>
      <c r="B974" s="1">
        <v>45818.583333333343</v>
      </c>
      <c r="C974">
        <v>14</v>
      </c>
      <c r="D974" t="s">
        <v>59</v>
      </c>
      <c r="E974">
        <v>6</v>
      </c>
      <c r="F974" t="s">
        <v>38</v>
      </c>
      <c r="G974" t="s">
        <v>33</v>
      </c>
      <c r="H974" t="s">
        <v>52</v>
      </c>
      <c r="I974" t="s">
        <v>13</v>
      </c>
      <c r="J974" t="s">
        <v>21</v>
      </c>
      <c r="K974" s="2">
        <v>9800</v>
      </c>
      <c r="L974" s="3">
        <v>25.8</v>
      </c>
      <c r="M974" s="3"/>
      <c r="N974" s="3">
        <v>647.6</v>
      </c>
      <c r="O974" s="2">
        <v>82</v>
      </c>
      <c r="P974">
        <v>1</v>
      </c>
      <c r="Q974" t="s">
        <v>20</v>
      </c>
      <c r="R974" s="4">
        <v>24.39</v>
      </c>
      <c r="S974" s="4">
        <v>0</v>
      </c>
      <c r="T974" t="s">
        <v>34</v>
      </c>
      <c r="U974" s="4">
        <v>3.52</v>
      </c>
      <c r="V974" s="4">
        <v>2.4889999999999999</v>
      </c>
      <c r="W974" s="4">
        <v>24.39</v>
      </c>
    </row>
    <row r="975" spans="1:23" ht="15" customHeight="1" x14ac:dyDescent="0.25">
      <c r="A975">
        <v>1635</v>
      </c>
      <c r="B975" s="1">
        <v>45818.583333333343</v>
      </c>
      <c r="C975">
        <v>14</v>
      </c>
      <c r="D975" t="s">
        <v>59</v>
      </c>
      <c r="E975">
        <v>6</v>
      </c>
      <c r="F975" t="s">
        <v>38</v>
      </c>
      <c r="G975" t="s">
        <v>33</v>
      </c>
      <c r="H975" t="s">
        <v>49</v>
      </c>
      <c r="I975" t="s">
        <v>27</v>
      </c>
      <c r="J975" t="s">
        <v>18</v>
      </c>
      <c r="K975" s="2">
        <v>26000</v>
      </c>
      <c r="L975" s="3">
        <v>25.1</v>
      </c>
      <c r="M975" s="3">
        <v>56.8</v>
      </c>
      <c r="N975" s="3">
        <v>862.7</v>
      </c>
      <c r="O975" s="2">
        <v>164</v>
      </c>
      <c r="P975">
        <v>1</v>
      </c>
      <c r="Q975" t="s">
        <v>20</v>
      </c>
      <c r="R975" s="4">
        <v>150.82</v>
      </c>
      <c r="S975" s="4">
        <v>240.23</v>
      </c>
      <c r="T975" t="s">
        <v>34</v>
      </c>
      <c r="U975" s="4">
        <v>-5.15</v>
      </c>
      <c r="V975" s="4">
        <v>5.8010000000000002</v>
      </c>
      <c r="W975" s="4">
        <v>0</v>
      </c>
    </row>
    <row r="976" spans="1:23" ht="15" customHeight="1" x14ac:dyDescent="0.25">
      <c r="A976">
        <v>899</v>
      </c>
      <c r="B976" s="1">
        <v>45818.583333333343</v>
      </c>
      <c r="C976">
        <v>14</v>
      </c>
      <c r="D976" t="s">
        <v>59</v>
      </c>
      <c r="E976">
        <v>6</v>
      </c>
      <c r="F976" t="s">
        <v>38</v>
      </c>
      <c r="G976" t="s">
        <v>33</v>
      </c>
      <c r="H976" t="s">
        <v>50</v>
      </c>
      <c r="I976" t="s">
        <v>22</v>
      </c>
      <c r="J976" t="s">
        <v>12</v>
      </c>
      <c r="K976" s="2">
        <v>21000</v>
      </c>
      <c r="L976" s="3">
        <v>31.1</v>
      </c>
      <c r="M976" s="3">
        <v>52.7</v>
      </c>
      <c r="N976" s="3">
        <v>809.7</v>
      </c>
      <c r="O976" s="2">
        <v>417</v>
      </c>
      <c r="P976">
        <v>1</v>
      </c>
      <c r="Q976" t="s">
        <v>20</v>
      </c>
      <c r="R976" s="4">
        <v>213.68</v>
      </c>
      <c r="S976" s="4">
        <v>165.46</v>
      </c>
      <c r="T976" t="s">
        <v>34</v>
      </c>
      <c r="U976" s="4">
        <v>7.22</v>
      </c>
      <c r="V976" s="4">
        <v>10.175000000000001</v>
      </c>
      <c r="W976" s="4">
        <v>48.22</v>
      </c>
    </row>
    <row r="977" spans="1:23" ht="15" customHeight="1" x14ac:dyDescent="0.25">
      <c r="A977">
        <v>1267</v>
      </c>
      <c r="B977" s="1">
        <v>45818.583333333343</v>
      </c>
      <c r="C977">
        <v>14</v>
      </c>
      <c r="D977" t="s">
        <v>59</v>
      </c>
      <c r="E977">
        <v>6</v>
      </c>
      <c r="F977" t="s">
        <v>38</v>
      </c>
      <c r="G977" t="s">
        <v>33</v>
      </c>
      <c r="H977" t="s">
        <v>51</v>
      </c>
      <c r="I977" t="s">
        <v>25</v>
      </c>
      <c r="J977" t="s">
        <v>15</v>
      </c>
      <c r="K977" s="2">
        <v>17400</v>
      </c>
      <c r="L977" s="3">
        <v>28.2</v>
      </c>
      <c r="M977" s="3">
        <v>65.5</v>
      </c>
      <c r="N977" s="3">
        <v>733.1</v>
      </c>
      <c r="O977" s="2">
        <v>1175</v>
      </c>
      <c r="P977">
        <v>1</v>
      </c>
      <c r="Q977" t="s">
        <v>20</v>
      </c>
      <c r="R977" s="4">
        <v>216.58</v>
      </c>
      <c r="S977" s="4">
        <v>100.95</v>
      </c>
      <c r="T977" t="s">
        <v>34</v>
      </c>
      <c r="U977" s="4">
        <v>16.52</v>
      </c>
      <c r="V977" s="4">
        <v>12.446999999999999</v>
      </c>
      <c r="W977" s="4">
        <v>115.63</v>
      </c>
    </row>
    <row r="978" spans="1:23" ht="15" customHeight="1" x14ac:dyDescent="0.25">
      <c r="A978">
        <v>531</v>
      </c>
      <c r="B978" s="1">
        <v>45818.583333333343</v>
      </c>
      <c r="C978">
        <v>14</v>
      </c>
      <c r="D978" t="s">
        <v>59</v>
      </c>
      <c r="E978">
        <v>6</v>
      </c>
      <c r="F978" t="s">
        <v>38</v>
      </c>
      <c r="G978" t="s">
        <v>33</v>
      </c>
      <c r="H978" t="s">
        <v>54</v>
      </c>
      <c r="I978" t="s">
        <v>16</v>
      </c>
      <c r="J978" t="s">
        <v>24</v>
      </c>
      <c r="K978" s="2">
        <v>8600</v>
      </c>
      <c r="L978" s="3">
        <v>25</v>
      </c>
      <c r="M978" s="3">
        <v>71.3</v>
      </c>
      <c r="N978" s="3">
        <v>644.79999999999995</v>
      </c>
      <c r="O978" s="2">
        <v>818</v>
      </c>
      <c r="P978">
        <v>1</v>
      </c>
      <c r="Q978" t="s">
        <v>20</v>
      </c>
      <c r="R978" s="4">
        <v>85.35</v>
      </c>
      <c r="S978" s="4">
        <v>46.52</v>
      </c>
      <c r="T978" t="s">
        <v>34</v>
      </c>
      <c r="U978" s="4">
        <v>5.8</v>
      </c>
      <c r="V978" s="4">
        <v>9.9239999999999995</v>
      </c>
      <c r="W978" s="4">
        <v>38.83</v>
      </c>
    </row>
    <row r="979" spans="1:23" ht="15" customHeight="1" x14ac:dyDescent="0.25">
      <c r="A979">
        <v>163</v>
      </c>
      <c r="B979" s="1">
        <v>45818.583333333343</v>
      </c>
      <c r="C979">
        <v>14</v>
      </c>
      <c r="D979" t="s">
        <v>59</v>
      </c>
      <c r="E979">
        <v>6</v>
      </c>
      <c r="F979" t="s">
        <v>38</v>
      </c>
      <c r="G979" t="s">
        <v>33</v>
      </c>
      <c r="H979" t="s">
        <v>53</v>
      </c>
      <c r="I979" t="s">
        <v>19</v>
      </c>
      <c r="J979" t="s">
        <v>26</v>
      </c>
      <c r="K979" s="2">
        <v>12500</v>
      </c>
      <c r="L979" s="3">
        <v>31.5</v>
      </c>
      <c r="M979" s="3">
        <v>46.9</v>
      </c>
      <c r="N979" s="3">
        <v>577</v>
      </c>
      <c r="O979" s="2">
        <v>588</v>
      </c>
      <c r="P979">
        <v>1</v>
      </c>
      <c r="Q979" t="s">
        <v>20</v>
      </c>
      <c r="R979" s="4">
        <v>119.7</v>
      </c>
      <c r="S979" s="4">
        <v>82.07</v>
      </c>
      <c r="T979" t="s">
        <v>34</v>
      </c>
      <c r="U979" s="4">
        <v>5.6</v>
      </c>
      <c r="V979" s="4">
        <v>9.5760000000000005</v>
      </c>
      <c r="W979" s="4">
        <v>37.630000000000003</v>
      </c>
    </row>
    <row r="980" spans="1:23" ht="15" customHeight="1" x14ac:dyDescent="0.25">
      <c r="A980">
        <v>164</v>
      </c>
      <c r="B980" s="1">
        <v>45818.833333333343</v>
      </c>
      <c r="C980">
        <v>20</v>
      </c>
      <c r="D980" t="s">
        <v>59</v>
      </c>
      <c r="E980">
        <v>6</v>
      </c>
      <c r="F980" t="s">
        <v>38</v>
      </c>
      <c r="G980" t="s">
        <v>33</v>
      </c>
      <c r="H980" t="s">
        <v>53</v>
      </c>
      <c r="I980" t="s">
        <v>19</v>
      </c>
      <c r="J980" t="s">
        <v>26</v>
      </c>
      <c r="K980" s="2">
        <v>12500</v>
      </c>
      <c r="L980" s="3">
        <v>25.4</v>
      </c>
      <c r="M980" s="3">
        <v>45</v>
      </c>
      <c r="N980" s="3">
        <v>66.099999999999994</v>
      </c>
      <c r="O980" s="2">
        <v>48</v>
      </c>
      <c r="P980">
        <v>1</v>
      </c>
      <c r="Q980" t="s">
        <v>20</v>
      </c>
      <c r="R980" s="4">
        <v>40.520000000000003</v>
      </c>
      <c r="S980" s="4">
        <v>9.9</v>
      </c>
      <c r="T980" t="s">
        <v>37</v>
      </c>
      <c r="U980" s="4">
        <v>7.17</v>
      </c>
      <c r="V980" s="4">
        <v>3.242</v>
      </c>
      <c r="W980" s="4">
        <v>30.62</v>
      </c>
    </row>
    <row r="981" spans="1:23" ht="15" customHeight="1" x14ac:dyDescent="0.25">
      <c r="A981">
        <v>2004</v>
      </c>
      <c r="B981" s="1">
        <v>45818.833333333343</v>
      </c>
      <c r="C981">
        <v>20</v>
      </c>
      <c r="D981" t="s">
        <v>59</v>
      </c>
      <c r="E981">
        <v>6</v>
      </c>
      <c r="F981" t="s">
        <v>38</v>
      </c>
      <c r="G981" t="s">
        <v>33</v>
      </c>
      <c r="H981" t="s">
        <v>52</v>
      </c>
      <c r="I981" t="s">
        <v>13</v>
      </c>
      <c r="J981" t="s">
        <v>21</v>
      </c>
      <c r="K981" s="2">
        <v>9800</v>
      </c>
      <c r="L981" s="3">
        <v>24.5</v>
      </c>
      <c r="M981" s="3">
        <v>52.7</v>
      </c>
      <c r="N981" s="3">
        <v>79.599999999999994</v>
      </c>
      <c r="O981" s="2">
        <v>306</v>
      </c>
      <c r="P981">
        <v>1</v>
      </c>
      <c r="Q981" t="s">
        <v>20</v>
      </c>
      <c r="R981" s="4">
        <v>100.2</v>
      </c>
      <c r="S981" s="4">
        <v>0</v>
      </c>
      <c r="T981" t="s">
        <v>37</v>
      </c>
      <c r="U981" s="4">
        <v>21.57</v>
      </c>
      <c r="V981" s="4">
        <v>10.224</v>
      </c>
      <c r="W981" s="4">
        <v>100.2</v>
      </c>
    </row>
    <row r="982" spans="1:23" ht="15" customHeight="1" x14ac:dyDescent="0.25">
      <c r="A982">
        <v>1636</v>
      </c>
      <c r="B982" s="1">
        <v>45818.833333333343</v>
      </c>
      <c r="C982">
        <v>20</v>
      </c>
      <c r="D982" t="s">
        <v>59</v>
      </c>
      <c r="E982">
        <v>6</v>
      </c>
      <c r="F982" t="s">
        <v>38</v>
      </c>
      <c r="G982" t="s">
        <v>33</v>
      </c>
      <c r="H982" t="s">
        <v>49</v>
      </c>
      <c r="I982" t="s">
        <v>27</v>
      </c>
      <c r="J982" t="s">
        <v>18</v>
      </c>
      <c r="K982" s="2">
        <v>26000</v>
      </c>
      <c r="L982" s="3">
        <v>26.5</v>
      </c>
      <c r="M982" s="3">
        <v>51</v>
      </c>
      <c r="N982" s="3">
        <v>76.5</v>
      </c>
      <c r="O982" s="2">
        <v>178</v>
      </c>
      <c r="P982">
        <v>1</v>
      </c>
      <c r="Q982" t="s">
        <v>20</v>
      </c>
      <c r="R982" s="4">
        <v>286.08999999999997</v>
      </c>
      <c r="S982" s="4">
        <v>20.64</v>
      </c>
      <c r="T982" t="s">
        <v>37</v>
      </c>
      <c r="U982" s="4">
        <v>57.79</v>
      </c>
      <c r="V982" s="4">
        <v>11.003</v>
      </c>
      <c r="W982" s="4">
        <v>265.45</v>
      </c>
    </row>
    <row r="983" spans="1:23" ht="15" customHeight="1" x14ac:dyDescent="0.25">
      <c r="A983">
        <v>900</v>
      </c>
      <c r="B983" s="1">
        <v>45818.833333333343</v>
      </c>
      <c r="C983">
        <v>20</v>
      </c>
      <c r="D983" t="s">
        <v>59</v>
      </c>
      <c r="E983">
        <v>6</v>
      </c>
      <c r="F983" t="s">
        <v>38</v>
      </c>
      <c r="G983" t="s">
        <v>33</v>
      </c>
      <c r="H983" t="s">
        <v>50</v>
      </c>
      <c r="I983" t="s">
        <v>22</v>
      </c>
      <c r="J983" t="s">
        <v>12</v>
      </c>
      <c r="K983" s="2">
        <v>21000</v>
      </c>
      <c r="L983" s="3">
        <v>26.5</v>
      </c>
      <c r="M983" s="3">
        <v>63.3</v>
      </c>
      <c r="N983" s="3">
        <v>86.4</v>
      </c>
      <c r="O983" s="2">
        <v>421</v>
      </c>
      <c r="P983">
        <v>1</v>
      </c>
      <c r="Q983" t="s">
        <v>20</v>
      </c>
      <c r="R983" s="4">
        <v>320.63</v>
      </c>
      <c r="S983" s="4">
        <v>17.53</v>
      </c>
      <c r="T983" t="s">
        <v>37</v>
      </c>
      <c r="U983" s="4">
        <v>67.02</v>
      </c>
      <c r="V983" s="4">
        <v>15.268000000000001</v>
      </c>
      <c r="W983" s="4">
        <v>303.10000000000002</v>
      </c>
    </row>
    <row r="984" spans="1:23" ht="15" customHeight="1" x14ac:dyDescent="0.25">
      <c r="A984">
        <v>532</v>
      </c>
      <c r="B984" s="1">
        <v>45818.833333333343</v>
      </c>
      <c r="C984">
        <v>20</v>
      </c>
      <c r="D984" t="s">
        <v>59</v>
      </c>
      <c r="E984">
        <v>6</v>
      </c>
      <c r="F984" t="s">
        <v>38</v>
      </c>
      <c r="G984" t="s">
        <v>33</v>
      </c>
      <c r="H984" t="s">
        <v>54</v>
      </c>
      <c r="I984" t="s">
        <v>16</v>
      </c>
      <c r="J984" t="s">
        <v>24</v>
      </c>
      <c r="K984" s="2">
        <v>8600</v>
      </c>
      <c r="L984" s="3">
        <v>18.899999999999999</v>
      </c>
      <c r="M984" s="3">
        <v>91.1</v>
      </c>
      <c r="N984" s="3">
        <v>15</v>
      </c>
      <c r="O984" s="2">
        <v>112</v>
      </c>
      <c r="P984">
        <v>0</v>
      </c>
      <c r="Q984" t="s">
        <v>14</v>
      </c>
      <c r="R984" s="4">
        <v>22.33</v>
      </c>
      <c r="S984" s="4">
        <v>1.02</v>
      </c>
      <c r="T984" t="s">
        <v>37</v>
      </c>
      <c r="U984" s="4">
        <v>4.68</v>
      </c>
      <c r="V984" s="4">
        <v>2.597</v>
      </c>
      <c r="W984" s="4">
        <v>21.31</v>
      </c>
    </row>
    <row r="985" spans="1:23" ht="15" customHeight="1" x14ac:dyDescent="0.25">
      <c r="A985">
        <v>1268</v>
      </c>
      <c r="B985" s="1">
        <v>45818.833333333343</v>
      </c>
      <c r="C985">
        <v>20</v>
      </c>
      <c r="D985" t="s">
        <v>59</v>
      </c>
      <c r="E985">
        <v>6</v>
      </c>
      <c r="F985" t="s">
        <v>38</v>
      </c>
      <c r="G985" t="s">
        <v>33</v>
      </c>
      <c r="H985" t="s">
        <v>51</v>
      </c>
      <c r="I985" t="s">
        <v>25</v>
      </c>
      <c r="J985" t="s">
        <v>15</v>
      </c>
      <c r="K985" s="2">
        <v>17400</v>
      </c>
      <c r="L985" s="3">
        <v>23.7</v>
      </c>
      <c r="M985" s="3">
        <v>61.5</v>
      </c>
      <c r="N985" s="3">
        <v>0</v>
      </c>
      <c r="O985" s="2">
        <v>1418</v>
      </c>
      <c r="P985">
        <v>1</v>
      </c>
      <c r="Q985" t="s">
        <v>23</v>
      </c>
      <c r="R985" s="4">
        <v>261.39</v>
      </c>
      <c r="S985" s="4">
        <v>0</v>
      </c>
      <c r="T985" t="s">
        <v>37</v>
      </c>
      <c r="U985" s="4">
        <v>58.53</v>
      </c>
      <c r="V985" s="4">
        <v>15.022</v>
      </c>
      <c r="W985" s="4">
        <v>261.39</v>
      </c>
    </row>
    <row r="986" spans="1:23" ht="15" customHeight="1" x14ac:dyDescent="0.25">
      <c r="A986">
        <v>2005</v>
      </c>
      <c r="B986" s="1">
        <v>45822</v>
      </c>
      <c r="C986">
        <v>0</v>
      </c>
      <c r="D986" t="s">
        <v>60</v>
      </c>
      <c r="E986">
        <v>6</v>
      </c>
      <c r="F986" t="s">
        <v>38</v>
      </c>
      <c r="G986" t="s">
        <v>36</v>
      </c>
      <c r="H986" t="s">
        <v>52</v>
      </c>
      <c r="I986" t="s">
        <v>13</v>
      </c>
      <c r="J986" t="s">
        <v>21</v>
      </c>
      <c r="K986" s="2">
        <v>9800</v>
      </c>
      <c r="L986" s="3">
        <v>19.2</v>
      </c>
      <c r="M986" s="3">
        <v>67</v>
      </c>
      <c r="N986" s="3">
        <v>0</v>
      </c>
      <c r="O986" s="2">
        <v>333</v>
      </c>
      <c r="P986">
        <v>0</v>
      </c>
      <c r="Q986" t="s">
        <v>14</v>
      </c>
      <c r="R986" s="4">
        <v>97.35</v>
      </c>
      <c r="S986" s="4">
        <v>0</v>
      </c>
      <c r="T986" t="s">
        <v>31</v>
      </c>
      <c r="U986" s="4">
        <v>8.74</v>
      </c>
      <c r="V986" s="4">
        <v>9.9339999999999993</v>
      </c>
      <c r="W986" s="4">
        <v>97.35</v>
      </c>
    </row>
    <row r="987" spans="1:23" ht="15" customHeight="1" x14ac:dyDescent="0.25">
      <c r="A987">
        <v>533</v>
      </c>
      <c r="B987" s="1">
        <v>45822</v>
      </c>
      <c r="C987">
        <v>0</v>
      </c>
      <c r="D987" t="s">
        <v>60</v>
      </c>
      <c r="E987">
        <v>6</v>
      </c>
      <c r="F987" t="s">
        <v>38</v>
      </c>
      <c r="G987" t="s">
        <v>36</v>
      </c>
      <c r="H987" t="s">
        <v>54</v>
      </c>
      <c r="I987" t="s">
        <v>16</v>
      </c>
      <c r="J987" t="s">
        <v>24</v>
      </c>
      <c r="K987" s="2">
        <v>8600</v>
      </c>
      <c r="L987" s="3">
        <v>19.8</v>
      </c>
      <c r="M987" s="3">
        <v>72.7</v>
      </c>
      <c r="N987" s="3">
        <v>0</v>
      </c>
      <c r="O987" s="2">
        <v>36</v>
      </c>
      <c r="P987">
        <v>0</v>
      </c>
      <c r="Q987" t="s">
        <v>14</v>
      </c>
      <c r="R987" s="4">
        <v>13.84</v>
      </c>
      <c r="S987" s="4">
        <v>0</v>
      </c>
      <c r="T987" t="s">
        <v>31</v>
      </c>
      <c r="U987" s="4">
        <v>1.26</v>
      </c>
      <c r="V987" s="4">
        <v>1.609</v>
      </c>
      <c r="W987" s="4">
        <v>13.84</v>
      </c>
    </row>
    <row r="988" spans="1:23" ht="15" customHeight="1" x14ac:dyDescent="0.25">
      <c r="A988">
        <v>901</v>
      </c>
      <c r="B988" s="1">
        <v>45822</v>
      </c>
      <c r="C988">
        <v>0</v>
      </c>
      <c r="D988" t="s">
        <v>60</v>
      </c>
      <c r="E988">
        <v>6</v>
      </c>
      <c r="F988" t="s">
        <v>38</v>
      </c>
      <c r="G988" t="s">
        <v>36</v>
      </c>
      <c r="H988" t="s">
        <v>50</v>
      </c>
      <c r="I988" t="s">
        <v>22</v>
      </c>
      <c r="J988" t="s">
        <v>12</v>
      </c>
      <c r="K988" s="2">
        <v>21000</v>
      </c>
      <c r="L988" s="3">
        <v>21.8</v>
      </c>
      <c r="M988" s="3">
        <v>57.2</v>
      </c>
      <c r="N988" s="3">
        <v>0</v>
      </c>
      <c r="O988" s="2">
        <v>252</v>
      </c>
      <c r="P988">
        <v>0</v>
      </c>
      <c r="Q988" t="s">
        <v>14</v>
      </c>
      <c r="R988" s="4">
        <v>178.42</v>
      </c>
      <c r="S988" s="4">
        <v>0</v>
      </c>
      <c r="T988" t="s">
        <v>31</v>
      </c>
      <c r="U988" s="4">
        <v>16.18</v>
      </c>
      <c r="V988" s="4">
        <v>8.4960000000000004</v>
      </c>
      <c r="W988" s="4">
        <v>178.42</v>
      </c>
    </row>
    <row r="989" spans="1:23" ht="15" customHeight="1" x14ac:dyDescent="0.25">
      <c r="A989">
        <v>165</v>
      </c>
      <c r="B989" s="1">
        <v>45822</v>
      </c>
      <c r="C989">
        <v>0</v>
      </c>
      <c r="D989" t="s">
        <v>60</v>
      </c>
      <c r="E989">
        <v>6</v>
      </c>
      <c r="F989" t="s">
        <v>38</v>
      </c>
      <c r="G989" t="s">
        <v>36</v>
      </c>
      <c r="H989" t="s">
        <v>53</v>
      </c>
      <c r="I989" t="s">
        <v>19</v>
      </c>
      <c r="J989" t="s">
        <v>26</v>
      </c>
      <c r="K989" s="2">
        <v>12500</v>
      </c>
      <c r="L989" s="3">
        <v>20.8</v>
      </c>
      <c r="M989" s="3">
        <v>62.8</v>
      </c>
      <c r="N989" s="3">
        <v>0</v>
      </c>
      <c r="O989" s="2">
        <v>6</v>
      </c>
      <c r="P989">
        <v>0</v>
      </c>
      <c r="Q989" t="s">
        <v>14</v>
      </c>
      <c r="R989" s="4">
        <v>22.71</v>
      </c>
      <c r="S989" s="4">
        <v>0</v>
      </c>
      <c r="T989" t="s">
        <v>31</v>
      </c>
      <c r="U989" s="4">
        <v>1.98</v>
      </c>
      <c r="V989" s="4">
        <v>1.8169999999999999</v>
      </c>
      <c r="W989" s="4">
        <v>22.71</v>
      </c>
    </row>
    <row r="990" spans="1:23" ht="15" customHeight="1" x14ac:dyDescent="0.25">
      <c r="A990">
        <v>1637</v>
      </c>
      <c r="B990" s="1">
        <v>45822</v>
      </c>
      <c r="C990">
        <v>0</v>
      </c>
      <c r="D990" t="s">
        <v>60</v>
      </c>
      <c r="E990">
        <v>6</v>
      </c>
      <c r="F990" t="s">
        <v>38</v>
      </c>
      <c r="G990" t="s">
        <v>36</v>
      </c>
      <c r="H990" t="s">
        <v>49</v>
      </c>
      <c r="I990" t="s">
        <v>27</v>
      </c>
      <c r="J990" t="s">
        <v>18</v>
      </c>
      <c r="K990" s="2">
        <v>26000</v>
      </c>
      <c r="L990" s="3">
        <v>24.1</v>
      </c>
      <c r="M990" s="3">
        <v>65.900000000000006</v>
      </c>
      <c r="N990" s="3">
        <v>0</v>
      </c>
      <c r="O990" s="2">
        <v>33</v>
      </c>
      <c r="P990">
        <v>1</v>
      </c>
      <c r="Q990" t="s">
        <v>20</v>
      </c>
      <c r="R990" s="4">
        <v>80.11</v>
      </c>
      <c r="S990" s="4">
        <v>0</v>
      </c>
      <c r="T990" t="s">
        <v>31</v>
      </c>
      <c r="U990" s="4">
        <v>7.36</v>
      </c>
      <c r="V990" s="4">
        <v>3.081</v>
      </c>
      <c r="W990" s="4">
        <v>80.11</v>
      </c>
    </row>
    <row r="991" spans="1:23" ht="15" customHeight="1" x14ac:dyDescent="0.25">
      <c r="A991">
        <v>1269</v>
      </c>
      <c r="B991" s="1">
        <v>45822</v>
      </c>
      <c r="C991">
        <v>0</v>
      </c>
      <c r="D991" t="s">
        <v>60</v>
      </c>
      <c r="E991">
        <v>6</v>
      </c>
      <c r="F991" t="s">
        <v>38</v>
      </c>
      <c r="G991" t="s">
        <v>36</v>
      </c>
      <c r="H991" t="s">
        <v>51</v>
      </c>
      <c r="I991" t="s">
        <v>25</v>
      </c>
      <c r="J991" t="s">
        <v>15</v>
      </c>
      <c r="K991" s="2">
        <v>17400</v>
      </c>
      <c r="L991" s="3">
        <v>21.9</v>
      </c>
      <c r="M991" s="3">
        <v>64.8</v>
      </c>
      <c r="N991" s="3">
        <v>0</v>
      </c>
      <c r="O991" s="2">
        <v>64</v>
      </c>
      <c r="P991">
        <v>0</v>
      </c>
      <c r="Q991" t="s">
        <v>14</v>
      </c>
      <c r="R991" s="4">
        <v>51.94</v>
      </c>
      <c r="S991" s="4">
        <v>0</v>
      </c>
      <c r="T991" t="s">
        <v>31</v>
      </c>
      <c r="U991" s="4">
        <v>4.84</v>
      </c>
      <c r="V991" s="4">
        <v>2.9849999999999999</v>
      </c>
      <c r="W991" s="4">
        <v>51.94</v>
      </c>
    </row>
    <row r="992" spans="1:23" ht="15" customHeight="1" x14ac:dyDescent="0.25">
      <c r="A992">
        <v>902</v>
      </c>
      <c r="B992" s="1">
        <v>45822.333333333343</v>
      </c>
      <c r="C992">
        <v>8</v>
      </c>
      <c r="D992" t="s">
        <v>60</v>
      </c>
      <c r="E992">
        <v>6</v>
      </c>
      <c r="F992" t="s">
        <v>38</v>
      </c>
      <c r="G992" t="s">
        <v>36</v>
      </c>
      <c r="H992" t="s">
        <v>50</v>
      </c>
      <c r="I992" t="s">
        <v>22</v>
      </c>
      <c r="J992" t="s">
        <v>12</v>
      </c>
      <c r="K992" s="2">
        <v>21000</v>
      </c>
      <c r="L992" s="3">
        <v>23.9</v>
      </c>
      <c r="M992" s="3">
        <v>48.7</v>
      </c>
      <c r="N992" s="3">
        <v>400.3</v>
      </c>
      <c r="O992" s="2">
        <v>447</v>
      </c>
      <c r="P992">
        <v>1</v>
      </c>
      <c r="Q992" t="s">
        <v>23</v>
      </c>
      <c r="R992" s="4">
        <v>192.64</v>
      </c>
      <c r="S992" s="4">
        <v>81.099999999999994</v>
      </c>
      <c r="T992" t="s">
        <v>31</v>
      </c>
      <c r="U992" s="4">
        <v>10.08</v>
      </c>
      <c r="V992" s="4">
        <v>9.173</v>
      </c>
      <c r="W992" s="4">
        <v>111.54</v>
      </c>
    </row>
    <row r="993" spans="1:23" ht="15" customHeight="1" x14ac:dyDescent="0.25">
      <c r="A993">
        <v>1638</v>
      </c>
      <c r="B993" s="1">
        <v>45822.333333333343</v>
      </c>
      <c r="C993">
        <v>8</v>
      </c>
      <c r="D993" t="s">
        <v>60</v>
      </c>
      <c r="E993">
        <v>6</v>
      </c>
      <c r="F993" t="s">
        <v>38</v>
      </c>
      <c r="G993" t="s">
        <v>36</v>
      </c>
      <c r="H993" t="s">
        <v>49</v>
      </c>
      <c r="I993" t="s">
        <v>27</v>
      </c>
      <c r="J993" t="s">
        <v>18</v>
      </c>
      <c r="K993" s="2">
        <v>26000</v>
      </c>
      <c r="L993" s="3"/>
      <c r="M993" s="3">
        <v>55.8</v>
      </c>
      <c r="N993" s="3">
        <v>423.9</v>
      </c>
      <c r="O993" s="2">
        <v>65</v>
      </c>
      <c r="P993">
        <v>0</v>
      </c>
      <c r="Q993" t="s">
        <v>14</v>
      </c>
      <c r="R993" s="4">
        <v>82.22</v>
      </c>
      <c r="S993" s="4">
        <v>111.11</v>
      </c>
      <c r="T993" t="s">
        <v>31</v>
      </c>
      <c r="U993" s="4">
        <v>-1.04</v>
      </c>
      <c r="V993" s="4">
        <v>3.1619999999999999</v>
      </c>
      <c r="W993" s="4">
        <v>0</v>
      </c>
    </row>
    <row r="994" spans="1:23" ht="15" customHeight="1" x14ac:dyDescent="0.25">
      <c r="A994">
        <v>2006</v>
      </c>
      <c r="B994" s="1">
        <v>45822.333333333343</v>
      </c>
      <c r="C994">
        <v>8</v>
      </c>
      <c r="D994" t="s">
        <v>60</v>
      </c>
      <c r="E994">
        <v>6</v>
      </c>
      <c r="F994" t="s">
        <v>38</v>
      </c>
      <c r="G994" t="s">
        <v>36</v>
      </c>
      <c r="H994" t="s">
        <v>52</v>
      </c>
      <c r="I994" t="s">
        <v>13</v>
      </c>
      <c r="J994" t="s">
        <v>21</v>
      </c>
      <c r="K994" s="2">
        <v>9800</v>
      </c>
      <c r="L994" s="3">
        <v>21.7</v>
      </c>
      <c r="M994" s="3">
        <v>61.6</v>
      </c>
      <c r="N994" s="3">
        <v>447.7</v>
      </c>
      <c r="O994" s="2">
        <v>125</v>
      </c>
      <c r="P994">
        <v>0</v>
      </c>
      <c r="Q994" t="s">
        <v>14</v>
      </c>
      <c r="R994" s="4">
        <v>26.4</v>
      </c>
      <c r="S994" s="4">
        <v>0</v>
      </c>
      <c r="T994" t="s">
        <v>31</v>
      </c>
      <c r="U994" s="4">
        <v>2.46</v>
      </c>
      <c r="V994" s="4">
        <v>2.694</v>
      </c>
      <c r="W994" s="4">
        <v>26.4</v>
      </c>
    </row>
    <row r="995" spans="1:23" ht="15" customHeight="1" x14ac:dyDescent="0.25">
      <c r="A995">
        <v>166</v>
      </c>
      <c r="B995" s="1">
        <v>45822.333333333343</v>
      </c>
      <c r="C995">
        <v>8</v>
      </c>
      <c r="D995" t="s">
        <v>60</v>
      </c>
      <c r="E995">
        <v>6</v>
      </c>
      <c r="F995" t="s">
        <v>38</v>
      </c>
      <c r="G995" t="s">
        <v>36</v>
      </c>
      <c r="H995" t="s">
        <v>53</v>
      </c>
      <c r="I995" t="s">
        <v>19</v>
      </c>
      <c r="J995" t="s">
        <v>26</v>
      </c>
      <c r="K995" s="2">
        <v>12500</v>
      </c>
      <c r="L995" s="3">
        <v>22.5</v>
      </c>
      <c r="M995" s="3">
        <v>58.2</v>
      </c>
      <c r="N995" s="3">
        <v>466.4</v>
      </c>
      <c r="O995" s="2">
        <v>52</v>
      </c>
      <c r="P995">
        <v>0</v>
      </c>
      <c r="Q995" t="s">
        <v>14</v>
      </c>
      <c r="R995" s="4">
        <v>19.010000000000002</v>
      </c>
      <c r="S995" s="4">
        <v>75.459999999999994</v>
      </c>
      <c r="T995" t="s">
        <v>31</v>
      </c>
      <c r="U995" s="4">
        <v>-2.12</v>
      </c>
      <c r="V995" s="4">
        <v>1.5209999999999999</v>
      </c>
      <c r="W995" s="4">
        <v>0</v>
      </c>
    </row>
    <row r="996" spans="1:23" ht="15" customHeight="1" x14ac:dyDescent="0.25">
      <c r="A996">
        <v>1270</v>
      </c>
      <c r="B996" s="1">
        <v>45822.333333333343</v>
      </c>
      <c r="C996">
        <v>8</v>
      </c>
      <c r="D996" t="s">
        <v>60</v>
      </c>
      <c r="E996">
        <v>6</v>
      </c>
      <c r="F996" t="s">
        <v>38</v>
      </c>
      <c r="G996" t="s">
        <v>36</v>
      </c>
      <c r="H996" t="s">
        <v>51</v>
      </c>
      <c r="I996" t="s">
        <v>25</v>
      </c>
      <c r="J996" t="s">
        <v>15</v>
      </c>
      <c r="K996" s="2">
        <v>17400</v>
      </c>
      <c r="L996" s="3">
        <v>24.8</v>
      </c>
      <c r="M996" s="3">
        <v>62.8</v>
      </c>
      <c r="N996" s="3">
        <v>363.5</v>
      </c>
      <c r="O996" s="2">
        <v>297</v>
      </c>
      <c r="P996">
        <v>1</v>
      </c>
      <c r="Q996" t="s">
        <v>20</v>
      </c>
      <c r="R996" s="4">
        <v>237.85</v>
      </c>
      <c r="S996" s="4">
        <v>43.93</v>
      </c>
      <c r="T996" t="s">
        <v>31</v>
      </c>
      <c r="U996" s="4">
        <v>1.29</v>
      </c>
      <c r="V996" s="4">
        <v>13.67</v>
      </c>
      <c r="W996" s="4">
        <v>193.92</v>
      </c>
    </row>
    <row r="997" spans="1:23" ht="15" customHeight="1" x14ac:dyDescent="0.25">
      <c r="A997">
        <v>534</v>
      </c>
      <c r="B997" s="1">
        <v>45822.333333333343</v>
      </c>
      <c r="C997">
        <v>8</v>
      </c>
      <c r="D997" t="s">
        <v>60</v>
      </c>
      <c r="E997">
        <v>6</v>
      </c>
      <c r="F997" t="s">
        <v>38</v>
      </c>
      <c r="G997" t="s">
        <v>36</v>
      </c>
      <c r="H997" t="s">
        <v>54</v>
      </c>
      <c r="I997" t="s">
        <v>16</v>
      </c>
      <c r="J997" t="s">
        <v>24</v>
      </c>
      <c r="K997" s="2">
        <v>8600</v>
      </c>
      <c r="L997" s="3">
        <v>17.5</v>
      </c>
      <c r="M997" s="3">
        <v>78.8</v>
      </c>
      <c r="N997" s="3">
        <v>275.3</v>
      </c>
      <c r="O997" s="2">
        <v>0</v>
      </c>
      <c r="P997">
        <v>0</v>
      </c>
      <c r="Q997" t="s">
        <v>14</v>
      </c>
      <c r="R997" s="4">
        <v>7.88</v>
      </c>
      <c r="S997" s="4">
        <v>21.58</v>
      </c>
      <c r="T997" t="s">
        <v>31</v>
      </c>
      <c r="U997" s="4">
        <v>-0.49</v>
      </c>
      <c r="V997" s="4">
        <v>0.91600000000000004</v>
      </c>
      <c r="W997" s="4">
        <v>0</v>
      </c>
    </row>
    <row r="998" spans="1:23" ht="15" customHeight="1" x14ac:dyDescent="0.25">
      <c r="A998">
        <v>1639</v>
      </c>
      <c r="B998" s="1">
        <v>45822.583333333343</v>
      </c>
      <c r="C998">
        <v>14</v>
      </c>
      <c r="D998" t="s">
        <v>60</v>
      </c>
      <c r="E998">
        <v>6</v>
      </c>
      <c r="F998" t="s">
        <v>38</v>
      </c>
      <c r="G998" t="s">
        <v>36</v>
      </c>
      <c r="H998" t="s">
        <v>49</v>
      </c>
      <c r="I998" t="s">
        <v>27</v>
      </c>
      <c r="J998" t="s">
        <v>18</v>
      </c>
      <c r="K998" s="2">
        <v>26000</v>
      </c>
      <c r="L998" s="3">
        <v>29.7</v>
      </c>
      <c r="M998" s="3">
        <v>50.7</v>
      </c>
      <c r="N998" s="3">
        <v>810.8</v>
      </c>
      <c r="O998" s="2">
        <v>88</v>
      </c>
      <c r="P998">
        <v>1</v>
      </c>
      <c r="Q998" t="s">
        <v>20</v>
      </c>
      <c r="R998" s="4">
        <v>101.1</v>
      </c>
      <c r="S998" s="4">
        <v>212.82</v>
      </c>
      <c r="T998" t="s">
        <v>31</v>
      </c>
      <c r="U998" s="4">
        <v>-3.95</v>
      </c>
      <c r="V998" s="4">
        <v>3.8879999999999999</v>
      </c>
      <c r="W998" s="4">
        <v>0</v>
      </c>
    </row>
    <row r="999" spans="1:23" ht="15" customHeight="1" x14ac:dyDescent="0.25">
      <c r="A999">
        <v>903</v>
      </c>
      <c r="B999" s="1">
        <v>45822.583333333343</v>
      </c>
      <c r="C999">
        <v>14</v>
      </c>
      <c r="D999" t="s">
        <v>60</v>
      </c>
      <c r="E999">
        <v>6</v>
      </c>
      <c r="F999" t="s">
        <v>38</v>
      </c>
      <c r="G999" t="s">
        <v>36</v>
      </c>
      <c r="H999" t="s">
        <v>50</v>
      </c>
      <c r="I999" t="s">
        <v>22</v>
      </c>
      <c r="J999" t="s">
        <v>12</v>
      </c>
      <c r="K999" s="2">
        <v>21000</v>
      </c>
      <c r="L999" s="3">
        <v>33.5</v>
      </c>
      <c r="M999" s="3">
        <v>49</v>
      </c>
      <c r="N999" s="3">
        <v>808.6</v>
      </c>
      <c r="O999" s="2">
        <v>436</v>
      </c>
      <c r="P999">
        <v>1</v>
      </c>
      <c r="Q999" t="s">
        <v>20</v>
      </c>
      <c r="R999" s="4">
        <v>236.34</v>
      </c>
      <c r="S999" s="4">
        <v>161.55000000000001</v>
      </c>
      <c r="T999" t="s">
        <v>31</v>
      </c>
      <c r="U999" s="4">
        <v>6.92</v>
      </c>
      <c r="V999" s="4">
        <v>11.254</v>
      </c>
      <c r="W999" s="4">
        <v>74.790000000000006</v>
      </c>
    </row>
    <row r="1000" spans="1:23" ht="15" customHeight="1" x14ac:dyDescent="0.25">
      <c r="A1000">
        <v>535</v>
      </c>
      <c r="B1000" s="1">
        <v>45822.583333333343</v>
      </c>
      <c r="C1000">
        <v>14</v>
      </c>
      <c r="D1000" t="s">
        <v>60</v>
      </c>
      <c r="E1000">
        <v>6</v>
      </c>
      <c r="F1000" t="s">
        <v>38</v>
      </c>
      <c r="G1000" t="s">
        <v>36</v>
      </c>
      <c r="H1000" t="s">
        <v>54</v>
      </c>
      <c r="I1000" t="s">
        <v>16</v>
      </c>
      <c r="J1000" t="s">
        <v>24</v>
      </c>
      <c r="K1000" s="2">
        <v>8600</v>
      </c>
      <c r="L1000" s="3">
        <v>24</v>
      </c>
      <c r="M1000" s="3">
        <v>70.2</v>
      </c>
      <c r="N1000" s="3">
        <v>755.7</v>
      </c>
      <c r="O1000" s="2">
        <v>35</v>
      </c>
      <c r="P1000">
        <v>0</v>
      </c>
      <c r="Q1000" t="s">
        <v>14</v>
      </c>
      <c r="R1000" s="4">
        <v>10.56</v>
      </c>
      <c r="S1000" s="4">
        <v>52.46</v>
      </c>
      <c r="T1000" t="s">
        <v>31</v>
      </c>
      <c r="U1000" s="4">
        <v>-1.54</v>
      </c>
      <c r="V1000" s="4">
        <v>1.228</v>
      </c>
      <c r="W1000" s="4">
        <v>0</v>
      </c>
    </row>
    <row r="1001" spans="1:23" ht="15" customHeight="1" x14ac:dyDescent="0.25">
      <c r="A1001">
        <v>2007</v>
      </c>
      <c r="B1001" s="1">
        <v>45822.583333333343</v>
      </c>
      <c r="C1001">
        <v>14</v>
      </c>
      <c r="D1001" t="s">
        <v>60</v>
      </c>
      <c r="E1001">
        <v>6</v>
      </c>
      <c r="F1001" t="s">
        <v>38</v>
      </c>
      <c r="G1001" t="s">
        <v>36</v>
      </c>
      <c r="H1001" t="s">
        <v>52</v>
      </c>
      <c r="I1001" t="s">
        <v>13</v>
      </c>
      <c r="J1001" t="s">
        <v>21</v>
      </c>
      <c r="K1001" s="2">
        <v>9800</v>
      </c>
      <c r="L1001" s="3">
        <v>29.6</v>
      </c>
      <c r="M1001" s="3">
        <v>49.9</v>
      </c>
      <c r="N1001" s="3">
        <v>875</v>
      </c>
      <c r="O1001" s="2">
        <v>111</v>
      </c>
      <c r="P1001">
        <v>1</v>
      </c>
      <c r="Q1001" t="s">
        <v>20</v>
      </c>
      <c r="R1001" s="4">
        <v>33.520000000000003</v>
      </c>
      <c r="S1001" s="4">
        <v>0</v>
      </c>
      <c r="T1001" t="s">
        <v>31</v>
      </c>
      <c r="U1001" s="4">
        <v>3.06</v>
      </c>
      <c r="V1001" s="4">
        <v>3.42</v>
      </c>
      <c r="W1001" s="4">
        <v>33.520000000000003</v>
      </c>
    </row>
    <row r="1002" spans="1:23" ht="15" customHeight="1" x14ac:dyDescent="0.25">
      <c r="A1002">
        <v>167</v>
      </c>
      <c r="B1002" s="1">
        <v>45822.583333333343</v>
      </c>
      <c r="C1002">
        <v>14</v>
      </c>
      <c r="D1002" t="s">
        <v>60</v>
      </c>
      <c r="E1002">
        <v>6</v>
      </c>
      <c r="F1002" t="s">
        <v>38</v>
      </c>
      <c r="G1002" t="s">
        <v>36</v>
      </c>
      <c r="H1002" t="s">
        <v>53</v>
      </c>
      <c r="I1002" t="s">
        <v>19</v>
      </c>
      <c r="J1002" t="s">
        <v>26</v>
      </c>
      <c r="K1002" s="2">
        <v>12500</v>
      </c>
      <c r="L1002" s="3">
        <v>30.4</v>
      </c>
      <c r="M1002" s="3">
        <v>50.4</v>
      </c>
      <c r="N1002" s="3">
        <v>761.2</v>
      </c>
      <c r="O1002" s="2">
        <v>0</v>
      </c>
      <c r="P1002">
        <v>0</v>
      </c>
      <c r="Q1002" t="s">
        <v>14</v>
      </c>
      <c r="R1002" s="4">
        <v>14.36</v>
      </c>
      <c r="S1002" s="4">
        <v>114.34</v>
      </c>
      <c r="T1002" t="s">
        <v>31</v>
      </c>
      <c r="U1002" s="4">
        <v>-3.63</v>
      </c>
      <c r="V1002" s="4">
        <v>1.149</v>
      </c>
      <c r="W1002" s="4">
        <v>0</v>
      </c>
    </row>
    <row r="1003" spans="1:23" ht="15" customHeight="1" x14ac:dyDescent="0.25">
      <c r="A1003">
        <v>1271</v>
      </c>
      <c r="B1003" s="1">
        <v>45822.583333333343</v>
      </c>
      <c r="C1003">
        <v>14</v>
      </c>
      <c r="D1003" t="s">
        <v>60</v>
      </c>
      <c r="E1003">
        <v>6</v>
      </c>
      <c r="F1003" t="s">
        <v>38</v>
      </c>
      <c r="G1003" t="s">
        <v>36</v>
      </c>
      <c r="H1003" t="s">
        <v>51</v>
      </c>
      <c r="I1003" t="s">
        <v>25</v>
      </c>
      <c r="J1003" t="s">
        <v>15</v>
      </c>
      <c r="K1003" s="2">
        <v>17400</v>
      </c>
      <c r="L1003" s="3">
        <v>28.6</v>
      </c>
      <c r="M1003" s="3">
        <v>54.7</v>
      </c>
      <c r="N1003" s="3">
        <v>904</v>
      </c>
      <c r="O1003" s="2">
        <v>1580</v>
      </c>
      <c r="P1003">
        <v>1</v>
      </c>
      <c r="Q1003" t="s">
        <v>20</v>
      </c>
      <c r="R1003" s="4">
        <v>259.37</v>
      </c>
      <c r="S1003" s="4">
        <v>119.5</v>
      </c>
      <c r="T1003" t="s">
        <v>31</v>
      </c>
      <c r="U1003" s="4">
        <v>12.85</v>
      </c>
      <c r="V1003" s="4">
        <v>14.906000000000001</v>
      </c>
      <c r="W1003" s="4">
        <v>139.87</v>
      </c>
    </row>
    <row r="1004" spans="1:23" ht="15" customHeight="1" x14ac:dyDescent="0.25">
      <c r="A1004">
        <v>1272</v>
      </c>
      <c r="B1004" s="1">
        <v>45822.833333333343</v>
      </c>
      <c r="C1004">
        <v>20</v>
      </c>
      <c r="D1004" t="s">
        <v>60</v>
      </c>
      <c r="E1004">
        <v>6</v>
      </c>
      <c r="F1004" t="s">
        <v>38</v>
      </c>
      <c r="G1004" t="s">
        <v>36</v>
      </c>
      <c r="H1004" t="s">
        <v>51</v>
      </c>
      <c r="I1004" t="s">
        <v>25</v>
      </c>
      <c r="J1004" t="s">
        <v>15</v>
      </c>
      <c r="K1004" s="2">
        <v>17400</v>
      </c>
      <c r="L1004" s="3"/>
      <c r="M1004" s="3">
        <v>61.7</v>
      </c>
      <c r="N1004" s="3">
        <v>81</v>
      </c>
      <c r="O1004" s="2">
        <v>1620</v>
      </c>
      <c r="P1004">
        <v>1</v>
      </c>
      <c r="Q1004" t="s">
        <v>20</v>
      </c>
      <c r="R1004" s="4">
        <v>357.38</v>
      </c>
      <c r="S1004" s="4">
        <v>10.02</v>
      </c>
      <c r="T1004" t="s">
        <v>31</v>
      </c>
      <c r="U1004" s="4">
        <v>31.64</v>
      </c>
      <c r="V1004" s="4">
        <v>20.539000000000001</v>
      </c>
      <c r="W1004" s="4">
        <v>347.36</v>
      </c>
    </row>
    <row r="1005" spans="1:23" ht="15" customHeight="1" x14ac:dyDescent="0.25">
      <c r="A1005">
        <v>168</v>
      </c>
      <c r="B1005" s="1">
        <v>45822.833333333343</v>
      </c>
      <c r="C1005">
        <v>20</v>
      </c>
      <c r="D1005" t="s">
        <v>60</v>
      </c>
      <c r="E1005">
        <v>6</v>
      </c>
      <c r="F1005" t="s">
        <v>38</v>
      </c>
      <c r="G1005" t="s">
        <v>36</v>
      </c>
      <c r="H1005" t="s">
        <v>53</v>
      </c>
      <c r="I1005" t="s">
        <v>19</v>
      </c>
      <c r="J1005" t="s">
        <v>26</v>
      </c>
      <c r="K1005" s="2">
        <v>12500</v>
      </c>
      <c r="L1005" s="3">
        <v>26.4</v>
      </c>
      <c r="M1005" s="3">
        <v>40.5</v>
      </c>
      <c r="N1005" s="3">
        <v>57.5</v>
      </c>
      <c r="O1005" s="2">
        <v>14</v>
      </c>
      <c r="P1005">
        <v>0</v>
      </c>
      <c r="Q1005" t="s">
        <v>14</v>
      </c>
      <c r="R1005" s="4">
        <v>24.07</v>
      </c>
      <c r="S1005" s="4">
        <v>8.75</v>
      </c>
      <c r="T1005" t="s">
        <v>31</v>
      </c>
      <c r="U1005" s="4">
        <v>1.37</v>
      </c>
      <c r="V1005" s="4">
        <v>1.9259999999999999</v>
      </c>
      <c r="W1005" s="4">
        <v>15.32</v>
      </c>
    </row>
    <row r="1006" spans="1:23" ht="15" customHeight="1" x14ac:dyDescent="0.25">
      <c r="A1006">
        <v>2008</v>
      </c>
      <c r="B1006" s="1">
        <v>45822.833333333343</v>
      </c>
      <c r="C1006">
        <v>20</v>
      </c>
      <c r="D1006" t="s">
        <v>60</v>
      </c>
      <c r="E1006">
        <v>6</v>
      </c>
      <c r="F1006" t="s">
        <v>38</v>
      </c>
      <c r="G1006" t="s">
        <v>36</v>
      </c>
      <c r="H1006" t="s">
        <v>52</v>
      </c>
      <c r="I1006" t="s">
        <v>13</v>
      </c>
      <c r="J1006" t="s">
        <v>21</v>
      </c>
      <c r="K1006" s="2">
        <v>9800</v>
      </c>
      <c r="L1006" s="3">
        <v>24.4</v>
      </c>
      <c r="M1006" s="3">
        <v>69.5</v>
      </c>
      <c r="N1006" s="3">
        <v>56.2</v>
      </c>
      <c r="O1006" s="2">
        <v>322</v>
      </c>
      <c r="P1006">
        <v>1</v>
      </c>
      <c r="Q1006" t="s">
        <v>20</v>
      </c>
      <c r="R1006" s="4">
        <v>92.38</v>
      </c>
      <c r="S1006" s="4">
        <v>0</v>
      </c>
      <c r="T1006" t="s">
        <v>31</v>
      </c>
      <c r="U1006" s="4"/>
      <c r="V1006" s="4">
        <v>9.4269999999999996</v>
      </c>
      <c r="W1006" s="4">
        <v>92.38</v>
      </c>
    </row>
    <row r="1007" spans="1:23" ht="15" customHeight="1" x14ac:dyDescent="0.25">
      <c r="A1007">
        <v>1640</v>
      </c>
      <c r="B1007" s="1">
        <v>45822.833333333343</v>
      </c>
      <c r="C1007">
        <v>20</v>
      </c>
      <c r="D1007" t="s">
        <v>60</v>
      </c>
      <c r="E1007">
        <v>6</v>
      </c>
      <c r="F1007" t="s">
        <v>38</v>
      </c>
      <c r="G1007" t="s">
        <v>36</v>
      </c>
      <c r="H1007" t="s">
        <v>49</v>
      </c>
      <c r="I1007" t="s">
        <v>27</v>
      </c>
      <c r="J1007" t="s">
        <v>18</v>
      </c>
      <c r="K1007" s="2">
        <v>26000</v>
      </c>
      <c r="L1007" s="3">
        <v>23.4</v>
      </c>
      <c r="M1007" s="3">
        <v>64.8</v>
      </c>
      <c r="N1007" s="3">
        <v>64</v>
      </c>
      <c r="O1007" s="2">
        <v>45</v>
      </c>
      <c r="P1007">
        <v>1</v>
      </c>
      <c r="Q1007" t="s">
        <v>23</v>
      </c>
      <c r="R1007" s="4">
        <v>134.87</v>
      </c>
      <c r="S1007" s="4">
        <v>16.64</v>
      </c>
      <c r="T1007" t="s">
        <v>31</v>
      </c>
      <c r="U1007" s="4">
        <v>10.91</v>
      </c>
      <c r="V1007" s="4">
        <v>5.1870000000000003</v>
      </c>
      <c r="W1007" s="4">
        <v>118.23</v>
      </c>
    </row>
    <row r="1008" spans="1:23" ht="15" customHeight="1" x14ac:dyDescent="0.25">
      <c r="A1008">
        <v>536</v>
      </c>
      <c r="B1008" s="1">
        <v>45822.833333333343</v>
      </c>
      <c r="C1008">
        <v>20</v>
      </c>
      <c r="D1008" t="s">
        <v>60</v>
      </c>
      <c r="E1008">
        <v>6</v>
      </c>
      <c r="F1008" t="s">
        <v>38</v>
      </c>
      <c r="G1008" t="s">
        <v>36</v>
      </c>
      <c r="H1008" t="s">
        <v>54</v>
      </c>
      <c r="I1008" t="s">
        <v>16</v>
      </c>
      <c r="J1008" t="s">
        <v>24</v>
      </c>
      <c r="K1008" s="2">
        <v>8600</v>
      </c>
      <c r="L1008" s="3">
        <v>19.2</v>
      </c>
      <c r="M1008" s="3">
        <v>91.7</v>
      </c>
      <c r="N1008" s="3">
        <v>82.8</v>
      </c>
      <c r="O1008" s="2">
        <v>0</v>
      </c>
      <c r="P1008">
        <v>0</v>
      </c>
      <c r="Q1008" t="s">
        <v>14</v>
      </c>
      <c r="R1008" s="4">
        <v>11.94</v>
      </c>
      <c r="S1008" s="4">
        <v>6.24</v>
      </c>
      <c r="T1008" t="s">
        <v>31</v>
      </c>
      <c r="U1008" s="4">
        <v>0.53</v>
      </c>
      <c r="V1008" s="4">
        <v>1.3879999999999999</v>
      </c>
      <c r="W1008" s="4">
        <v>5.7</v>
      </c>
    </row>
    <row r="1009" spans="1:23" ht="15" customHeight="1" x14ac:dyDescent="0.25">
      <c r="A1009">
        <v>904</v>
      </c>
      <c r="B1009" s="1">
        <v>45822.833333333343</v>
      </c>
      <c r="C1009">
        <v>20</v>
      </c>
      <c r="D1009" t="s">
        <v>60</v>
      </c>
      <c r="E1009">
        <v>6</v>
      </c>
      <c r="F1009" t="s">
        <v>38</v>
      </c>
      <c r="G1009" t="s">
        <v>36</v>
      </c>
      <c r="H1009" t="s">
        <v>50</v>
      </c>
      <c r="I1009" t="s">
        <v>22</v>
      </c>
      <c r="J1009" t="s">
        <v>12</v>
      </c>
      <c r="K1009" s="2">
        <v>21000</v>
      </c>
      <c r="L1009" s="3">
        <v>28.9</v>
      </c>
      <c r="M1009" s="3">
        <v>43.9</v>
      </c>
      <c r="N1009" s="3">
        <v>79.400000000000006</v>
      </c>
      <c r="O1009" s="2">
        <v>420</v>
      </c>
      <c r="P1009">
        <v>1</v>
      </c>
      <c r="Q1009" t="s">
        <v>20</v>
      </c>
      <c r="R1009" s="4">
        <v>309.48</v>
      </c>
      <c r="S1009" s="4">
        <v>16.61</v>
      </c>
      <c r="T1009" t="s">
        <v>31</v>
      </c>
      <c r="U1009" s="4">
        <v>27.32</v>
      </c>
      <c r="V1009" s="4">
        <v>14.737</v>
      </c>
      <c r="W1009" s="4">
        <v>292.87</v>
      </c>
    </row>
    <row r="1010" spans="1:23" ht="15" customHeight="1" x14ac:dyDescent="0.25">
      <c r="A1010">
        <v>1641</v>
      </c>
      <c r="B1010" s="1">
        <v>45826</v>
      </c>
      <c r="C1010">
        <v>0</v>
      </c>
      <c r="D1010" t="s">
        <v>48</v>
      </c>
      <c r="E1010">
        <v>6</v>
      </c>
      <c r="F1010" t="s">
        <v>38</v>
      </c>
      <c r="G1010" t="s">
        <v>33</v>
      </c>
      <c r="H1010" t="s">
        <v>49</v>
      </c>
      <c r="I1010" t="s">
        <v>27</v>
      </c>
      <c r="J1010" t="s">
        <v>18</v>
      </c>
      <c r="K1010" s="2">
        <v>26000</v>
      </c>
      <c r="L1010" s="3">
        <v>20.6</v>
      </c>
      <c r="M1010" s="3">
        <v>54.4</v>
      </c>
      <c r="N1010" s="3"/>
      <c r="O1010" s="2">
        <v>42</v>
      </c>
      <c r="P1010">
        <v>0</v>
      </c>
      <c r="Q1010" t="s">
        <v>14</v>
      </c>
      <c r="R1010" s="4">
        <v>102.53</v>
      </c>
      <c r="S1010" s="4">
        <v>0</v>
      </c>
      <c r="T1010" t="s">
        <v>31</v>
      </c>
      <c r="U1010" s="4">
        <v>9.3800000000000008</v>
      </c>
      <c r="V1010" s="4">
        <v>3.9430000000000001</v>
      </c>
      <c r="W1010" s="4">
        <v>102.53</v>
      </c>
    </row>
    <row r="1011" spans="1:23" ht="15" customHeight="1" x14ac:dyDescent="0.25">
      <c r="A1011">
        <v>905</v>
      </c>
      <c r="B1011" s="1">
        <v>45826</v>
      </c>
      <c r="C1011">
        <v>0</v>
      </c>
      <c r="D1011" t="s">
        <v>48</v>
      </c>
      <c r="E1011">
        <v>6</v>
      </c>
      <c r="F1011" t="s">
        <v>38</v>
      </c>
      <c r="G1011" t="s">
        <v>33</v>
      </c>
      <c r="H1011" t="s">
        <v>50</v>
      </c>
      <c r="I1011" t="s">
        <v>22</v>
      </c>
      <c r="J1011" t="s">
        <v>12</v>
      </c>
      <c r="K1011" s="2">
        <v>21000</v>
      </c>
      <c r="L1011" s="3">
        <v>24.1</v>
      </c>
      <c r="M1011" s="3">
        <v>52.3</v>
      </c>
      <c r="N1011" s="3">
        <v>0</v>
      </c>
      <c r="O1011" s="2">
        <v>221</v>
      </c>
      <c r="P1011">
        <v>1</v>
      </c>
      <c r="Q1011" t="s">
        <v>20</v>
      </c>
      <c r="R1011" s="4">
        <v>183.14</v>
      </c>
      <c r="S1011" s="4">
        <v>0</v>
      </c>
      <c r="T1011" t="s">
        <v>31</v>
      </c>
      <c r="U1011" s="4">
        <v>17.03</v>
      </c>
      <c r="V1011" s="4">
        <v>8.7210000000000001</v>
      </c>
      <c r="W1011" s="4">
        <v>183.14</v>
      </c>
    </row>
    <row r="1012" spans="1:23" ht="15" customHeight="1" x14ac:dyDescent="0.25">
      <c r="A1012">
        <v>169</v>
      </c>
      <c r="B1012" s="1">
        <v>45826</v>
      </c>
      <c r="C1012">
        <v>0</v>
      </c>
      <c r="D1012" t="s">
        <v>48</v>
      </c>
      <c r="E1012">
        <v>6</v>
      </c>
      <c r="F1012" t="s">
        <v>38</v>
      </c>
      <c r="G1012" t="s">
        <v>33</v>
      </c>
      <c r="H1012" t="s">
        <v>53</v>
      </c>
      <c r="I1012" t="s">
        <v>19</v>
      </c>
      <c r="J1012" t="s">
        <v>26</v>
      </c>
      <c r="K1012" s="2">
        <v>12500</v>
      </c>
      <c r="L1012" s="3">
        <v>21.1</v>
      </c>
      <c r="M1012" s="3">
        <v>55.6</v>
      </c>
      <c r="N1012" s="3">
        <v>0</v>
      </c>
      <c r="O1012" s="2">
        <v>0</v>
      </c>
      <c r="P1012">
        <v>0</v>
      </c>
      <c r="Q1012" t="s">
        <v>14</v>
      </c>
      <c r="R1012" s="4">
        <v>23.74</v>
      </c>
      <c r="S1012" s="4">
        <v>0</v>
      </c>
      <c r="T1012" t="s">
        <v>31</v>
      </c>
      <c r="U1012" s="4">
        <v>2.14</v>
      </c>
      <c r="V1012" s="4">
        <v>1.899</v>
      </c>
      <c r="W1012" s="4">
        <v>23.74</v>
      </c>
    </row>
    <row r="1013" spans="1:23" ht="15" customHeight="1" x14ac:dyDescent="0.25">
      <c r="A1013">
        <v>2009</v>
      </c>
      <c r="B1013" s="1">
        <v>45826</v>
      </c>
      <c r="C1013">
        <v>0</v>
      </c>
      <c r="D1013" t="s">
        <v>48</v>
      </c>
      <c r="E1013">
        <v>6</v>
      </c>
      <c r="F1013" t="s">
        <v>38</v>
      </c>
      <c r="G1013" t="s">
        <v>33</v>
      </c>
      <c r="H1013" t="s">
        <v>52</v>
      </c>
      <c r="I1013" t="s">
        <v>13</v>
      </c>
      <c r="J1013" t="s">
        <v>21</v>
      </c>
      <c r="K1013" s="2">
        <v>9800</v>
      </c>
      <c r="L1013" s="3">
        <v>20.5</v>
      </c>
      <c r="M1013" s="3">
        <v>78.400000000000006</v>
      </c>
      <c r="N1013" s="3">
        <v>0</v>
      </c>
      <c r="O1013" s="2">
        <v>341</v>
      </c>
      <c r="P1013">
        <v>0</v>
      </c>
      <c r="Q1013" t="s">
        <v>14</v>
      </c>
      <c r="R1013" s="4">
        <v>93.61</v>
      </c>
      <c r="S1013" s="4">
        <v>0</v>
      </c>
      <c r="T1013" t="s">
        <v>31</v>
      </c>
      <c r="U1013" s="4">
        <v>8.83</v>
      </c>
      <c r="V1013" s="4">
        <v>9.5519999999999996</v>
      </c>
      <c r="W1013" s="4">
        <v>93.61</v>
      </c>
    </row>
    <row r="1014" spans="1:23" ht="15" customHeight="1" x14ac:dyDescent="0.25">
      <c r="A1014">
        <v>1273</v>
      </c>
      <c r="B1014" s="1">
        <v>45826</v>
      </c>
      <c r="C1014">
        <v>0</v>
      </c>
      <c r="D1014" t="s">
        <v>48</v>
      </c>
      <c r="E1014">
        <v>6</v>
      </c>
      <c r="F1014" t="s">
        <v>38</v>
      </c>
      <c r="G1014" t="s">
        <v>33</v>
      </c>
      <c r="H1014" t="s">
        <v>51</v>
      </c>
      <c r="I1014" t="s">
        <v>25</v>
      </c>
      <c r="J1014" t="s">
        <v>15</v>
      </c>
      <c r="K1014" s="2">
        <v>17400</v>
      </c>
      <c r="L1014" s="3">
        <v>20.8</v>
      </c>
      <c r="M1014" s="3">
        <v>68.3</v>
      </c>
      <c r="N1014" s="3">
        <v>0</v>
      </c>
      <c r="O1014" s="2">
        <v>112</v>
      </c>
      <c r="P1014">
        <v>0</v>
      </c>
      <c r="Q1014" t="s">
        <v>14</v>
      </c>
      <c r="R1014" s="4">
        <v>52.45</v>
      </c>
      <c r="S1014" s="4">
        <v>0</v>
      </c>
      <c r="T1014" t="s">
        <v>31</v>
      </c>
      <c r="U1014" s="4">
        <v>4.87</v>
      </c>
      <c r="V1014" s="4">
        <v>3.0139999999999998</v>
      </c>
      <c r="W1014" s="4">
        <v>52.45</v>
      </c>
    </row>
    <row r="1015" spans="1:23" ht="15" customHeight="1" x14ac:dyDescent="0.25">
      <c r="A1015">
        <v>537</v>
      </c>
      <c r="B1015" s="1">
        <v>45826</v>
      </c>
      <c r="C1015">
        <v>0</v>
      </c>
      <c r="D1015" t="s">
        <v>48</v>
      </c>
      <c r="E1015">
        <v>6</v>
      </c>
      <c r="F1015" t="s">
        <v>38</v>
      </c>
      <c r="G1015" t="s">
        <v>33</v>
      </c>
      <c r="H1015" t="s">
        <v>54</v>
      </c>
      <c r="I1015" t="s">
        <v>16</v>
      </c>
      <c r="J1015" t="s">
        <v>24</v>
      </c>
      <c r="K1015" s="2">
        <v>8600</v>
      </c>
      <c r="L1015" s="3">
        <v>16.7</v>
      </c>
      <c r="M1015" s="3">
        <v>79.8</v>
      </c>
      <c r="N1015" s="3">
        <v>0</v>
      </c>
      <c r="O1015" s="2">
        <v>60</v>
      </c>
      <c r="P1015">
        <v>0</v>
      </c>
      <c r="Q1015" t="s">
        <v>14</v>
      </c>
      <c r="R1015" s="4">
        <v>21.05</v>
      </c>
      <c r="S1015" s="4">
        <v>0</v>
      </c>
      <c r="T1015" t="s">
        <v>31</v>
      </c>
      <c r="U1015" s="4">
        <v>1.95</v>
      </c>
      <c r="V1015" s="4">
        <v>2.448</v>
      </c>
      <c r="W1015" s="4">
        <v>21.05</v>
      </c>
    </row>
    <row r="1016" spans="1:23" ht="15" customHeight="1" x14ac:dyDescent="0.25">
      <c r="A1016">
        <v>906</v>
      </c>
      <c r="B1016" s="1">
        <v>45826.333333333343</v>
      </c>
      <c r="C1016">
        <v>8</v>
      </c>
      <c r="D1016" t="s">
        <v>48</v>
      </c>
      <c r="E1016">
        <v>6</v>
      </c>
      <c r="F1016" t="s">
        <v>38</v>
      </c>
      <c r="G1016" t="s">
        <v>33</v>
      </c>
      <c r="H1016" t="s">
        <v>50</v>
      </c>
      <c r="I1016" t="s">
        <v>22</v>
      </c>
      <c r="J1016" t="s">
        <v>12</v>
      </c>
      <c r="K1016" s="2">
        <v>21000</v>
      </c>
      <c r="L1016" s="3"/>
      <c r="M1016" s="3">
        <v>46.8</v>
      </c>
      <c r="N1016" s="3">
        <v>371.2</v>
      </c>
      <c r="O1016" s="2">
        <v>414</v>
      </c>
      <c r="P1016">
        <v>1</v>
      </c>
      <c r="Q1016" t="s">
        <v>20</v>
      </c>
      <c r="R1016" s="4">
        <v>212.31</v>
      </c>
      <c r="S1016" s="4">
        <v>77.650000000000006</v>
      </c>
      <c r="T1016" t="s">
        <v>34</v>
      </c>
      <c r="U1016" s="4">
        <v>19.670000000000002</v>
      </c>
      <c r="V1016" s="4">
        <v>10.11</v>
      </c>
      <c r="W1016" s="4">
        <v>134.66</v>
      </c>
    </row>
    <row r="1017" spans="1:23" ht="15" customHeight="1" x14ac:dyDescent="0.25">
      <c r="A1017">
        <v>1274</v>
      </c>
      <c r="B1017" s="1">
        <v>45826.333333333343</v>
      </c>
      <c r="C1017">
        <v>8</v>
      </c>
      <c r="D1017" t="s">
        <v>48</v>
      </c>
      <c r="E1017">
        <v>6</v>
      </c>
      <c r="F1017" t="s">
        <v>38</v>
      </c>
      <c r="G1017" t="s">
        <v>33</v>
      </c>
      <c r="H1017" t="s">
        <v>51</v>
      </c>
      <c r="I1017" t="s">
        <v>25</v>
      </c>
      <c r="J1017" t="s">
        <v>15</v>
      </c>
      <c r="K1017" s="2">
        <v>17400</v>
      </c>
      <c r="L1017" s="3">
        <v>22.2</v>
      </c>
      <c r="M1017" s="3">
        <v>59.6</v>
      </c>
      <c r="N1017" s="3">
        <v>415</v>
      </c>
      <c r="O1017" s="2">
        <v>3</v>
      </c>
      <c r="P1017">
        <v>0</v>
      </c>
      <c r="Q1017" t="s">
        <v>14</v>
      </c>
      <c r="R1017" s="4">
        <v>34.659999999999997</v>
      </c>
      <c r="S1017" s="4">
        <v>52.25</v>
      </c>
      <c r="T1017" t="s">
        <v>34</v>
      </c>
      <c r="U1017" s="4">
        <v>-1.02</v>
      </c>
      <c r="V1017" s="4">
        <v>1.992</v>
      </c>
      <c r="W1017" s="4">
        <v>0</v>
      </c>
    </row>
    <row r="1018" spans="1:23" ht="15" customHeight="1" x14ac:dyDescent="0.25">
      <c r="A1018">
        <v>1642</v>
      </c>
      <c r="B1018" s="1">
        <v>45826.333333333343</v>
      </c>
      <c r="C1018">
        <v>8</v>
      </c>
      <c r="D1018" t="s">
        <v>48</v>
      </c>
      <c r="E1018">
        <v>6</v>
      </c>
      <c r="F1018" t="s">
        <v>38</v>
      </c>
      <c r="G1018" t="s">
        <v>33</v>
      </c>
      <c r="H1018" t="s">
        <v>49</v>
      </c>
      <c r="I1018" t="s">
        <v>27</v>
      </c>
      <c r="J1018" t="s">
        <v>18</v>
      </c>
      <c r="K1018" s="2">
        <v>26000</v>
      </c>
      <c r="L1018" s="3">
        <v>23.2</v>
      </c>
      <c r="M1018" s="3">
        <v>59.9</v>
      </c>
      <c r="N1018" s="3">
        <v>480.7</v>
      </c>
      <c r="O1018" s="2">
        <v>176</v>
      </c>
      <c r="P1018">
        <v>1</v>
      </c>
      <c r="Q1018" t="s">
        <v>23</v>
      </c>
      <c r="R1018" s="4">
        <v>152.94999999999999</v>
      </c>
      <c r="S1018" s="4">
        <v>122.27</v>
      </c>
      <c r="T1018" t="s">
        <v>34</v>
      </c>
      <c r="U1018" s="4">
        <v>4.57</v>
      </c>
      <c r="V1018" s="4">
        <v>5.883</v>
      </c>
      <c r="W1018" s="4">
        <v>30.68</v>
      </c>
    </row>
    <row r="1019" spans="1:23" ht="15" customHeight="1" x14ac:dyDescent="0.25">
      <c r="A1019">
        <v>2010</v>
      </c>
      <c r="B1019" s="1">
        <v>45826.333333333343</v>
      </c>
      <c r="C1019">
        <v>8</v>
      </c>
      <c r="D1019" t="s">
        <v>48</v>
      </c>
      <c r="E1019">
        <v>6</v>
      </c>
      <c r="F1019" t="s">
        <v>38</v>
      </c>
      <c r="G1019" t="s">
        <v>33</v>
      </c>
      <c r="H1019" t="s">
        <v>52</v>
      </c>
      <c r="I1019" t="s">
        <v>13</v>
      </c>
      <c r="J1019" t="s">
        <v>21</v>
      </c>
      <c r="K1019" s="2">
        <v>9800</v>
      </c>
      <c r="L1019" s="3">
        <v>20.7</v>
      </c>
      <c r="M1019" s="3">
        <v>70.400000000000006</v>
      </c>
      <c r="N1019" s="3">
        <v>386.1</v>
      </c>
      <c r="O1019" s="2">
        <v>76</v>
      </c>
      <c r="P1019">
        <v>0</v>
      </c>
      <c r="Q1019" t="s">
        <v>14</v>
      </c>
      <c r="R1019" s="4">
        <v>19.36</v>
      </c>
      <c r="S1019" s="4">
        <v>0</v>
      </c>
      <c r="T1019" t="s">
        <v>34</v>
      </c>
      <c r="U1019" s="4">
        <v>2.78</v>
      </c>
      <c r="V1019" s="4">
        <v>1.976</v>
      </c>
      <c r="W1019" s="4">
        <v>19.36</v>
      </c>
    </row>
    <row r="1020" spans="1:23" ht="15" customHeight="1" x14ac:dyDescent="0.25">
      <c r="A1020">
        <v>538</v>
      </c>
      <c r="B1020" s="1">
        <v>45826.333333333343</v>
      </c>
      <c r="C1020">
        <v>8</v>
      </c>
      <c r="D1020" t="s">
        <v>48</v>
      </c>
      <c r="E1020">
        <v>6</v>
      </c>
      <c r="F1020" t="s">
        <v>38</v>
      </c>
      <c r="G1020" t="s">
        <v>33</v>
      </c>
      <c r="H1020" t="s">
        <v>54</v>
      </c>
      <c r="I1020" t="s">
        <v>16</v>
      </c>
      <c r="J1020" t="s">
        <v>24</v>
      </c>
      <c r="K1020" s="2">
        <v>8600</v>
      </c>
      <c r="L1020" s="3">
        <v>17.600000000000001</v>
      </c>
      <c r="M1020" s="3"/>
      <c r="N1020" s="3"/>
      <c r="O1020" s="2">
        <v>782</v>
      </c>
      <c r="P1020">
        <v>0</v>
      </c>
      <c r="Q1020" t="s">
        <v>14</v>
      </c>
      <c r="R1020" s="4">
        <v>82.41</v>
      </c>
      <c r="S1020" s="4">
        <v>31.88</v>
      </c>
      <c r="T1020" t="s">
        <v>34</v>
      </c>
      <c r="U1020" s="4">
        <v>7.41</v>
      </c>
      <c r="V1020" s="4">
        <v>9.5830000000000002</v>
      </c>
      <c r="W1020" s="4">
        <v>50.53</v>
      </c>
    </row>
    <row r="1021" spans="1:23" ht="15" customHeight="1" x14ac:dyDescent="0.25">
      <c r="A1021">
        <v>170</v>
      </c>
      <c r="B1021" s="1">
        <v>45826.333333333343</v>
      </c>
      <c r="C1021">
        <v>8</v>
      </c>
      <c r="D1021" t="s">
        <v>48</v>
      </c>
      <c r="E1021">
        <v>6</v>
      </c>
      <c r="F1021" t="s">
        <v>38</v>
      </c>
      <c r="G1021" t="s">
        <v>33</v>
      </c>
      <c r="H1021" t="s">
        <v>53</v>
      </c>
      <c r="I1021" t="s">
        <v>19</v>
      </c>
      <c r="J1021" t="s">
        <v>26</v>
      </c>
      <c r="K1021" s="2">
        <v>12500</v>
      </c>
      <c r="L1021" s="3">
        <v>23.9</v>
      </c>
      <c r="M1021" s="3">
        <v>50.6</v>
      </c>
      <c r="N1021" s="3"/>
      <c r="O1021" s="2">
        <v>375</v>
      </c>
      <c r="P1021">
        <v>1</v>
      </c>
      <c r="Q1021" t="s">
        <v>23</v>
      </c>
      <c r="R1021" s="4">
        <v>70.930000000000007</v>
      </c>
      <c r="S1021" s="4">
        <v>62.92</v>
      </c>
      <c r="T1021" t="s">
        <v>34</v>
      </c>
      <c r="U1021" s="4">
        <v>1.2</v>
      </c>
      <c r="V1021" s="4">
        <v>5.6740000000000004</v>
      </c>
      <c r="W1021" s="4">
        <v>8.01</v>
      </c>
    </row>
    <row r="1022" spans="1:23" ht="15" customHeight="1" x14ac:dyDescent="0.25">
      <c r="A1022">
        <v>171</v>
      </c>
      <c r="B1022" s="1">
        <v>45826.583333333343</v>
      </c>
      <c r="C1022">
        <v>14</v>
      </c>
      <c r="D1022" t="s">
        <v>48</v>
      </c>
      <c r="E1022">
        <v>6</v>
      </c>
      <c r="F1022" t="s">
        <v>38</v>
      </c>
      <c r="G1022" t="s">
        <v>33</v>
      </c>
      <c r="H1022" t="s">
        <v>53</v>
      </c>
      <c r="I1022" t="s">
        <v>19</v>
      </c>
      <c r="J1022" t="s">
        <v>26</v>
      </c>
      <c r="K1022" s="2">
        <v>12500</v>
      </c>
      <c r="L1022" s="3">
        <v>33.4</v>
      </c>
      <c r="M1022" s="3">
        <v>38.1</v>
      </c>
      <c r="N1022" s="3">
        <v>811.8</v>
      </c>
      <c r="O1022" s="2">
        <v>566</v>
      </c>
      <c r="P1022">
        <v>1</v>
      </c>
      <c r="Q1022" t="s">
        <v>20</v>
      </c>
      <c r="R1022" s="4">
        <v>119.93</v>
      </c>
      <c r="S1022" s="4">
        <v>108.64</v>
      </c>
      <c r="T1022" t="s">
        <v>34</v>
      </c>
      <c r="U1022" s="4">
        <v>1.66</v>
      </c>
      <c r="V1022" s="4">
        <v>9.5939999999999994</v>
      </c>
      <c r="W1022" s="4">
        <v>11.29</v>
      </c>
    </row>
    <row r="1023" spans="1:23" ht="15" customHeight="1" x14ac:dyDescent="0.25">
      <c r="A1023">
        <v>1643</v>
      </c>
      <c r="B1023" s="1">
        <v>45826.583333333343</v>
      </c>
      <c r="C1023">
        <v>14</v>
      </c>
      <c r="D1023" t="s">
        <v>48</v>
      </c>
      <c r="E1023">
        <v>6</v>
      </c>
      <c r="F1023" t="s">
        <v>38</v>
      </c>
      <c r="G1023" t="s">
        <v>33</v>
      </c>
      <c r="H1023" t="s">
        <v>49</v>
      </c>
      <c r="I1023" t="s">
        <v>27</v>
      </c>
      <c r="J1023" t="s">
        <v>18</v>
      </c>
      <c r="K1023" s="2">
        <v>26000</v>
      </c>
      <c r="L1023" s="3">
        <v>32.5</v>
      </c>
      <c r="M1023" s="3">
        <v>59</v>
      </c>
      <c r="N1023" s="3">
        <v>748</v>
      </c>
      <c r="O1023" s="2">
        <v>161</v>
      </c>
      <c r="P1023">
        <v>1</v>
      </c>
      <c r="Q1023" t="s">
        <v>20</v>
      </c>
      <c r="R1023" s="4">
        <v>183.76</v>
      </c>
      <c r="S1023" s="4">
        <v>199.47</v>
      </c>
      <c r="T1023" t="s">
        <v>34</v>
      </c>
      <c r="U1023" s="4">
        <v>-0.93</v>
      </c>
      <c r="V1023" s="4">
        <v>7.0679999999999996</v>
      </c>
      <c r="W1023" s="4">
        <v>0</v>
      </c>
    </row>
    <row r="1024" spans="1:23" ht="15" customHeight="1" x14ac:dyDescent="0.25">
      <c r="A1024">
        <v>1275</v>
      </c>
      <c r="B1024" s="1">
        <v>45826.583333333343</v>
      </c>
      <c r="C1024">
        <v>14</v>
      </c>
      <c r="D1024" t="s">
        <v>48</v>
      </c>
      <c r="E1024">
        <v>6</v>
      </c>
      <c r="F1024" t="s">
        <v>38</v>
      </c>
      <c r="G1024" t="s">
        <v>33</v>
      </c>
      <c r="H1024" t="s">
        <v>51</v>
      </c>
      <c r="I1024" t="s">
        <v>25</v>
      </c>
      <c r="J1024" t="s">
        <v>15</v>
      </c>
      <c r="K1024" s="2">
        <v>17400</v>
      </c>
      <c r="L1024" s="3">
        <v>31.8</v>
      </c>
      <c r="M1024" s="3">
        <v>77.2</v>
      </c>
      <c r="N1024" s="3">
        <v>491.1</v>
      </c>
      <c r="O1024" s="2">
        <v>1357</v>
      </c>
      <c r="P1024">
        <v>1</v>
      </c>
      <c r="Q1024" t="s">
        <v>20</v>
      </c>
      <c r="R1024" s="4">
        <v>220.28</v>
      </c>
      <c r="S1024" s="4">
        <v>60.07</v>
      </c>
      <c r="T1024" t="s">
        <v>34</v>
      </c>
      <c r="U1024" s="4">
        <v>24.61</v>
      </c>
      <c r="V1024" s="4">
        <v>12.66</v>
      </c>
      <c r="W1024" s="4">
        <v>160.21</v>
      </c>
    </row>
    <row r="1025" spans="1:23" ht="15" customHeight="1" x14ac:dyDescent="0.25">
      <c r="A1025">
        <v>539</v>
      </c>
      <c r="B1025" s="1">
        <v>45826.583333333343</v>
      </c>
      <c r="C1025">
        <v>14</v>
      </c>
      <c r="D1025" t="s">
        <v>48</v>
      </c>
      <c r="E1025">
        <v>6</v>
      </c>
      <c r="F1025" t="s">
        <v>38</v>
      </c>
      <c r="G1025" t="s">
        <v>33</v>
      </c>
      <c r="H1025" t="s">
        <v>54</v>
      </c>
      <c r="I1025" t="s">
        <v>16</v>
      </c>
      <c r="J1025" t="s">
        <v>24</v>
      </c>
      <c r="K1025" s="2">
        <v>8600</v>
      </c>
      <c r="L1025" s="3">
        <v>22.2</v>
      </c>
      <c r="M1025" s="3">
        <v>72.599999999999994</v>
      </c>
      <c r="N1025" s="3">
        <v>811.2</v>
      </c>
      <c r="O1025" s="2">
        <v>780</v>
      </c>
      <c r="P1025">
        <v>0</v>
      </c>
      <c r="Q1025" t="s">
        <v>14</v>
      </c>
      <c r="R1025" s="4">
        <v>82.25</v>
      </c>
      <c r="S1025" s="4">
        <v>66.209999999999994</v>
      </c>
      <c r="T1025" t="s">
        <v>34</v>
      </c>
      <c r="U1025" s="4">
        <v>2.4</v>
      </c>
      <c r="V1025" s="4">
        <v>9.5640000000000001</v>
      </c>
      <c r="W1025" s="4">
        <v>16.04</v>
      </c>
    </row>
    <row r="1026" spans="1:23" ht="15" customHeight="1" x14ac:dyDescent="0.25">
      <c r="A1026">
        <v>2011</v>
      </c>
      <c r="B1026" s="1">
        <v>45826.583333333343</v>
      </c>
      <c r="C1026">
        <v>14</v>
      </c>
      <c r="D1026" t="s">
        <v>48</v>
      </c>
      <c r="E1026">
        <v>6</v>
      </c>
      <c r="F1026" t="s">
        <v>38</v>
      </c>
      <c r="G1026" t="s">
        <v>33</v>
      </c>
      <c r="H1026" t="s">
        <v>52</v>
      </c>
      <c r="I1026" t="s">
        <v>13</v>
      </c>
      <c r="J1026" t="s">
        <v>21</v>
      </c>
      <c r="K1026" s="2">
        <v>9800</v>
      </c>
      <c r="L1026" s="3">
        <v>25.9</v>
      </c>
      <c r="M1026" s="3"/>
      <c r="N1026" s="3">
        <v>862.6</v>
      </c>
      <c r="O1026" s="2">
        <v>83</v>
      </c>
      <c r="P1026">
        <v>1</v>
      </c>
      <c r="Q1026" t="s">
        <v>20</v>
      </c>
      <c r="R1026" s="4">
        <v>184.48</v>
      </c>
      <c r="S1026" s="4">
        <v>0</v>
      </c>
      <c r="T1026" t="s">
        <v>34</v>
      </c>
      <c r="U1026" s="4">
        <v>3.6</v>
      </c>
      <c r="V1026" s="4">
        <v>18.824000000000002</v>
      </c>
      <c r="W1026" s="4">
        <v>184.48</v>
      </c>
    </row>
    <row r="1027" spans="1:23" ht="15" customHeight="1" x14ac:dyDescent="0.25">
      <c r="A1027">
        <v>907</v>
      </c>
      <c r="B1027" s="1">
        <v>45826.583333333343</v>
      </c>
      <c r="C1027">
        <v>14</v>
      </c>
      <c r="D1027" t="s">
        <v>48</v>
      </c>
      <c r="E1027">
        <v>6</v>
      </c>
      <c r="F1027" t="s">
        <v>38</v>
      </c>
      <c r="G1027" t="s">
        <v>33</v>
      </c>
      <c r="H1027" t="s">
        <v>50</v>
      </c>
      <c r="I1027" t="s">
        <v>22</v>
      </c>
      <c r="J1027" t="s">
        <v>12</v>
      </c>
      <c r="K1027" s="2">
        <v>21000</v>
      </c>
      <c r="L1027" s="3">
        <v>36.200000000000003</v>
      </c>
      <c r="M1027" s="3">
        <v>39.299999999999997</v>
      </c>
      <c r="N1027" s="3">
        <v>903.4</v>
      </c>
      <c r="O1027" s="2">
        <v>395</v>
      </c>
      <c r="P1027">
        <v>1</v>
      </c>
      <c r="Q1027" t="s">
        <v>20</v>
      </c>
      <c r="R1027" s="4">
        <v>248.67</v>
      </c>
      <c r="S1027" s="4">
        <v>156.11000000000001</v>
      </c>
      <c r="T1027" t="s">
        <v>34</v>
      </c>
      <c r="U1027" s="4">
        <v>14.12</v>
      </c>
      <c r="V1027" s="4">
        <v>11.840999999999999</v>
      </c>
      <c r="W1027" s="4">
        <v>92.56</v>
      </c>
    </row>
    <row r="1028" spans="1:23" ht="15" customHeight="1" x14ac:dyDescent="0.25">
      <c r="A1028">
        <v>1276</v>
      </c>
      <c r="B1028" s="1">
        <v>45826.833333333343</v>
      </c>
      <c r="C1028">
        <v>20</v>
      </c>
      <c r="D1028" t="s">
        <v>48</v>
      </c>
      <c r="E1028">
        <v>6</v>
      </c>
      <c r="F1028" t="s">
        <v>38</v>
      </c>
      <c r="G1028" t="s">
        <v>33</v>
      </c>
      <c r="H1028" t="s">
        <v>51</v>
      </c>
      <c r="I1028" t="s">
        <v>25</v>
      </c>
      <c r="J1028" t="s">
        <v>15</v>
      </c>
      <c r="K1028" s="2">
        <v>17400</v>
      </c>
      <c r="L1028" s="3">
        <v>26.2</v>
      </c>
      <c r="M1028" s="3">
        <v>62.1</v>
      </c>
      <c r="N1028" s="3">
        <v>72.5</v>
      </c>
      <c r="O1028" s="2">
        <v>1286</v>
      </c>
      <c r="P1028">
        <v>1</v>
      </c>
      <c r="Q1028" t="s">
        <v>20</v>
      </c>
      <c r="R1028" s="4">
        <v>280.42</v>
      </c>
      <c r="S1028" s="4">
        <v>9.4</v>
      </c>
      <c r="T1028" t="s">
        <v>37</v>
      </c>
      <c r="U1028" s="4">
        <v>61.14</v>
      </c>
      <c r="V1028" s="4">
        <v>16.116</v>
      </c>
      <c r="W1028" s="4">
        <v>271.02</v>
      </c>
    </row>
    <row r="1029" spans="1:23" ht="15" customHeight="1" x14ac:dyDescent="0.25">
      <c r="A1029">
        <v>1644</v>
      </c>
      <c r="B1029" s="1">
        <v>45826.833333333343</v>
      </c>
      <c r="C1029">
        <v>20</v>
      </c>
      <c r="D1029" t="s">
        <v>48</v>
      </c>
      <c r="E1029">
        <v>6</v>
      </c>
      <c r="F1029" t="s">
        <v>38</v>
      </c>
      <c r="G1029" t="s">
        <v>33</v>
      </c>
      <c r="H1029" t="s">
        <v>49</v>
      </c>
      <c r="I1029" t="s">
        <v>27</v>
      </c>
      <c r="J1029" t="s">
        <v>18</v>
      </c>
      <c r="K1029" s="2">
        <v>26000</v>
      </c>
      <c r="L1029" s="3">
        <v>28.6</v>
      </c>
      <c r="M1029" s="3"/>
      <c r="N1029" s="3">
        <v>32.4</v>
      </c>
      <c r="O1029" s="2">
        <v>176</v>
      </c>
      <c r="P1029">
        <v>1</v>
      </c>
      <c r="Q1029" t="s">
        <v>20</v>
      </c>
      <c r="R1029" s="4">
        <v>283.11</v>
      </c>
      <c r="S1029" s="4">
        <v>8.5299999999999994</v>
      </c>
      <c r="T1029" t="s">
        <v>37</v>
      </c>
      <c r="U1029" s="4">
        <v>63.1</v>
      </c>
      <c r="V1029" s="4">
        <v>10.888999999999999</v>
      </c>
      <c r="W1029" s="4">
        <v>274.58</v>
      </c>
    </row>
    <row r="1030" spans="1:23" ht="15" customHeight="1" x14ac:dyDescent="0.25">
      <c r="A1030">
        <v>2012</v>
      </c>
      <c r="B1030" s="1">
        <v>45826.833333333343</v>
      </c>
      <c r="C1030">
        <v>20</v>
      </c>
      <c r="D1030" t="s">
        <v>48</v>
      </c>
      <c r="E1030">
        <v>6</v>
      </c>
      <c r="F1030" t="s">
        <v>38</v>
      </c>
      <c r="G1030" t="s">
        <v>33</v>
      </c>
      <c r="H1030" t="s">
        <v>52</v>
      </c>
      <c r="I1030" t="s">
        <v>13</v>
      </c>
      <c r="J1030" t="s">
        <v>21</v>
      </c>
      <c r="K1030" s="2">
        <v>9800</v>
      </c>
      <c r="L1030" s="3">
        <v>25</v>
      </c>
      <c r="M1030" s="3">
        <v>79.599999999999994</v>
      </c>
      <c r="N1030" s="3">
        <v>61.7</v>
      </c>
      <c r="O1030" s="2">
        <v>306</v>
      </c>
      <c r="P1030">
        <v>1</v>
      </c>
      <c r="Q1030" t="s">
        <v>20</v>
      </c>
      <c r="R1030" s="4">
        <v>96.93</v>
      </c>
      <c r="S1030" s="4">
        <v>0</v>
      </c>
      <c r="T1030" t="s">
        <v>37</v>
      </c>
      <c r="U1030" s="4">
        <v>21.37</v>
      </c>
      <c r="V1030" s="4">
        <v>9.891</v>
      </c>
      <c r="W1030" s="4">
        <v>96.93</v>
      </c>
    </row>
    <row r="1031" spans="1:23" ht="15" customHeight="1" x14ac:dyDescent="0.25">
      <c r="A1031">
        <v>172</v>
      </c>
      <c r="B1031" s="1">
        <v>45826.833333333343</v>
      </c>
      <c r="C1031">
        <v>20</v>
      </c>
      <c r="D1031" t="s">
        <v>48</v>
      </c>
      <c r="E1031">
        <v>6</v>
      </c>
      <c r="F1031" t="s">
        <v>38</v>
      </c>
      <c r="G1031" t="s">
        <v>33</v>
      </c>
      <c r="H1031" t="s">
        <v>53</v>
      </c>
      <c r="I1031" t="s">
        <v>19</v>
      </c>
      <c r="J1031" t="s">
        <v>26</v>
      </c>
      <c r="K1031" s="2">
        <v>12500</v>
      </c>
      <c r="L1031" s="3">
        <v>25.2</v>
      </c>
      <c r="M1031" s="3">
        <v>48.4</v>
      </c>
      <c r="N1031" s="3">
        <v>76.8</v>
      </c>
      <c r="O1031" s="2">
        <v>68</v>
      </c>
      <c r="P1031">
        <v>1</v>
      </c>
      <c r="Q1031" t="s">
        <v>20</v>
      </c>
      <c r="R1031" s="4">
        <v>43.48</v>
      </c>
      <c r="S1031" s="4">
        <v>11.69</v>
      </c>
      <c r="T1031" t="s">
        <v>37</v>
      </c>
      <c r="U1031" s="4">
        <v>7.06</v>
      </c>
      <c r="V1031" s="4">
        <v>3.4780000000000002</v>
      </c>
      <c r="W1031" s="4">
        <v>31.79</v>
      </c>
    </row>
    <row r="1032" spans="1:23" ht="15" customHeight="1" x14ac:dyDescent="0.25">
      <c r="A1032">
        <v>540</v>
      </c>
      <c r="B1032" s="1">
        <v>45826.833333333343</v>
      </c>
      <c r="C1032">
        <v>20</v>
      </c>
      <c r="D1032" t="s">
        <v>48</v>
      </c>
      <c r="E1032">
        <v>6</v>
      </c>
      <c r="F1032" t="s">
        <v>38</v>
      </c>
      <c r="G1032" t="s">
        <v>33</v>
      </c>
      <c r="H1032" t="s">
        <v>54</v>
      </c>
      <c r="I1032" t="s">
        <v>16</v>
      </c>
      <c r="J1032" t="s">
        <v>24</v>
      </c>
      <c r="K1032" s="2">
        <v>8600</v>
      </c>
      <c r="L1032" s="3">
        <v>20.100000000000001</v>
      </c>
      <c r="M1032" s="3">
        <v>82.5</v>
      </c>
      <c r="N1032" s="3">
        <v>70.5</v>
      </c>
      <c r="O1032" s="2">
        <v>72</v>
      </c>
      <c r="P1032">
        <v>0</v>
      </c>
      <c r="Q1032" t="s">
        <v>14</v>
      </c>
      <c r="R1032" s="4">
        <v>21.86</v>
      </c>
      <c r="S1032" s="4">
        <v>5.0199999999999996</v>
      </c>
      <c r="T1032" t="s">
        <v>37</v>
      </c>
      <c r="U1032" s="4">
        <v>3.61</v>
      </c>
      <c r="V1032" s="4">
        <v>2.5419999999999998</v>
      </c>
      <c r="W1032" s="4">
        <v>16.84</v>
      </c>
    </row>
    <row r="1033" spans="1:23" ht="15" customHeight="1" x14ac:dyDescent="0.25">
      <c r="A1033">
        <v>908</v>
      </c>
      <c r="B1033" s="1">
        <v>45826.833333333343</v>
      </c>
      <c r="C1033">
        <v>20</v>
      </c>
      <c r="D1033" t="s">
        <v>48</v>
      </c>
      <c r="E1033">
        <v>6</v>
      </c>
      <c r="F1033" t="s">
        <v>38</v>
      </c>
      <c r="G1033" t="s">
        <v>33</v>
      </c>
      <c r="H1033" t="s">
        <v>50</v>
      </c>
      <c r="I1033" t="s">
        <v>22</v>
      </c>
      <c r="J1033" t="s">
        <v>12</v>
      </c>
      <c r="K1033" s="2">
        <v>21000</v>
      </c>
      <c r="L1033" s="3">
        <v>28.6</v>
      </c>
      <c r="M1033" s="3">
        <v>60.2</v>
      </c>
      <c r="N1033" s="3">
        <v>104.2</v>
      </c>
      <c r="O1033" s="2">
        <v>400</v>
      </c>
      <c r="P1033">
        <v>1</v>
      </c>
      <c r="Q1033" t="s">
        <v>20</v>
      </c>
      <c r="R1033" s="4">
        <v>287.23</v>
      </c>
      <c r="S1033" s="4">
        <v>20.100000000000001</v>
      </c>
      <c r="T1033" t="s">
        <v>37</v>
      </c>
      <c r="U1033" s="4">
        <v>61.01</v>
      </c>
      <c r="V1033" s="4">
        <v>13.678000000000001</v>
      </c>
      <c r="W1033" s="4">
        <v>267.13</v>
      </c>
    </row>
    <row r="1034" spans="1:23" ht="15" customHeight="1" x14ac:dyDescent="0.25">
      <c r="A1034">
        <v>1277</v>
      </c>
      <c r="B1034" s="1">
        <v>45830</v>
      </c>
      <c r="C1034">
        <v>0</v>
      </c>
      <c r="D1034" t="s">
        <v>55</v>
      </c>
      <c r="E1034">
        <v>6</v>
      </c>
      <c r="F1034" t="s">
        <v>38</v>
      </c>
      <c r="G1034" t="s">
        <v>36</v>
      </c>
      <c r="H1034" t="s">
        <v>51</v>
      </c>
      <c r="I1034" t="s">
        <v>25</v>
      </c>
      <c r="J1034" t="s">
        <v>15</v>
      </c>
      <c r="K1034" s="2">
        <v>17400</v>
      </c>
      <c r="L1034" s="3">
        <v>23</v>
      </c>
      <c r="M1034" s="3">
        <v>56.1</v>
      </c>
      <c r="N1034" s="3">
        <v>0</v>
      </c>
      <c r="O1034" s="2">
        <v>88</v>
      </c>
      <c r="P1034">
        <v>0</v>
      </c>
      <c r="Q1034" t="s">
        <v>14</v>
      </c>
      <c r="R1034" s="4">
        <v>51.14</v>
      </c>
      <c r="S1034" s="4">
        <v>0</v>
      </c>
      <c r="T1034" t="s">
        <v>31</v>
      </c>
      <c r="U1034" s="4">
        <v>4.7699999999999996</v>
      </c>
      <c r="V1034" s="4">
        <v>2.9390000000000001</v>
      </c>
      <c r="W1034" s="4">
        <v>51.14</v>
      </c>
    </row>
    <row r="1035" spans="1:23" ht="15" customHeight="1" x14ac:dyDescent="0.25">
      <c r="A1035">
        <v>173</v>
      </c>
      <c r="B1035" s="1">
        <v>45830</v>
      </c>
      <c r="C1035">
        <v>0</v>
      </c>
      <c r="D1035" t="s">
        <v>55</v>
      </c>
      <c r="E1035">
        <v>6</v>
      </c>
      <c r="F1035" t="s">
        <v>38</v>
      </c>
      <c r="G1035" t="s">
        <v>36</v>
      </c>
      <c r="H1035" t="s">
        <v>53</v>
      </c>
      <c r="I1035" t="s">
        <v>19</v>
      </c>
      <c r="J1035" t="s">
        <v>26</v>
      </c>
      <c r="K1035" s="2">
        <v>12500</v>
      </c>
      <c r="L1035" s="3"/>
      <c r="M1035" s="3">
        <v>62.1</v>
      </c>
      <c r="N1035" s="3">
        <v>0</v>
      </c>
      <c r="O1035" s="2">
        <v>40</v>
      </c>
      <c r="P1035">
        <v>0</v>
      </c>
      <c r="Q1035" t="s">
        <v>14</v>
      </c>
      <c r="R1035" s="4">
        <v>25.23</v>
      </c>
      <c r="S1035" s="4">
        <v>0</v>
      </c>
      <c r="T1035" t="s">
        <v>31</v>
      </c>
      <c r="U1035" s="4">
        <v>2.38</v>
      </c>
      <c r="V1035" s="4">
        <v>2.0179999999999998</v>
      </c>
      <c r="W1035" s="4">
        <v>25.23</v>
      </c>
    </row>
    <row r="1036" spans="1:23" ht="15" customHeight="1" x14ac:dyDescent="0.25">
      <c r="A1036">
        <v>909</v>
      </c>
      <c r="B1036" s="1">
        <v>45830</v>
      </c>
      <c r="C1036">
        <v>0</v>
      </c>
      <c r="D1036" t="s">
        <v>55</v>
      </c>
      <c r="E1036">
        <v>6</v>
      </c>
      <c r="F1036" t="s">
        <v>38</v>
      </c>
      <c r="G1036" t="s">
        <v>36</v>
      </c>
      <c r="H1036" t="s">
        <v>50</v>
      </c>
      <c r="I1036" t="s">
        <v>22</v>
      </c>
      <c r="J1036" t="s">
        <v>12</v>
      </c>
      <c r="K1036" s="2">
        <v>21000</v>
      </c>
      <c r="L1036" s="3"/>
      <c r="M1036" s="3">
        <v>42.5</v>
      </c>
      <c r="N1036" s="3">
        <v>0</v>
      </c>
      <c r="O1036" s="2">
        <v>217</v>
      </c>
      <c r="P1036">
        <v>1</v>
      </c>
      <c r="Q1036" t="s">
        <v>23</v>
      </c>
      <c r="R1036" s="4">
        <v>165.96</v>
      </c>
      <c r="S1036" s="4">
        <v>0</v>
      </c>
      <c r="T1036" t="s">
        <v>31</v>
      </c>
      <c r="U1036" s="4">
        <v>15.8</v>
      </c>
      <c r="V1036" s="4">
        <v>7.9029999999999996</v>
      </c>
      <c r="W1036" s="4">
        <v>165.96</v>
      </c>
    </row>
    <row r="1037" spans="1:23" ht="15" customHeight="1" x14ac:dyDescent="0.25">
      <c r="A1037">
        <v>2013</v>
      </c>
      <c r="B1037" s="1">
        <v>45830</v>
      </c>
      <c r="C1037">
        <v>0</v>
      </c>
      <c r="D1037" t="s">
        <v>55</v>
      </c>
      <c r="E1037">
        <v>6</v>
      </c>
      <c r="F1037" t="s">
        <v>38</v>
      </c>
      <c r="G1037" t="s">
        <v>36</v>
      </c>
      <c r="H1037" t="s">
        <v>52</v>
      </c>
      <c r="I1037" t="s">
        <v>13</v>
      </c>
      <c r="J1037" t="s">
        <v>21</v>
      </c>
      <c r="K1037" s="2">
        <v>9800</v>
      </c>
      <c r="L1037" s="3">
        <v>18.2</v>
      </c>
      <c r="M1037" s="3">
        <v>63.3</v>
      </c>
      <c r="N1037" s="3">
        <v>0</v>
      </c>
      <c r="O1037" s="2">
        <v>324</v>
      </c>
      <c r="P1037">
        <v>0</v>
      </c>
      <c r="Q1037" t="s">
        <v>14</v>
      </c>
      <c r="R1037" s="4">
        <v>96.18</v>
      </c>
      <c r="S1037" s="4">
        <v>0</v>
      </c>
      <c r="T1037" t="s">
        <v>31</v>
      </c>
      <c r="U1037" s="4">
        <v>8.9499999999999993</v>
      </c>
      <c r="V1037" s="4">
        <v>9.8140000000000001</v>
      </c>
      <c r="W1037" s="4">
        <v>96.18</v>
      </c>
    </row>
    <row r="1038" spans="1:23" ht="15" customHeight="1" x14ac:dyDescent="0.25">
      <c r="A1038">
        <v>1645</v>
      </c>
      <c r="B1038" s="1">
        <v>45830</v>
      </c>
      <c r="C1038">
        <v>0</v>
      </c>
      <c r="D1038" t="s">
        <v>55</v>
      </c>
      <c r="E1038">
        <v>6</v>
      </c>
      <c r="F1038" t="s">
        <v>38</v>
      </c>
      <c r="G1038" t="s">
        <v>36</v>
      </c>
      <c r="H1038" t="s">
        <v>49</v>
      </c>
      <c r="I1038" t="s">
        <v>27</v>
      </c>
      <c r="J1038" t="s">
        <v>18</v>
      </c>
      <c r="K1038" s="2">
        <v>26000</v>
      </c>
      <c r="L1038" s="3">
        <v>18.2</v>
      </c>
      <c r="M1038" s="3">
        <v>59.5</v>
      </c>
      <c r="N1038" s="3">
        <v>0</v>
      </c>
      <c r="O1038" s="2">
        <v>3</v>
      </c>
      <c r="P1038">
        <v>0</v>
      </c>
      <c r="Q1038" t="s">
        <v>14</v>
      </c>
      <c r="R1038" s="4">
        <v>73.84</v>
      </c>
      <c r="S1038" s="4">
        <v>0</v>
      </c>
      <c r="T1038" t="s">
        <v>31</v>
      </c>
      <c r="U1038" s="4">
        <v>6.81</v>
      </c>
      <c r="V1038" s="4">
        <v>2.84</v>
      </c>
      <c r="W1038" s="4">
        <v>73.84</v>
      </c>
    </row>
    <row r="1039" spans="1:23" ht="15" customHeight="1" x14ac:dyDescent="0.25">
      <c r="A1039">
        <v>541</v>
      </c>
      <c r="B1039" s="1">
        <v>45830</v>
      </c>
      <c r="C1039">
        <v>0</v>
      </c>
      <c r="D1039" t="s">
        <v>55</v>
      </c>
      <c r="E1039">
        <v>6</v>
      </c>
      <c r="F1039" t="s">
        <v>38</v>
      </c>
      <c r="G1039" t="s">
        <v>36</v>
      </c>
      <c r="H1039" t="s">
        <v>54</v>
      </c>
      <c r="I1039" t="s">
        <v>16</v>
      </c>
      <c r="J1039" t="s">
        <v>24</v>
      </c>
      <c r="K1039" s="2">
        <v>8600</v>
      </c>
      <c r="L1039" s="3">
        <v>19.399999999999999</v>
      </c>
      <c r="M1039" s="3">
        <v>74.3</v>
      </c>
      <c r="N1039" s="3">
        <v>0</v>
      </c>
      <c r="O1039" s="2"/>
      <c r="P1039">
        <v>0</v>
      </c>
      <c r="Q1039" t="s">
        <v>14</v>
      </c>
      <c r="R1039" s="4">
        <v>12.49</v>
      </c>
      <c r="S1039" s="4">
        <v>0</v>
      </c>
      <c r="T1039" t="s">
        <v>31</v>
      </c>
      <c r="U1039" s="4">
        <v>1.1499999999999999</v>
      </c>
      <c r="V1039" s="4">
        <v>1.452</v>
      </c>
      <c r="W1039" s="4">
        <v>12.49</v>
      </c>
    </row>
    <row r="1040" spans="1:23" ht="15" customHeight="1" x14ac:dyDescent="0.25">
      <c r="A1040">
        <v>2014</v>
      </c>
      <c r="B1040" s="1">
        <v>45830.333333333343</v>
      </c>
      <c r="C1040">
        <v>8</v>
      </c>
      <c r="D1040" t="s">
        <v>55</v>
      </c>
      <c r="E1040">
        <v>6</v>
      </c>
      <c r="F1040" t="s">
        <v>38</v>
      </c>
      <c r="G1040" t="s">
        <v>36</v>
      </c>
      <c r="H1040" t="s">
        <v>52</v>
      </c>
      <c r="I1040" t="s">
        <v>13</v>
      </c>
      <c r="J1040" t="s">
        <v>21</v>
      </c>
      <c r="K1040" s="2">
        <v>9800</v>
      </c>
      <c r="L1040" s="3">
        <v>23.7</v>
      </c>
      <c r="M1040" s="3">
        <v>65.900000000000006</v>
      </c>
      <c r="N1040" s="3">
        <v>432.4</v>
      </c>
      <c r="O1040" s="2">
        <v>103</v>
      </c>
      <c r="P1040">
        <v>1</v>
      </c>
      <c r="Q1040" t="s">
        <v>23</v>
      </c>
      <c r="R1040" s="4">
        <v>26.72</v>
      </c>
      <c r="S1040" s="4">
        <v>0</v>
      </c>
      <c r="T1040" t="s">
        <v>31</v>
      </c>
      <c r="U1040" s="4">
        <v>2.54</v>
      </c>
      <c r="V1040" s="4">
        <v>2.7269999999999999</v>
      </c>
      <c r="W1040" s="4">
        <v>26.72</v>
      </c>
    </row>
    <row r="1041" spans="1:23" ht="15" customHeight="1" x14ac:dyDescent="0.25">
      <c r="A1041">
        <v>1646</v>
      </c>
      <c r="B1041" s="1">
        <v>45830.333333333343</v>
      </c>
      <c r="C1041">
        <v>8</v>
      </c>
      <c r="D1041" t="s">
        <v>55</v>
      </c>
      <c r="E1041">
        <v>6</v>
      </c>
      <c r="F1041" t="s">
        <v>38</v>
      </c>
      <c r="G1041" t="s">
        <v>36</v>
      </c>
      <c r="H1041" t="s">
        <v>49</v>
      </c>
      <c r="I1041" t="s">
        <v>27</v>
      </c>
      <c r="J1041" t="s">
        <v>18</v>
      </c>
      <c r="K1041" s="2">
        <v>26000</v>
      </c>
      <c r="L1041" s="3">
        <v>24.8</v>
      </c>
      <c r="M1041" s="3">
        <v>43.7</v>
      </c>
      <c r="N1041" s="3">
        <v>446.6</v>
      </c>
      <c r="O1041" s="2">
        <v>57</v>
      </c>
      <c r="P1041">
        <v>1</v>
      </c>
      <c r="Q1041" t="s">
        <v>20</v>
      </c>
      <c r="R1041" s="4">
        <v>87.2</v>
      </c>
      <c r="S1041" s="4">
        <v>120.42</v>
      </c>
      <c r="T1041" t="s">
        <v>31</v>
      </c>
      <c r="U1041" s="4">
        <v>-1.26</v>
      </c>
      <c r="V1041" s="4">
        <v>3.3540000000000001</v>
      </c>
      <c r="W1041" s="4">
        <v>0</v>
      </c>
    </row>
    <row r="1042" spans="1:23" ht="15" customHeight="1" x14ac:dyDescent="0.25">
      <c r="A1042">
        <v>910</v>
      </c>
      <c r="B1042" s="1">
        <v>45830.333333333343</v>
      </c>
      <c r="C1042">
        <v>8</v>
      </c>
      <c r="D1042" t="s">
        <v>55</v>
      </c>
      <c r="E1042">
        <v>6</v>
      </c>
      <c r="F1042" t="s">
        <v>38</v>
      </c>
      <c r="G1042" t="s">
        <v>36</v>
      </c>
      <c r="H1042" t="s">
        <v>50</v>
      </c>
      <c r="I1042" t="s">
        <v>22</v>
      </c>
      <c r="J1042" t="s">
        <v>12</v>
      </c>
      <c r="K1042" s="2">
        <v>21000</v>
      </c>
      <c r="L1042" s="3">
        <v>27.1</v>
      </c>
      <c r="M1042" s="3">
        <v>43.6</v>
      </c>
      <c r="N1042" s="3">
        <v>451.1</v>
      </c>
      <c r="O1042" s="2">
        <v>443</v>
      </c>
      <c r="P1042">
        <v>1</v>
      </c>
      <c r="Q1042" t="s">
        <v>20</v>
      </c>
      <c r="R1042" s="4">
        <v>209.37</v>
      </c>
      <c r="S1042" s="4">
        <v>91.72</v>
      </c>
      <c r="T1042" t="s">
        <v>31</v>
      </c>
      <c r="U1042" s="4">
        <v>10.98</v>
      </c>
      <c r="V1042" s="4">
        <v>9.9700000000000006</v>
      </c>
      <c r="W1042" s="4">
        <v>117.65</v>
      </c>
    </row>
    <row r="1043" spans="1:23" ht="15" customHeight="1" x14ac:dyDescent="0.25">
      <c r="A1043">
        <v>542</v>
      </c>
      <c r="B1043" s="1">
        <v>45830.333333333343</v>
      </c>
      <c r="C1043">
        <v>8</v>
      </c>
      <c r="D1043" t="s">
        <v>55</v>
      </c>
      <c r="E1043">
        <v>6</v>
      </c>
      <c r="F1043" t="s">
        <v>38</v>
      </c>
      <c r="G1043" t="s">
        <v>36</v>
      </c>
      <c r="H1043" t="s">
        <v>54</v>
      </c>
      <c r="I1043" t="s">
        <v>16</v>
      </c>
      <c r="J1043" t="s">
        <v>24</v>
      </c>
      <c r="K1043" s="2">
        <v>8600</v>
      </c>
      <c r="L1043" s="3">
        <v>20.3</v>
      </c>
      <c r="M1043" s="3">
        <v>93.1</v>
      </c>
      <c r="N1043" s="3">
        <v>212.2</v>
      </c>
      <c r="O1043" s="2">
        <v>12</v>
      </c>
      <c r="P1043">
        <v>0</v>
      </c>
      <c r="Q1043" t="s">
        <v>14</v>
      </c>
      <c r="R1043" s="4">
        <v>9.4600000000000009</v>
      </c>
      <c r="S1043" s="4">
        <v>17.059999999999999</v>
      </c>
      <c r="T1043" t="s">
        <v>31</v>
      </c>
      <c r="U1043" s="4">
        <v>-0.28000000000000003</v>
      </c>
      <c r="V1043" s="4">
        <v>1.1000000000000001</v>
      </c>
      <c r="W1043" s="4">
        <v>0</v>
      </c>
    </row>
    <row r="1044" spans="1:23" ht="15" customHeight="1" x14ac:dyDescent="0.25">
      <c r="A1044">
        <v>174</v>
      </c>
      <c r="B1044" s="1">
        <v>45830.333333333343</v>
      </c>
      <c r="C1044">
        <v>8</v>
      </c>
      <c r="D1044" t="s">
        <v>55</v>
      </c>
      <c r="E1044">
        <v>6</v>
      </c>
      <c r="F1044" t="s">
        <v>38</v>
      </c>
      <c r="G1044" t="s">
        <v>36</v>
      </c>
      <c r="H1044" t="s">
        <v>53</v>
      </c>
      <c r="I1044" t="s">
        <v>19</v>
      </c>
      <c r="J1044" t="s">
        <v>26</v>
      </c>
      <c r="K1044" s="2">
        <v>12500</v>
      </c>
      <c r="L1044" s="3">
        <v>28</v>
      </c>
      <c r="M1044" s="3">
        <v>58.9</v>
      </c>
      <c r="N1044" s="3">
        <v>426.5</v>
      </c>
      <c r="O1044" s="2">
        <v>74</v>
      </c>
      <c r="P1044">
        <v>0</v>
      </c>
      <c r="Q1044" t="s">
        <v>14</v>
      </c>
      <c r="R1044" s="4">
        <v>20.97</v>
      </c>
      <c r="S1044" s="4">
        <v>69.05</v>
      </c>
      <c r="T1044" t="s">
        <v>31</v>
      </c>
      <c r="U1044" s="4">
        <v>-1.75</v>
      </c>
      <c r="V1044" s="4">
        <v>1.6779999999999999</v>
      </c>
      <c r="W1044" s="4">
        <v>0</v>
      </c>
    </row>
    <row r="1045" spans="1:23" ht="15" customHeight="1" x14ac:dyDescent="0.25">
      <c r="A1045">
        <v>1278</v>
      </c>
      <c r="B1045" s="1">
        <v>45830.333333333343</v>
      </c>
      <c r="C1045">
        <v>8</v>
      </c>
      <c r="D1045" t="s">
        <v>55</v>
      </c>
      <c r="E1045">
        <v>6</v>
      </c>
      <c r="F1045" t="s">
        <v>38</v>
      </c>
      <c r="G1045" t="s">
        <v>36</v>
      </c>
      <c r="H1045" t="s">
        <v>51</v>
      </c>
      <c r="I1045" t="s">
        <v>25</v>
      </c>
      <c r="J1045" t="s">
        <v>15</v>
      </c>
      <c r="K1045" s="2">
        <v>17400</v>
      </c>
      <c r="L1045" s="3">
        <v>24.2</v>
      </c>
      <c r="M1045" s="3">
        <v>75.099999999999994</v>
      </c>
      <c r="N1045" s="3">
        <v>367.7</v>
      </c>
      <c r="O1045" s="2">
        <v>30</v>
      </c>
      <c r="P1045">
        <v>1</v>
      </c>
      <c r="Q1045" t="s">
        <v>20</v>
      </c>
      <c r="R1045" s="4">
        <v>37.840000000000003</v>
      </c>
      <c r="S1045" s="4">
        <v>46.24</v>
      </c>
      <c r="T1045" t="s">
        <v>31</v>
      </c>
      <c r="U1045" s="4">
        <v>-0.3</v>
      </c>
      <c r="V1045" s="4">
        <v>2.1749999999999998</v>
      </c>
      <c r="W1045" s="4">
        <v>0</v>
      </c>
    </row>
    <row r="1046" spans="1:23" ht="15" customHeight="1" x14ac:dyDescent="0.25">
      <c r="A1046">
        <v>543</v>
      </c>
      <c r="B1046" s="1">
        <v>45830.583333333343</v>
      </c>
      <c r="C1046">
        <v>14</v>
      </c>
      <c r="D1046" t="s">
        <v>55</v>
      </c>
      <c r="E1046">
        <v>6</v>
      </c>
      <c r="F1046" t="s">
        <v>38</v>
      </c>
      <c r="G1046" t="s">
        <v>36</v>
      </c>
      <c r="H1046" t="s">
        <v>54</v>
      </c>
      <c r="I1046" t="s">
        <v>16</v>
      </c>
      <c r="J1046" t="s">
        <v>24</v>
      </c>
      <c r="K1046" s="2">
        <v>8600</v>
      </c>
      <c r="L1046" s="3">
        <v>23.5</v>
      </c>
      <c r="M1046" s="3">
        <v>72.400000000000006</v>
      </c>
      <c r="N1046" s="3">
        <v>723.4</v>
      </c>
      <c r="O1046" s="2">
        <v>0</v>
      </c>
      <c r="P1046">
        <v>0</v>
      </c>
      <c r="Q1046" t="s">
        <v>14</v>
      </c>
      <c r="R1046" s="4">
        <v>8.07</v>
      </c>
      <c r="S1046" s="4">
        <v>51.43</v>
      </c>
      <c r="T1046" t="s">
        <v>31</v>
      </c>
      <c r="U1046" s="4">
        <v>-1.59</v>
      </c>
      <c r="V1046" s="4">
        <v>0.93799999999999994</v>
      </c>
      <c r="W1046" s="4">
        <v>0</v>
      </c>
    </row>
    <row r="1047" spans="1:23" ht="15" customHeight="1" x14ac:dyDescent="0.25">
      <c r="A1047">
        <v>1279</v>
      </c>
      <c r="B1047" s="1">
        <v>45830.583333333343</v>
      </c>
      <c r="C1047">
        <v>14</v>
      </c>
      <c r="D1047" t="s">
        <v>55</v>
      </c>
      <c r="E1047">
        <v>6</v>
      </c>
      <c r="F1047" t="s">
        <v>38</v>
      </c>
      <c r="G1047" t="s">
        <v>36</v>
      </c>
      <c r="H1047" t="s">
        <v>51</v>
      </c>
      <c r="I1047" t="s">
        <v>25</v>
      </c>
      <c r="J1047" t="s">
        <v>15</v>
      </c>
      <c r="K1047" s="2">
        <v>17400</v>
      </c>
      <c r="L1047" s="3">
        <v>30.4</v>
      </c>
      <c r="M1047" s="3">
        <v>46.2</v>
      </c>
      <c r="N1047" s="3">
        <v>923.1</v>
      </c>
      <c r="O1047" s="2">
        <v>1555</v>
      </c>
      <c r="P1047">
        <v>1</v>
      </c>
      <c r="Q1047" t="s">
        <v>20</v>
      </c>
      <c r="R1047" s="4">
        <v>255.8</v>
      </c>
      <c r="S1047" s="4">
        <v>120.02</v>
      </c>
      <c r="T1047" t="s">
        <v>31</v>
      </c>
      <c r="U1047" s="4">
        <v>12.36</v>
      </c>
      <c r="V1047" s="4">
        <v>14.701000000000001</v>
      </c>
      <c r="W1047" s="4">
        <v>135.78</v>
      </c>
    </row>
    <row r="1048" spans="1:23" ht="15" customHeight="1" x14ac:dyDescent="0.25">
      <c r="A1048">
        <v>911</v>
      </c>
      <c r="B1048" s="1">
        <v>45830.583333333343</v>
      </c>
      <c r="C1048">
        <v>14</v>
      </c>
      <c r="D1048" t="s">
        <v>55</v>
      </c>
      <c r="E1048">
        <v>6</v>
      </c>
      <c r="F1048" t="s">
        <v>38</v>
      </c>
      <c r="G1048" t="s">
        <v>36</v>
      </c>
      <c r="H1048" t="s">
        <v>50</v>
      </c>
      <c r="I1048" t="s">
        <v>22</v>
      </c>
      <c r="J1048" t="s">
        <v>12</v>
      </c>
      <c r="K1048" s="2">
        <v>21000</v>
      </c>
      <c r="L1048" s="3">
        <v>36</v>
      </c>
      <c r="M1048" s="3">
        <v>31.1</v>
      </c>
      <c r="N1048" s="3">
        <v>896.2</v>
      </c>
      <c r="O1048" s="2">
        <v>363</v>
      </c>
      <c r="P1048">
        <v>1</v>
      </c>
      <c r="Q1048" t="s">
        <v>20</v>
      </c>
      <c r="R1048" s="4">
        <v>234.34</v>
      </c>
      <c r="S1048" s="4">
        <v>172.13</v>
      </c>
      <c r="T1048" t="s">
        <v>31</v>
      </c>
      <c r="U1048" s="4">
        <v>5.9</v>
      </c>
      <c r="V1048" s="4">
        <v>11.159000000000001</v>
      </c>
      <c r="W1048" s="4">
        <v>62.21</v>
      </c>
    </row>
    <row r="1049" spans="1:23" ht="15" customHeight="1" x14ac:dyDescent="0.25">
      <c r="A1049">
        <v>175</v>
      </c>
      <c r="B1049" s="1">
        <v>45830.583333333343</v>
      </c>
      <c r="C1049">
        <v>14</v>
      </c>
      <c r="D1049" t="s">
        <v>55</v>
      </c>
      <c r="E1049">
        <v>6</v>
      </c>
      <c r="F1049" t="s">
        <v>38</v>
      </c>
      <c r="G1049" t="s">
        <v>36</v>
      </c>
      <c r="H1049" t="s">
        <v>53</v>
      </c>
      <c r="I1049" t="s">
        <v>19</v>
      </c>
      <c r="J1049" t="s">
        <v>26</v>
      </c>
      <c r="K1049" s="2">
        <v>12500</v>
      </c>
      <c r="L1049" s="3">
        <v>29.6</v>
      </c>
      <c r="M1049" s="3">
        <v>36.200000000000003</v>
      </c>
      <c r="N1049" s="3">
        <v>903.6</v>
      </c>
      <c r="O1049" s="2">
        <v>49</v>
      </c>
      <c r="P1049">
        <v>0</v>
      </c>
      <c r="Q1049" t="s">
        <v>14</v>
      </c>
      <c r="R1049" s="4">
        <v>17.989999999999998</v>
      </c>
      <c r="S1049" s="4">
        <v>133.51</v>
      </c>
      <c r="T1049" t="s">
        <v>31</v>
      </c>
      <c r="U1049" s="4">
        <v>-4.17</v>
      </c>
      <c r="V1049" s="4">
        <v>1.4390000000000001</v>
      </c>
      <c r="W1049" s="4">
        <v>0</v>
      </c>
    </row>
    <row r="1050" spans="1:23" ht="15" customHeight="1" x14ac:dyDescent="0.25">
      <c r="A1050">
        <v>1647</v>
      </c>
      <c r="B1050" s="1">
        <v>45830.583333333343</v>
      </c>
      <c r="C1050">
        <v>14</v>
      </c>
      <c r="D1050" t="s">
        <v>55</v>
      </c>
      <c r="E1050">
        <v>6</v>
      </c>
      <c r="F1050" t="s">
        <v>38</v>
      </c>
      <c r="G1050" t="s">
        <v>36</v>
      </c>
      <c r="H1050" t="s">
        <v>49</v>
      </c>
      <c r="I1050" t="s">
        <v>27</v>
      </c>
      <c r="J1050" t="s">
        <v>18</v>
      </c>
      <c r="K1050" s="2">
        <v>26000</v>
      </c>
      <c r="L1050" s="3">
        <v>31.4</v>
      </c>
      <c r="M1050" s="3">
        <v>58.5</v>
      </c>
      <c r="N1050" s="3">
        <v>867.9</v>
      </c>
      <c r="O1050" s="2">
        <v>66</v>
      </c>
      <c r="P1050">
        <v>1</v>
      </c>
      <c r="Q1050" t="s">
        <v>20</v>
      </c>
      <c r="R1050" s="4">
        <v>109.21</v>
      </c>
      <c r="S1050" s="4">
        <v>233.6</v>
      </c>
      <c r="T1050" t="s">
        <v>31</v>
      </c>
      <c r="U1050" s="4">
        <v>-4.54</v>
      </c>
      <c r="V1050" s="4">
        <v>4.2</v>
      </c>
      <c r="W1050" s="4">
        <v>0</v>
      </c>
    </row>
    <row r="1051" spans="1:23" ht="15" customHeight="1" x14ac:dyDescent="0.25">
      <c r="A1051">
        <v>2015</v>
      </c>
      <c r="B1051" s="1">
        <v>45830.583333333343</v>
      </c>
      <c r="C1051">
        <v>14</v>
      </c>
      <c r="D1051" t="s">
        <v>55</v>
      </c>
      <c r="E1051">
        <v>6</v>
      </c>
      <c r="F1051" t="s">
        <v>38</v>
      </c>
      <c r="G1051" t="s">
        <v>36</v>
      </c>
      <c r="H1051" t="s">
        <v>52</v>
      </c>
      <c r="I1051" t="s">
        <v>13</v>
      </c>
      <c r="J1051" t="s">
        <v>21</v>
      </c>
      <c r="K1051" s="2">
        <v>9800</v>
      </c>
      <c r="L1051" s="3">
        <v>30.3</v>
      </c>
      <c r="M1051" s="3">
        <v>61.4</v>
      </c>
      <c r="N1051" s="3">
        <v>793.5</v>
      </c>
      <c r="O1051" s="2">
        <v>111</v>
      </c>
      <c r="P1051">
        <v>1</v>
      </c>
      <c r="Q1051" t="s">
        <v>20</v>
      </c>
      <c r="R1051" s="4">
        <v>35.97</v>
      </c>
      <c r="S1051" s="4">
        <v>0</v>
      </c>
      <c r="T1051" t="s">
        <v>31</v>
      </c>
      <c r="U1051" s="4">
        <v>3.35</v>
      </c>
      <c r="V1051" s="4">
        <v>3.67</v>
      </c>
      <c r="W1051" s="4">
        <v>35.97</v>
      </c>
    </row>
    <row r="1052" spans="1:23" ht="15" customHeight="1" x14ac:dyDescent="0.25">
      <c r="A1052">
        <v>1648</v>
      </c>
      <c r="B1052" s="1">
        <v>45830.833333333343</v>
      </c>
      <c r="C1052">
        <v>20</v>
      </c>
      <c r="D1052" t="s">
        <v>55</v>
      </c>
      <c r="E1052">
        <v>6</v>
      </c>
      <c r="F1052" t="s">
        <v>38</v>
      </c>
      <c r="G1052" t="s">
        <v>36</v>
      </c>
      <c r="H1052" t="s">
        <v>49</v>
      </c>
      <c r="I1052" t="s">
        <v>27</v>
      </c>
      <c r="J1052" t="s">
        <v>18</v>
      </c>
      <c r="K1052" s="2">
        <v>26000</v>
      </c>
      <c r="L1052" s="3">
        <v>28.2</v>
      </c>
      <c r="M1052" s="3">
        <v>48</v>
      </c>
      <c r="N1052" s="3">
        <v>32.700000000000003</v>
      </c>
      <c r="O1052" s="2">
        <v>63</v>
      </c>
      <c r="P1052">
        <v>1</v>
      </c>
      <c r="Q1052" t="s">
        <v>20</v>
      </c>
      <c r="R1052" s="4">
        <v>162.6</v>
      </c>
      <c r="S1052" s="4">
        <v>9.1</v>
      </c>
      <c r="T1052" t="s">
        <v>31</v>
      </c>
      <c r="U1052" s="4">
        <v>14.46</v>
      </c>
      <c r="V1052" s="4">
        <v>6.2539999999999996</v>
      </c>
      <c r="W1052" s="4">
        <v>153.5</v>
      </c>
    </row>
    <row r="1053" spans="1:23" ht="15" customHeight="1" x14ac:dyDescent="0.25">
      <c r="A1053">
        <v>912</v>
      </c>
      <c r="B1053" s="1">
        <v>45830.833333333343</v>
      </c>
      <c r="C1053">
        <v>20</v>
      </c>
      <c r="D1053" t="s">
        <v>55</v>
      </c>
      <c r="E1053">
        <v>6</v>
      </c>
      <c r="F1053" t="s">
        <v>38</v>
      </c>
      <c r="G1053" t="s">
        <v>36</v>
      </c>
      <c r="H1053" t="s">
        <v>50</v>
      </c>
      <c r="I1053" t="s">
        <v>22</v>
      </c>
      <c r="J1053" t="s">
        <v>12</v>
      </c>
      <c r="K1053" s="2">
        <v>21000</v>
      </c>
      <c r="L1053" s="3">
        <v>27.5</v>
      </c>
      <c r="M1053" s="3">
        <v>49.5</v>
      </c>
      <c r="N1053" s="3">
        <v>76.5</v>
      </c>
      <c r="O1053" s="2">
        <v>385</v>
      </c>
      <c r="P1053">
        <v>1</v>
      </c>
      <c r="Q1053" t="s">
        <v>20</v>
      </c>
      <c r="R1053" s="4">
        <v>314.75</v>
      </c>
      <c r="S1053" s="4">
        <v>13.92</v>
      </c>
      <c r="T1053" t="s">
        <v>31</v>
      </c>
      <c r="U1053" s="4">
        <v>27.41</v>
      </c>
      <c r="V1053" s="4">
        <v>14.988</v>
      </c>
      <c r="W1053" s="4">
        <v>300.83</v>
      </c>
    </row>
    <row r="1054" spans="1:23" ht="15" customHeight="1" x14ac:dyDescent="0.25">
      <c r="A1054">
        <v>2016</v>
      </c>
      <c r="B1054" s="1">
        <v>45830.833333333343</v>
      </c>
      <c r="C1054">
        <v>20</v>
      </c>
      <c r="D1054" t="s">
        <v>55</v>
      </c>
      <c r="E1054">
        <v>6</v>
      </c>
      <c r="F1054" t="s">
        <v>38</v>
      </c>
      <c r="G1054" t="s">
        <v>36</v>
      </c>
      <c r="H1054" t="s">
        <v>52</v>
      </c>
      <c r="I1054" t="s">
        <v>13</v>
      </c>
      <c r="J1054" t="s">
        <v>21</v>
      </c>
      <c r="K1054" s="2">
        <v>9800</v>
      </c>
      <c r="L1054" s="3">
        <v>24.4</v>
      </c>
      <c r="M1054" s="3">
        <v>72.5</v>
      </c>
      <c r="N1054" s="3">
        <v>59.2</v>
      </c>
      <c r="O1054" s="2">
        <v>312</v>
      </c>
      <c r="P1054">
        <v>1</v>
      </c>
      <c r="Q1054" t="s">
        <v>20</v>
      </c>
      <c r="R1054" s="4">
        <v>96.51</v>
      </c>
      <c r="S1054" s="4">
        <v>0</v>
      </c>
      <c r="T1054" t="s">
        <v>31</v>
      </c>
      <c r="U1054" s="4">
        <v>9.1199999999999992</v>
      </c>
      <c r="V1054" s="4">
        <v>9.8480000000000008</v>
      </c>
      <c r="W1054" s="4">
        <v>96.51</v>
      </c>
    </row>
    <row r="1055" spans="1:23" ht="15" customHeight="1" x14ac:dyDescent="0.25">
      <c r="A1055">
        <v>1280</v>
      </c>
      <c r="B1055" s="1">
        <v>45830.833333333343</v>
      </c>
      <c r="C1055">
        <v>20</v>
      </c>
      <c r="D1055" t="s">
        <v>55</v>
      </c>
      <c r="E1055">
        <v>6</v>
      </c>
      <c r="F1055" t="s">
        <v>38</v>
      </c>
      <c r="G1055" t="s">
        <v>36</v>
      </c>
      <c r="H1055" t="s">
        <v>51</v>
      </c>
      <c r="I1055" t="s">
        <v>25</v>
      </c>
      <c r="J1055" t="s">
        <v>15</v>
      </c>
      <c r="K1055" s="2">
        <v>17400</v>
      </c>
      <c r="L1055" s="3">
        <v>25.9</v>
      </c>
      <c r="M1055" s="3">
        <v>64.400000000000006</v>
      </c>
      <c r="N1055" s="3">
        <v>66.099999999999994</v>
      </c>
      <c r="O1055" s="2">
        <v>1440</v>
      </c>
      <c r="P1055">
        <v>1</v>
      </c>
      <c r="Q1055" t="s">
        <v>20</v>
      </c>
      <c r="R1055" s="4">
        <v>297.85000000000002</v>
      </c>
      <c r="S1055" s="4">
        <v>8.61</v>
      </c>
      <c r="T1055" t="s">
        <v>31</v>
      </c>
      <c r="U1055" s="4">
        <v>26.38</v>
      </c>
      <c r="V1055" s="4">
        <v>17.117999999999999</v>
      </c>
      <c r="W1055" s="4">
        <v>289.24</v>
      </c>
    </row>
    <row r="1056" spans="1:23" ht="15" customHeight="1" x14ac:dyDescent="0.25">
      <c r="A1056">
        <v>176</v>
      </c>
      <c r="B1056" s="1">
        <v>45830.833333333343</v>
      </c>
      <c r="C1056">
        <v>20</v>
      </c>
      <c r="D1056" t="s">
        <v>55</v>
      </c>
      <c r="E1056">
        <v>6</v>
      </c>
      <c r="F1056" t="s">
        <v>38</v>
      </c>
      <c r="G1056" t="s">
        <v>36</v>
      </c>
      <c r="H1056" t="s">
        <v>53</v>
      </c>
      <c r="I1056" t="s">
        <v>19</v>
      </c>
      <c r="J1056" t="s">
        <v>26</v>
      </c>
      <c r="K1056" s="2">
        <v>12500</v>
      </c>
      <c r="L1056" s="3">
        <v>26.8</v>
      </c>
      <c r="M1056" s="3">
        <v>44.4</v>
      </c>
      <c r="N1056" s="3">
        <v>92.7</v>
      </c>
      <c r="O1056" s="2">
        <v>14</v>
      </c>
      <c r="P1056">
        <v>0</v>
      </c>
      <c r="Q1056" t="s">
        <v>14</v>
      </c>
      <c r="R1056" s="4">
        <v>26.1</v>
      </c>
      <c r="S1056" s="4">
        <v>13.89</v>
      </c>
      <c r="T1056" t="s">
        <v>31</v>
      </c>
      <c r="U1056" s="4">
        <v>1.1299999999999999</v>
      </c>
      <c r="V1056" s="4">
        <v>2.0880000000000001</v>
      </c>
      <c r="W1056" s="4">
        <v>12.21</v>
      </c>
    </row>
    <row r="1057" spans="1:23" ht="15" customHeight="1" x14ac:dyDescent="0.25">
      <c r="A1057">
        <v>544</v>
      </c>
      <c r="B1057" s="1">
        <v>45830.833333333343</v>
      </c>
      <c r="C1057">
        <v>20</v>
      </c>
      <c r="D1057" t="s">
        <v>55</v>
      </c>
      <c r="E1057">
        <v>6</v>
      </c>
      <c r="F1057" t="s">
        <v>38</v>
      </c>
      <c r="G1057" t="s">
        <v>36</v>
      </c>
      <c r="H1057" t="s">
        <v>54</v>
      </c>
      <c r="I1057" t="s">
        <v>16</v>
      </c>
      <c r="J1057" t="s">
        <v>24</v>
      </c>
      <c r="K1057" s="2">
        <v>8600</v>
      </c>
      <c r="L1057" s="3">
        <v>21.4</v>
      </c>
      <c r="M1057" s="3">
        <v>78.400000000000006</v>
      </c>
      <c r="N1057" s="3">
        <v>80.5</v>
      </c>
      <c r="O1057" s="2">
        <v>46</v>
      </c>
      <c r="P1057">
        <v>0</v>
      </c>
      <c r="Q1057" t="s">
        <v>14</v>
      </c>
      <c r="R1057" s="4">
        <v>14.8</v>
      </c>
      <c r="S1057" s="4">
        <v>6.21</v>
      </c>
      <c r="T1057" t="s">
        <v>31</v>
      </c>
      <c r="U1057" s="4">
        <v>0.79</v>
      </c>
      <c r="V1057" s="4">
        <v>1.7210000000000001</v>
      </c>
      <c r="W1057" s="4">
        <v>8.59</v>
      </c>
    </row>
    <row r="1058" spans="1:23" ht="15" customHeight="1" x14ac:dyDescent="0.25">
      <c r="A1058">
        <v>913</v>
      </c>
      <c r="B1058" s="1">
        <v>45834</v>
      </c>
      <c r="C1058">
        <v>0</v>
      </c>
      <c r="D1058" t="s">
        <v>56</v>
      </c>
      <c r="E1058">
        <v>6</v>
      </c>
      <c r="F1058" t="s">
        <v>38</v>
      </c>
      <c r="G1058" t="s">
        <v>33</v>
      </c>
      <c r="H1058" t="s">
        <v>50</v>
      </c>
      <c r="I1058" t="s">
        <v>22</v>
      </c>
      <c r="J1058" t="s">
        <v>12</v>
      </c>
      <c r="K1058" s="2">
        <v>21000</v>
      </c>
      <c r="L1058" s="3">
        <v>26.3</v>
      </c>
      <c r="M1058" s="3">
        <v>52.9</v>
      </c>
      <c r="N1058" s="3">
        <v>0</v>
      </c>
      <c r="O1058" s="2">
        <v>223</v>
      </c>
      <c r="P1058">
        <v>1</v>
      </c>
      <c r="Q1058" t="s">
        <v>20</v>
      </c>
      <c r="R1058" s="4">
        <v>191.7</v>
      </c>
      <c r="S1058" s="4">
        <v>0</v>
      </c>
      <c r="T1058" t="s">
        <v>31</v>
      </c>
      <c r="U1058" s="4">
        <v>17.48</v>
      </c>
      <c r="V1058" s="4">
        <v>9.1289999999999996</v>
      </c>
      <c r="W1058" s="4">
        <v>191.7</v>
      </c>
    </row>
    <row r="1059" spans="1:23" ht="15" customHeight="1" x14ac:dyDescent="0.25">
      <c r="A1059">
        <v>1649</v>
      </c>
      <c r="B1059" s="1">
        <v>45834</v>
      </c>
      <c r="C1059">
        <v>0</v>
      </c>
      <c r="D1059" t="s">
        <v>56</v>
      </c>
      <c r="E1059">
        <v>6</v>
      </c>
      <c r="F1059" t="s">
        <v>38</v>
      </c>
      <c r="G1059" t="s">
        <v>33</v>
      </c>
      <c r="H1059" t="s">
        <v>49</v>
      </c>
      <c r="I1059" t="s">
        <v>27</v>
      </c>
      <c r="J1059" t="s">
        <v>18</v>
      </c>
      <c r="K1059" s="2">
        <v>26000</v>
      </c>
      <c r="L1059" s="3">
        <v>20.2</v>
      </c>
      <c r="M1059" s="3">
        <v>58.6</v>
      </c>
      <c r="N1059" s="3">
        <v>0</v>
      </c>
      <c r="O1059" s="2">
        <v>58</v>
      </c>
      <c r="P1059">
        <v>0</v>
      </c>
      <c r="Q1059" t="s">
        <v>14</v>
      </c>
      <c r="R1059" s="4">
        <v>108.46</v>
      </c>
      <c r="S1059" s="4">
        <v>0</v>
      </c>
      <c r="T1059" t="s">
        <v>31</v>
      </c>
      <c r="U1059" s="4">
        <v>9.92</v>
      </c>
      <c r="V1059" s="4">
        <v>4.1719999999999997</v>
      </c>
      <c r="W1059" s="4">
        <v>108.46</v>
      </c>
    </row>
    <row r="1060" spans="1:23" ht="15" customHeight="1" x14ac:dyDescent="0.25">
      <c r="A1060">
        <v>2017</v>
      </c>
      <c r="B1060" s="1">
        <v>45834</v>
      </c>
      <c r="C1060">
        <v>0</v>
      </c>
      <c r="D1060" t="s">
        <v>56</v>
      </c>
      <c r="E1060">
        <v>6</v>
      </c>
      <c r="F1060" t="s">
        <v>38</v>
      </c>
      <c r="G1060" t="s">
        <v>33</v>
      </c>
      <c r="H1060" t="s">
        <v>52</v>
      </c>
      <c r="I1060" t="s">
        <v>13</v>
      </c>
      <c r="J1060" t="s">
        <v>21</v>
      </c>
      <c r="K1060" s="2">
        <v>9800</v>
      </c>
      <c r="L1060" s="3">
        <v>17</v>
      </c>
      <c r="M1060" s="3">
        <v>75.599999999999994</v>
      </c>
      <c r="N1060" s="3">
        <v>0</v>
      </c>
      <c r="O1060" s="2">
        <v>350</v>
      </c>
      <c r="P1060">
        <v>0</v>
      </c>
      <c r="Q1060" t="s">
        <v>14</v>
      </c>
      <c r="R1060" s="4">
        <v>100.73</v>
      </c>
      <c r="S1060" s="4">
        <v>0</v>
      </c>
      <c r="T1060" t="s">
        <v>31</v>
      </c>
      <c r="U1060" s="4">
        <v>9.5299999999999994</v>
      </c>
      <c r="V1060" s="4">
        <v>10.279</v>
      </c>
      <c r="W1060" s="4">
        <v>100.73</v>
      </c>
    </row>
    <row r="1061" spans="1:23" ht="15" customHeight="1" x14ac:dyDescent="0.25">
      <c r="A1061">
        <v>545</v>
      </c>
      <c r="B1061" s="1">
        <v>45834</v>
      </c>
      <c r="C1061">
        <v>0</v>
      </c>
      <c r="D1061" t="s">
        <v>56</v>
      </c>
      <c r="E1061">
        <v>6</v>
      </c>
      <c r="F1061" t="s">
        <v>38</v>
      </c>
      <c r="G1061" t="s">
        <v>33</v>
      </c>
      <c r="H1061" t="s">
        <v>54</v>
      </c>
      <c r="I1061" t="s">
        <v>16</v>
      </c>
      <c r="J1061" t="s">
        <v>24</v>
      </c>
      <c r="K1061" s="2">
        <v>8600</v>
      </c>
      <c r="L1061" s="3">
        <v>17.7</v>
      </c>
      <c r="M1061" s="3">
        <v>88.5</v>
      </c>
      <c r="N1061" s="3">
        <v>0</v>
      </c>
      <c r="O1061" s="2">
        <v>9</v>
      </c>
      <c r="P1061">
        <v>0</v>
      </c>
      <c r="Q1061" t="s">
        <v>14</v>
      </c>
      <c r="R1061" s="4">
        <v>19.11</v>
      </c>
      <c r="S1061" s="4">
        <v>0</v>
      </c>
      <c r="T1061" t="s">
        <v>31</v>
      </c>
      <c r="U1061" s="4">
        <v>1.79</v>
      </c>
      <c r="V1061" s="4">
        <v>2.222</v>
      </c>
      <c r="W1061" s="4">
        <v>19.11</v>
      </c>
    </row>
    <row r="1062" spans="1:23" ht="15" customHeight="1" x14ac:dyDescent="0.25">
      <c r="A1062">
        <v>177</v>
      </c>
      <c r="B1062" s="1">
        <v>45834</v>
      </c>
      <c r="C1062">
        <v>0</v>
      </c>
      <c r="D1062" t="s">
        <v>56</v>
      </c>
      <c r="E1062">
        <v>6</v>
      </c>
      <c r="F1062" t="s">
        <v>38</v>
      </c>
      <c r="G1062" t="s">
        <v>33</v>
      </c>
      <c r="H1062" t="s">
        <v>53</v>
      </c>
      <c r="I1062" t="s">
        <v>19</v>
      </c>
      <c r="J1062" t="s">
        <v>26</v>
      </c>
      <c r="K1062" s="2">
        <v>12500</v>
      </c>
      <c r="L1062" s="3">
        <v>20.3</v>
      </c>
      <c r="M1062" s="3">
        <v>45.3</v>
      </c>
      <c r="N1062" s="3">
        <v>0</v>
      </c>
      <c r="O1062" s="2">
        <v>75</v>
      </c>
      <c r="P1062">
        <v>0</v>
      </c>
      <c r="Q1062" t="s">
        <v>14</v>
      </c>
      <c r="R1062" s="4">
        <v>28.75</v>
      </c>
      <c r="S1062" s="4">
        <v>0</v>
      </c>
      <c r="T1062" t="s">
        <v>31</v>
      </c>
      <c r="U1062" s="4">
        <v>2.66</v>
      </c>
      <c r="V1062" s="4">
        <v>2.2999999999999998</v>
      </c>
      <c r="W1062" s="4">
        <v>28.75</v>
      </c>
    </row>
    <row r="1063" spans="1:23" ht="15" customHeight="1" x14ac:dyDescent="0.25">
      <c r="A1063">
        <v>1281</v>
      </c>
      <c r="B1063" s="1">
        <v>45834</v>
      </c>
      <c r="C1063">
        <v>0</v>
      </c>
      <c r="D1063" t="s">
        <v>56</v>
      </c>
      <c r="E1063">
        <v>6</v>
      </c>
      <c r="F1063" t="s">
        <v>38</v>
      </c>
      <c r="G1063" t="s">
        <v>33</v>
      </c>
      <c r="H1063" t="s">
        <v>51</v>
      </c>
      <c r="I1063" t="s">
        <v>25</v>
      </c>
      <c r="J1063" t="s">
        <v>15</v>
      </c>
      <c r="K1063" s="2">
        <v>17400</v>
      </c>
      <c r="L1063" s="3">
        <v>21</v>
      </c>
      <c r="M1063" s="3">
        <v>78.099999999999994</v>
      </c>
      <c r="N1063" s="3">
        <v>0</v>
      </c>
      <c r="O1063" s="2">
        <v>67</v>
      </c>
      <c r="P1063">
        <v>0</v>
      </c>
      <c r="Q1063" t="s">
        <v>14</v>
      </c>
      <c r="R1063" s="4">
        <v>46.75</v>
      </c>
      <c r="S1063" s="4">
        <v>0</v>
      </c>
      <c r="T1063" t="s">
        <v>31</v>
      </c>
      <c r="U1063" s="4">
        <v>4.4800000000000004</v>
      </c>
      <c r="V1063" s="4">
        <v>2.6869999999999998</v>
      </c>
      <c r="W1063" s="4">
        <v>46.75</v>
      </c>
    </row>
    <row r="1064" spans="1:23" ht="15" customHeight="1" x14ac:dyDescent="0.25">
      <c r="A1064">
        <v>1650</v>
      </c>
      <c r="B1064" s="1">
        <v>45834.333333333343</v>
      </c>
      <c r="C1064">
        <v>8</v>
      </c>
      <c r="D1064" t="s">
        <v>56</v>
      </c>
      <c r="E1064">
        <v>6</v>
      </c>
      <c r="F1064" t="s">
        <v>38</v>
      </c>
      <c r="G1064" t="s">
        <v>33</v>
      </c>
      <c r="H1064" t="s">
        <v>49</v>
      </c>
      <c r="I1064" t="s">
        <v>27</v>
      </c>
      <c r="J1064" t="s">
        <v>18</v>
      </c>
      <c r="K1064" s="2">
        <v>26000</v>
      </c>
      <c r="L1064" s="3">
        <v>25.4</v>
      </c>
      <c r="M1064" s="3">
        <v>57.9</v>
      </c>
      <c r="N1064" s="3">
        <v>362.9</v>
      </c>
      <c r="O1064" s="2">
        <v>169</v>
      </c>
      <c r="P1064">
        <v>1</v>
      </c>
      <c r="Q1064" t="s">
        <v>20</v>
      </c>
      <c r="R1064" s="4">
        <v>164.88</v>
      </c>
      <c r="S1064" s="4">
        <v>99.41</v>
      </c>
      <c r="T1064" t="s">
        <v>34</v>
      </c>
      <c r="U1064" s="4">
        <v>10.14</v>
      </c>
      <c r="V1064" s="4">
        <v>6.3419999999999996</v>
      </c>
      <c r="W1064" s="4">
        <v>65.47</v>
      </c>
    </row>
    <row r="1065" spans="1:23" ht="15" customHeight="1" x14ac:dyDescent="0.25">
      <c r="A1065">
        <v>1282</v>
      </c>
      <c r="B1065" s="1">
        <v>45834.333333333343</v>
      </c>
      <c r="C1065">
        <v>8</v>
      </c>
      <c r="D1065" t="s">
        <v>56</v>
      </c>
      <c r="E1065">
        <v>6</v>
      </c>
      <c r="F1065" t="s">
        <v>38</v>
      </c>
      <c r="G1065" t="s">
        <v>33</v>
      </c>
      <c r="H1065" t="s">
        <v>51</v>
      </c>
      <c r="I1065" t="s">
        <v>25</v>
      </c>
      <c r="J1065" t="s">
        <v>15</v>
      </c>
      <c r="K1065" s="2">
        <v>17400</v>
      </c>
      <c r="L1065" s="3">
        <v>23</v>
      </c>
      <c r="M1065" s="3">
        <v>61.6</v>
      </c>
      <c r="N1065" s="3">
        <v>446.4</v>
      </c>
      <c r="O1065" s="2">
        <v>91</v>
      </c>
      <c r="P1065">
        <v>0</v>
      </c>
      <c r="Q1065" t="s">
        <v>14</v>
      </c>
      <c r="R1065" s="4">
        <v>38.299999999999997</v>
      </c>
      <c r="S1065" s="4">
        <v>56.44</v>
      </c>
      <c r="T1065" t="s">
        <v>34</v>
      </c>
      <c r="U1065" s="4">
        <v>-1.1299999999999999</v>
      </c>
      <c r="V1065" s="4">
        <v>2.2010000000000001</v>
      </c>
      <c r="W1065" s="4">
        <v>0</v>
      </c>
    </row>
    <row r="1066" spans="1:23" ht="15" customHeight="1" x14ac:dyDescent="0.25">
      <c r="A1066">
        <v>914</v>
      </c>
      <c r="B1066" s="1">
        <v>45834.333333333343</v>
      </c>
      <c r="C1066">
        <v>8</v>
      </c>
      <c r="D1066" t="s">
        <v>56</v>
      </c>
      <c r="E1066">
        <v>6</v>
      </c>
      <c r="F1066" t="s">
        <v>38</v>
      </c>
      <c r="G1066" t="s">
        <v>33</v>
      </c>
      <c r="H1066" t="s">
        <v>50</v>
      </c>
      <c r="I1066" t="s">
        <v>22</v>
      </c>
      <c r="J1066" t="s">
        <v>12</v>
      </c>
      <c r="K1066" s="2">
        <v>21000</v>
      </c>
      <c r="L1066" s="3">
        <v>25.4</v>
      </c>
      <c r="M1066" s="3">
        <v>59.8</v>
      </c>
      <c r="N1066" s="3">
        <v>373.9</v>
      </c>
      <c r="O1066" s="2">
        <v>424</v>
      </c>
      <c r="P1066">
        <v>1</v>
      </c>
      <c r="Q1066" t="s">
        <v>20</v>
      </c>
      <c r="R1066" s="4">
        <v>205.3</v>
      </c>
      <c r="S1066" s="4">
        <v>74.81</v>
      </c>
      <c r="T1066" t="s">
        <v>34</v>
      </c>
      <c r="U1066" s="4">
        <v>19.77</v>
      </c>
      <c r="V1066" s="4">
        <v>9.7759999999999998</v>
      </c>
      <c r="W1066" s="4">
        <v>130.49</v>
      </c>
    </row>
    <row r="1067" spans="1:23" ht="15" customHeight="1" x14ac:dyDescent="0.25">
      <c r="A1067">
        <v>546</v>
      </c>
      <c r="B1067" s="1">
        <v>45834.333333333343</v>
      </c>
      <c r="C1067">
        <v>8</v>
      </c>
      <c r="D1067" t="s">
        <v>56</v>
      </c>
      <c r="E1067">
        <v>6</v>
      </c>
      <c r="F1067" t="s">
        <v>38</v>
      </c>
      <c r="G1067" t="s">
        <v>33</v>
      </c>
      <c r="H1067" t="s">
        <v>54</v>
      </c>
      <c r="I1067" t="s">
        <v>16</v>
      </c>
      <c r="J1067" t="s">
        <v>24</v>
      </c>
      <c r="K1067" s="2">
        <v>8600</v>
      </c>
      <c r="L1067" s="3">
        <v>14.5</v>
      </c>
      <c r="M1067" s="3"/>
      <c r="N1067" s="3">
        <v>339.9</v>
      </c>
      <c r="O1067" s="2">
        <v>822</v>
      </c>
      <c r="P1067">
        <v>1</v>
      </c>
      <c r="Q1067" t="s">
        <v>23</v>
      </c>
      <c r="R1067" s="4">
        <v>80.31</v>
      </c>
      <c r="S1067" s="4">
        <v>25.91</v>
      </c>
      <c r="T1067" t="s">
        <v>34</v>
      </c>
      <c r="U1067" s="4">
        <v>8.1999999999999993</v>
      </c>
      <c r="V1067" s="4">
        <v>9.3379999999999992</v>
      </c>
      <c r="W1067" s="4">
        <v>54.4</v>
      </c>
    </row>
    <row r="1068" spans="1:23" ht="15" customHeight="1" x14ac:dyDescent="0.25">
      <c r="A1068">
        <v>2018</v>
      </c>
      <c r="B1068" s="1">
        <v>45834.333333333343</v>
      </c>
      <c r="C1068">
        <v>8</v>
      </c>
      <c r="D1068" t="s">
        <v>56</v>
      </c>
      <c r="E1068">
        <v>6</v>
      </c>
      <c r="F1068" t="s">
        <v>38</v>
      </c>
      <c r="G1068" t="s">
        <v>33</v>
      </c>
      <c r="H1068" t="s">
        <v>52</v>
      </c>
      <c r="I1068" t="s">
        <v>13</v>
      </c>
      <c r="J1068" t="s">
        <v>21</v>
      </c>
      <c r="K1068" s="2">
        <v>9800</v>
      </c>
      <c r="L1068" s="3">
        <v>21.9</v>
      </c>
      <c r="M1068" s="3">
        <v>67.2</v>
      </c>
      <c r="N1068" s="3">
        <v>382.3</v>
      </c>
      <c r="O1068" s="2">
        <v>86</v>
      </c>
      <c r="P1068">
        <v>0</v>
      </c>
      <c r="Q1068" t="s">
        <v>14</v>
      </c>
      <c r="R1068" s="4">
        <v>18.329999999999998</v>
      </c>
      <c r="S1068" s="4">
        <v>0</v>
      </c>
      <c r="T1068" t="s">
        <v>34</v>
      </c>
      <c r="U1068" s="4">
        <v>2.73</v>
      </c>
      <c r="V1068" s="4">
        <v>1.87</v>
      </c>
      <c r="W1068" s="4">
        <v>18.329999999999998</v>
      </c>
    </row>
    <row r="1069" spans="1:23" ht="15" customHeight="1" x14ac:dyDescent="0.25">
      <c r="A1069">
        <v>178</v>
      </c>
      <c r="B1069" s="1">
        <v>45834.333333333343</v>
      </c>
      <c r="C1069">
        <v>8</v>
      </c>
      <c r="D1069" t="s">
        <v>56</v>
      </c>
      <c r="E1069">
        <v>6</v>
      </c>
      <c r="F1069" t="s">
        <v>38</v>
      </c>
      <c r="G1069" t="s">
        <v>33</v>
      </c>
      <c r="H1069" t="s">
        <v>53</v>
      </c>
      <c r="I1069" t="s">
        <v>19</v>
      </c>
      <c r="J1069" t="s">
        <v>26</v>
      </c>
      <c r="K1069" s="2">
        <v>12500</v>
      </c>
      <c r="L1069" s="3">
        <v>23</v>
      </c>
      <c r="M1069" s="3">
        <v>50.3</v>
      </c>
      <c r="N1069" s="3"/>
      <c r="O1069" s="2">
        <v>370</v>
      </c>
      <c r="P1069">
        <v>0</v>
      </c>
      <c r="Q1069" t="s">
        <v>14</v>
      </c>
      <c r="R1069" s="4">
        <v>69.010000000000005</v>
      </c>
      <c r="S1069" s="4">
        <v>65.13</v>
      </c>
      <c r="T1069" t="s">
        <v>34</v>
      </c>
      <c r="U1069" s="4">
        <v>0.56999999999999995</v>
      </c>
      <c r="V1069" s="4">
        <v>5.5209999999999999</v>
      </c>
      <c r="W1069" s="4">
        <v>3.88</v>
      </c>
    </row>
    <row r="1070" spans="1:23" ht="15" customHeight="1" x14ac:dyDescent="0.25">
      <c r="A1070">
        <v>915</v>
      </c>
      <c r="B1070" s="1">
        <v>45834.583333333343</v>
      </c>
      <c r="C1070">
        <v>14</v>
      </c>
      <c r="D1070" t="s">
        <v>56</v>
      </c>
      <c r="E1070">
        <v>6</v>
      </c>
      <c r="F1070" t="s">
        <v>38</v>
      </c>
      <c r="G1070" t="s">
        <v>33</v>
      </c>
      <c r="H1070" t="s">
        <v>50</v>
      </c>
      <c r="I1070" t="s">
        <v>22</v>
      </c>
      <c r="J1070" t="s">
        <v>12</v>
      </c>
      <c r="K1070" s="2">
        <v>21000</v>
      </c>
      <c r="L1070" s="3">
        <v>36</v>
      </c>
      <c r="M1070" s="3">
        <v>50.4</v>
      </c>
      <c r="N1070" s="3">
        <v>828.8</v>
      </c>
      <c r="O1070" s="2">
        <v>420</v>
      </c>
      <c r="P1070">
        <v>1</v>
      </c>
      <c r="Q1070" t="s">
        <v>20</v>
      </c>
      <c r="R1070" s="4">
        <v>226.82</v>
      </c>
      <c r="S1070" s="4">
        <v>173.74</v>
      </c>
      <c r="T1070" t="s">
        <v>34</v>
      </c>
      <c r="U1070" s="4">
        <v>7.91</v>
      </c>
      <c r="V1070" s="4">
        <v>10.801</v>
      </c>
      <c r="W1070" s="4">
        <v>53.08</v>
      </c>
    </row>
    <row r="1071" spans="1:23" ht="15" customHeight="1" x14ac:dyDescent="0.25">
      <c r="A1071">
        <v>2019</v>
      </c>
      <c r="B1071" s="1">
        <v>45834.583333333343</v>
      </c>
      <c r="C1071">
        <v>14</v>
      </c>
      <c r="D1071" t="s">
        <v>56</v>
      </c>
      <c r="E1071">
        <v>6</v>
      </c>
      <c r="F1071" t="s">
        <v>38</v>
      </c>
      <c r="G1071" t="s">
        <v>33</v>
      </c>
      <c r="H1071" t="s">
        <v>52</v>
      </c>
      <c r="I1071" t="s">
        <v>13</v>
      </c>
      <c r="J1071" t="s">
        <v>21</v>
      </c>
      <c r="K1071" s="2">
        <v>9800</v>
      </c>
      <c r="L1071" s="3">
        <v>27.1</v>
      </c>
      <c r="M1071" s="3">
        <v>58.1</v>
      </c>
      <c r="N1071" s="3">
        <v>806.1</v>
      </c>
      <c r="O1071" s="2">
        <v>46</v>
      </c>
      <c r="P1071">
        <v>1</v>
      </c>
      <c r="Q1071" t="s">
        <v>20</v>
      </c>
      <c r="R1071" s="4">
        <v>22.24</v>
      </c>
      <c r="S1071" s="4">
        <v>0</v>
      </c>
      <c r="T1071" t="s">
        <v>34</v>
      </c>
      <c r="U1071" s="4">
        <v>3.33</v>
      </c>
      <c r="V1071" s="4">
        <v>2.2690000000000001</v>
      </c>
      <c r="W1071" s="4">
        <v>22.24</v>
      </c>
    </row>
    <row r="1072" spans="1:23" ht="15" customHeight="1" x14ac:dyDescent="0.25">
      <c r="A1072">
        <v>179</v>
      </c>
      <c r="B1072" s="1">
        <v>45834.583333333343</v>
      </c>
      <c r="C1072">
        <v>14</v>
      </c>
      <c r="D1072" t="s">
        <v>56</v>
      </c>
      <c r="E1072">
        <v>6</v>
      </c>
      <c r="F1072" t="s">
        <v>38</v>
      </c>
      <c r="G1072" t="s">
        <v>33</v>
      </c>
      <c r="H1072" t="s">
        <v>53</v>
      </c>
      <c r="I1072" t="s">
        <v>19</v>
      </c>
      <c r="J1072" t="s">
        <v>26</v>
      </c>
      <c r="K1072" s="2">
        <v>12500</v>
      </c>
      <c r="L1072" s="3">
        <v>26.2</v>
      </c>
      <c r="M1072" s="3">
        <v>48.5</v>
      </c>
      <c r="N1072" s="3"/>
      <c r="O1072" s="2">
        <v>579</v>
      </c>
      <c r="P1072">
        <v>1</v>
      </c>
      <c r="Q1072" t="s">
        <v>20</v>
      </c>
      <c r="R1072" s="4">
        <v>113.29</v>
      </c>
      <c r="S1072" s="4">
        <v>109.2</v>
      </c>
      <c r="T1072" t="s">
        <v>34</v>
      </c>
      <c r="U1072" s="4">
        <v>0.61</v>
      </c>
      <c r="V1072" s="4">
        <v>9.0630000000000006</v>
      </c>
      <c r="W1072" s="4">
        <v>4.09</v>
      </c>
    </row>
    <row r="1073" spans="1:23" ht="15" customHeight="1" x14ac:dyDescent="0.25">
      <c r="A1073">
        <v>547</v>
      </c>
      <c r="B1073" s="1">
        <v>45834.583333333343</v>
      </c>
      <c r="C1073">
        <v>14</v>
      </c>
      <c r="D1073" t="s">
        <v>56</v>
      </c>
      <c r="E1073">
        <v>6</v>
      </c>
      <c r="F1073" t="s">
        <v>38</v>
      </c>
      <c r="G1073" t="s">
        <v>33</v>
      </c>
      <c r="H1073" t="s">
        <v>54</v>
      </c>
      <c r="I1073" t="s">
        <v>16</v>
      </c>
      <c r="J1073" t="s">
        <v>24</v>
      </c>
      <c r="K1073" s="2">
        <v>8600</v>
      </c>
      <c r="L1073" s="3">
        <v>24.9</v>
      </c>
      <c r="M1073" s="3">
        <v>76.099999999999994</v>
      </c>
      <c r="N1073" s="3">
        <v>659.7</v>
      </c>
      <c r="O1073" s="2">
        <v>783</v>
      </c>
      <c r="P1073">
        <v>1</v>
      </c>
      <c r="Q1073" t="s">
        <v>20</v>
      </c>
      <c r="R1073" s="4">
        <v>78.58</v>
      </c>
      <c r="S1073" s="4">
        <v>50.85</v>
      </c>
      <c r="T1073" t="s">
        <v>34</v>
      </c>
      <c r="U1073" s="4">
        <v>4.22</v>
      </c>
      <c r="V1073" s="4">
        <v>9.1370000000000005</v>
      </c>
      <c r="W1073" s="4">
        <v>27.73</v>
      </c>
    </row>
    <row r="1074" spans="1:23" ht="15" customHeight="1" x14ac:dyDescent="0.25">
      <c r="A1074">
        <v>1283</v>
      </c>
      <c r="B1074" s="1">
        <v>45834.583333333343</v>
      </c>
      <c r="C1074">
        <v>14</v>
      </c>
      <c r="D1074" t="s">
        <v>56</v>
      </c>
      <c r="E1074">
        <v>6</v>
      </c>
      <c r="F1074" t="s">
        <v>38</v>
      </c>
      <c r="G1074" t="s">
        <v>33</v>
      </c>
      <c r="H1074" t="s">
        <v>51</v>
      </c>
      <c r="I1074" t="s">
        <v>25</v>
      </c>
      <c r="J1074" t="s">
        <v>15</v>
      </c>
      <c r="K1074" s="2">
        <v>17400</v>
      </c>
      <c r="L1074" s="3">
        <v>29.2</v>
      </c>
      <c r="M1074" s="3">
        <v>67</v>
      </c>
      <c r="N1074" s="3">
        <v>900.5</v>
      </c>
      <c r="O1074" s="2">
        <v>1429</v>
      </c>
      <c r="P1074">
        <v>1</v>
      </c>
      <c r="Q1074" t="s">
        <v>20</v>
      </c>
      <c r="R1074" s="4">
        <v>234.95</v>
      </c>
      <c r="S1074" s="4">
        <v>115.06</v>
      </c>
      <c r="T1074" t="s">
        <v>34</v>
      </c>
      <c r="U1074" s="4">
        <v>17.420000000000002</v>
      </c>
      <c r="V1074" s="4">
        <v>13.503</v>
      </c>
      <c r="W1074" s="4">
        <v>119.89</v>
      </c>
    </row>
    <row r="1075" spans="1:23" ht="15" customHeight="1" x14ac:dyDescent="0.25">
      <c r="A1075">
        <v>1651</v>
      </c>
      <c r="B1075" s="1">
        <v>45834.583333333343</v>
      </c>
      <c r="C1075">
        <v>14</v>
      </c>
      <c r="D1075" t="s">
        <v>56</v>
      </c>
      <c r="E1075">
        <v>6</v>
      </c>
      <c r="F1075" t="s">
        <v>38</v>
      </c>
      <c r="G1075" t="s">
        <v>33</v>
      </c>
      <c r="H1075" t="s">
        <v>49</v>
      </c>
      <c r="I1075" t="s">
        <v>27</v>
      </c>
      <c r="J1075" t="s">
        <v>18</v>
      </c>
      <c r="K1075" s="2">
        <v>26000</v>
      </c>
      <c r="L1075" s="3">
        <v>32</v>
      </c>
      <c r="M1075" s="3">
        <v>51.6</v>
      </c>
      <c r="N1075" s="3">
        <v>714.4</v>
      </c>
      <c r="O1075" s="2"/>
      <c r="P1075">
        <v>1</v>
      </c>
      <c r="Q1075" t="s">
        <v>20</v>
      </c>
      <c r="R1075" s="4">
        <v>177.29</v>
      </c>
      <c r="S1075" s="4">
        <v>186.33</v>
      </c>
      <c r="T1075" t="s">
        <v>34</v>
      </c>
      <c r="U1075" s="4">
        <v>-0.52</v>
      </c>
      <c r="V1075" s="4">
        <v>6.819</v>
      </c>
      <c r="W1075" s="4">
        <v>0</v>
      </c>
    </row>
    <row r="1076" spans="1:23" ht="15" customHeight="1" x14ac:dyDescent="0.25">
      <c r="A1076">
        <v>1652</v>
      </c>
      <c r="B1076" s="1">
        <v>45834.833333333343</v>
      </c>
      <c r="C1076">
        <v>20</v>
      </c>
      <c r="D1076" t="s">
        <v>56</v>
      </c>
      <c r="E1076">
        <v>6</v>
      </c>
      <c r="F1076" t="s">
        <v>38</v>
      </c>
      <c r="G1076" t="s">
        <v>33</v>
      </c>
      <c r="H1076" t="s">
        <v>49</v>
      </c>
      <c r="I1076" t="s">
        <v>27</v>
      </c>
      <c r="J1076" t="s">
        <v>18</v>
      </c>
      <c r="K1076" s="2">
        <v>26000</v>
      </c>
      <c r="L1076" s="3">
        <v>28.2</v>
      </c>
      <c r="M1076" s="3">
        <v>50.6</v>
      </c>
      <c r="N1076" s="3">
        <v>61</v>
      </c>
      <c r="O1076" s="2"/>
      <c r="P1076">
        <v>1</v>
      </c>
      <c r="Q1076" t="s">
        <v>20</v>
      </c>
      <c r="R1076" s="4">
        <v>269.93</v>
      </c>
      <c r="S1076" s="4">
        <v>16.11</v>
      </c>
      <c r="T1076" t="s">
        <v>37</v>
      </c>
      <c r="U1076" s="4">
        <v>56.37</v>
      </c>
      <c r="V1076" s="4">
        <v>10.382</v>
      </c>
      <c r="W1076" s="4">
        <v>253.82</v>
      </c>
    </row>
    <row r="1077" spans="1:23" ht="15" customHeight="1" x14ac:dyDescent="0.25">
      <c r="A1077">
        <v>916</v>
      </c>
      <c r="B1077" s="1">
        <v>45834.833333333343</v>
      </c>
      <c r="C1077">
        <v>20</v>
      </c>
      <c r="D1077" t="s">
        <v>56</v>
      </c>
      <c r="E1077">
        <v>6</v>
      </c>
      <c r="F1077" t="s">
        <v>38</v>
      </c>
      <c r="G1077" t="s">
        <v>33</v>
      </c>
      <c r="H1077" t="s">
        <v>50</v>
      </c>
      <c r="I1077" t="s">
        <v>22</v>
      </c>
      <c r="J1077" t="s">
        <v>12</v>
      </c>
      <c r="K1077" s="2">
        <v>21000</v>
      </c>
      <c r="L1077" s="3">
        <v>31.1</v>
      </c>
      <c r="M1077" s="3">
        <v>43.7</v>
      </c>
      <c r="N1077" s="3">
        <v>97.8</v>
      </c>
      <c r="O1077" s="2">
        <v>417</v>
      </c>
      <c r="P1077">
        <v>1</v>
      </c>
      <c r="Q1077" t="s">
        <v>20</v>
      </c>
      <c r="R1077" s="4">
        <v>294.33999999999997</v>
      </c>
      <c r="S1077" s="4">
        <v>18.78</v>
      </c>
      <c r="T1077" t="s">
        <v>37</v>
      </c>
      <c r="U1077" s="4">
        <v>64.37</v>
      </c>
      <c r="V1077" s="4">
        <v>14.016</v>
      </c>
      <c r="W1077" s="4">
        <v>275.56</v>
      </c>
    </row>
    <row r="1078" spans="1:23" ht="15" customHeight="1" x14ac:dyDescent="0.25">
      <c r="A1078">
        <v>548</v>
      </c>
      <c r="B1078" s="1">
        <v>45834.833333333343</v>
      </c>
      <c r="C1078">
        <v>20</v>
      </c>
      <c r="D1078" t="s">
        <v>56</v>
      </c>
      <c r="E1078">
        <v>6</v>
      </c>
      <c r="F1078" t="s">
        <v>38</v>
      </c>
      <c r="G1078" t="s">
        <v>33</v>
      </c>
      <c r="H1078" t="s">
        <v>54</v>
      </c>
      <c r="I1078" t="s">
        <v>16</v>
      </c>
      <c r="J1078" t="s">
        <v>24</v>
      </c>
      <c r="K1078" s="2">
        <v>8600</v>
      </c>
      <c r="L1078" s="3">
        <v>21.2</v>
      </c>
      <c r="M1078" s="3">
        <v>70.400000000000006</v>
      </c>
      <c r="N1078" s="3">
        <v>51.3</v>
      </c>
      <c r="O1078" s="2">
        <v>21</v>
      </c>
      <c r="P1078">
        <v>0</v>
      </c>
      <c r="Q1078" t="s">
        <v>14</v>
      </c>
      <c r="R1078" s="4">
        <v>18.559999999999999</v>
      </c>
      <c r="S1078" s="4">
        <v>3.88</v>
      </c>
      <c r="T1078" t="s">
        <v>37</v>
      </c>
      <c r="U1078" s="4">
        <v>3.35</v>
      </c>
      <c r="V1078" s="4">
        <v>2.1579999999999999</v>
      </c>
      <c r="W1078" s="4">
        <v>14.68</v>
      </c>
    </row>
    <row r="1079" spans="1:23" ht="15" customHeight="1" x14ac:dyDescent="0.25">
      <c r="A1079">
        <v>180</v>
      </c>
      <c r="B1079" s="1">
        <v>45834.833333333343</v>
      </c>
      <c r="C1079">
        <v>20</v>
      </c>
      <c r="D1079" t="s">
        <v>56</v>
      </c>
      <c r="E1079">
        <v>6</v>
      </c>
      <c r="F1079" t="s">
        <v>38</v>
      </c>
      <c r="G1079" t="s">
        <v>33</v>
      </c>
      <c r="H1079" t="s">
        <v>53</v>
      </c>
      <c r="I1079" t="s">
        <v>19</v>
      </c>
      <c r="J1079" t="s">
        <v>26</v>
      </c>
      <c r="K1079" s="2">
        <v>12500</v>
      </c>
      <c r="L1079" s="3">
        <v>27.3</v>
      </c>
      <c r="M1079" s="3">
        <v>39.1</v>
      </c>
      <c r="N1079" s="3">
        <v>90.2</v>
      </c>
      <c r="O1079" s="2">
        <v>60</v>
      </c>
      <c r="P1079">
        <v>1</v>
      </c>
      <c r="Q1079" t="s">
        <v>20</v>
      </c>
      <c r="R1079" s="4">
        <v>45.12</v>
      </c>
      <c r="S1079" s="4">
        <v>12.99</v>
      </c>
      <c r="T1079" t="s">
        <v>37</v>
      </c>
      <c r="U1079" s="4">
        <v>7.45</v>
      </c>
      <c r="V1079" s="4">
        <v>3.61</v>
      </c>
      <c r="W1079" s="4">
        <v>32.130000000000003</v>
      </c>
    </row>
    <row r="1080" spans="1:23" ht="15" customHeight="1" x14ac:dyDescent="0.25">
      <c r="A1080">
        <v>1284</v>
      </c>
      <c r="B1080" s="1">
        <v>45834.833333333343</v>
      </c>
      <c r="C1080">
        <v>20</v>
      </c>
      <c r="D1080" t="s">
        <v>56</v>
      </c>
      <c r="E1080">
        <v>6</v>
      </c>
      <c r="F1080" t="s">
        <v>38</v>
      </c>
      <c r="G1080" t="s">
        <v>33</v>
      </c>
      <c r="H1080" t="s">
        <v>51</v>
      </c>
      <c r="I1080" t="s">
        <v>25</v>
      </c>
      <c r="J1080" t="s">
        <v>15</v>
      </c>
      <c r="K1080" s="2">
        <v>17400</v>
      </c>
      <c r="L1080" s="3">
        <v>23.1</v>
      </c>
      <c r="M1080" s="3">
        <v>65.7</v>
      </c>
      <c r="N1080" s="3">
        <v>100.3</v>
      </c>
      <c r="O1080" s="2">
        <v>1320</v>
      </c>
      <c r="P1080">
        <v>1</v>
      </c>
      <c r="Q1080" t="s">
        <v>23</v>
      </c>
      <c r="R1080" s="4">
        <v>275.67</v>
      </c>
      <c r="S1080" s="4">
        <v>12.26</v>
      </c>
      <c r="T1080" t="s">
        <v>37</v>
      </c>
      <c r="U1080" s="4">
        <v>61.03</v>
      </c>
      <c r="V1080" s="4">
        <v>15.843</v>
      </c>
      <c r="W1080" s="4">
        <v>263.41000000000003</v>
      </c>
    </row>
    <row r="1081" spans="1:23" ht="15" customHeight="1" x14ac:dyDescent="0.25">
      <c r="A1081">
        <v>2020</v>
      </c>
      <c r="B1081" s="1">
        <v>45834.833333333343</v>
      </c>
      <c r="C1081">
        <v>20</v>
      </c>
      <c r="D1081" t="s">
        <v>56</v>
      </c>
      <c r="E1081">
        <v>6</v>
      </c>
      <c r="F1081" t="s">
        <v>38</v>
      </c>
      <c r="G1081" t="s">
        <v>33</v>
      </c>
      <c r="H1081" t="s">
        <v>52</v>
      </c>
      <c r="I1081" t="s">
        <v>13</v>
      </c>
      <c r="J1081" t="s">
        <v>21</v>
      </c>
      <c r="K1081" s="2">
        <v>9800</v>
      </c>
      <c r="L1081" s="3">
        <v>19.399999999999999</v>
      </c>
      <c r="M1081" s="3">
        <v>66.2</v>
      </c>
      <c r="N1081" s="3">
        <v>97.1</v>
      </c>
      <c r="O1081" s="2">
        <v>285</v>
      </c>
      <c r="P1081">
        <v>0</v>
      </c>
      <c r="Q1081" t="s">
        <v>14</v>
      </c>
      <c r="R1081" s="4">
        <v>91.34</v>
      </c>
      <c r="S1081" s="4">
        <v>0</v>
      </c>
      <c r="T1081" t="s">
        <v>37</v>
      </c>
      <c r="U1081" s="4">
        <v>20.87</v>
      </c>
      <c r="V1081" s="4">
        <v>9.32</v>
      </c>
      <c r="W1081" s="4">
        <v>91.34</v>
      </c>
    </row>
    <row r="1082" spans="1:23" ht="15" customHeight="1" x14ac:dyDescent="0.25">
      <c r="A1082">
        <v>1285</v>
      </c>
      <c r="B1082" s="1">
        <v>45838</v>
      </c>
      <c r="C1082">
        <v>0</v>
      </c>
      <c r="D1082" t="s">
        <v>57</v>
      </c>
      <c r="E1082">
        <v>6</v>
      </c>
      <c r="F1082" t="s">
        <v>38</v>
      </c>
      <c r="G1082" t="s">
        <v>33</v>
      </c>
      <c r="H1082" t="s">
        <v>51</v>
      </c>
      <c r="I1082" t="s">
        <v>25</v>
      </c>
      <c r="J1082" t="s">
        <v>15</v>
      </c>
      <c r="K1082" s="2">
        <v>17400</v>
      </c>
      <c r="L1082" s="3">
        <v>17.7</v>
      </c>
      <c r="M1082" s="3">
        <v>66.7</v>
      </c>
      <c r="N1082" s="3">
        <v>0</v>
      </c>
      <c r="O1082" s="2">
        <v>0</v>
      </c>
      <c r="P1082">
        <v>0</v>
      </c>
      <c r="Q1082" t="s">
        <v>14</v>
      </c>
      <c r="R1082" s="4">
        <v>44.54</v>
      </c>
      <c r="S1082" s="4">
        <v>0</v>
      </c>
      <c r="T1082" t="s">
        <v>31</v>
      </c>
      <c r="U1082" s="4">
        <v>4.0199999999999996</v>
      </c>
      <c r="V1082" s="4">
        <v>2.56</v>
      </c>
      <c r="W1082" s="4">
        <v>44.54</v>
      </c>
    </row>
    <row r="1083" spans="1:23" ht="15" customHeight="1" x14ac:dyDescent="0.25">
      <c r="A1083">
        <v>1653</v>
      </c>
      <c r="B1083" s="1">
        <v>45838</v>
      </c>
      <c r="C1083">
        <v>0</v>
      </c>
      <c r="D1083" t="s">
        <v>57</v>
      </c>
      <c r="E1083">
        <v>6</v>
      </c>
      <c r="F1083" t="s">
        <v>38</v>
      </c>
      <c r="G1083" t="s">
        <v>33</v>
      </c>
      <c r="H1083" t="s">
        <v>49</v>
      </c>
      <c r="I1083" t="s">
        <v>27</v>
      </c>
      <c r="J1083" t="s">
        <v>18</v>
      </c>
      <c r="K1083" s="2">
        <v>26000</v>
      </c>
      <c r="L1083" s="3">
        <v>20.7</v>
      </c>
      <c r="M1083" s="3">
        <v>58.2</v>
      </c>
      <c r="N1083" s="3">
        <v>0</v>
      </c>
      <c r="O1083" s="2">
        <v>68</v>
      </c>
      <c r="P1083">
        <v>0</v>
      </c>
      <c r="Q1083" t="s">
        <v>14</v>
      </c>
      <c r="R1083" s="4">
        <v>110.14</v>
      </c>
      <c r="S1083" s="4">
        <v>0</v>
      </c>
      <c r="T1083" t="s">
        <v>31</v>
      </c>
      <c r="U1083" s="4">
        <v>10.61</v>
      </c>
      <c r="V1083" s="4">
        <v>4.2359999999999998</v>
      </c>
      <c r="W1083" s="4">
        <v>110.14</v>
      </c>
    </row>
    <row r="1084" spans="1:23" ht="15" customHeight="1" x14ac:dyDescent="0.25">
      <c r="A1084">
        <v>2021</v>
      </c>
      <c r="B1084" s="1">
        <v>45838</v>
      </c>
      <c r="C1084">
        <v>0</v>
      </c>
      <c r="D1084" t="s">
        <v>57</v>
      </c>
      <c r="E1084">
        <v>6</v>
      </c>
      <c r="F1084" t="s">
        <v>38</v>
      </c>
      <c r="G1084" t="s">
        <v>33</v>
      </c>
      <c r="H1084" t="s">
        <v>52</v>
      </c>
      <c r="I1084" t="s">
        <v>13</v>
      </c>
      <c r="J1084" t="s">
        <v>21</v>
      </c>
      <c r="K1084" s="2">
        <v>9800</v>
      </c>
      <c r="L1084" s="3">
        <v>16.600000000000001</v>
      </c>
      <c r="M1084" s="3">
        <v>77.7</v>
      </c>
      <c r="N1084" s="3">
        <v>0</v>
      </c>
      <c r="O1084" s="2">
        <v>304</v>
      </c>
      <c r="P1084">
        <v>0</v>
      </c>
      <c r="Q1084" t="s">
        <v>14</v>
      </c>
      <c r="R1084" s="4">
        <v>97.27</v>
      </c>
      <c r="S1084" s="4">
        <v>0</v>
      </c>
      <c r="T1084" t="s">
        <v>31</v>
      </c>
      <c r="U1084" s="4">
        <v>9.2100000000000009</v>
      </c>
      <c r="V1084" s="4">
        <v>9.9260000000000002</v>
      </c>
      <c r="W1084" s="4">
        <v>97.27</v>
      </c>
    </row>
    <row r="1085" spans="1:23" ht="15" customHeight="1" x14ac:dyDescent="0.25">
      <c r="A1085">
        <v>917</v>
      </c>
      <c r="B1085" s="1">
        <v>45838</v>
      </c>
      <c r="C1085">
        <v>0</v>
      </c>
      <c r="D1085" t="s">
        <v>57</v>
      </c>
      <c r="E1085">
        <v>6</v>
      </c>
      <c r="F1085" t="s">
        <v>38</v>
      </c>
      <c r="G1085" t="s">
        <v>33</v>
      </c>
      <c r="H1085" t="s">
        <v>50</v>
      </c>
      <c r="I1085" t="s">
        <v>22</v>
      </c>
      <c r="J1085" t="s">
        <v>12</v>
      </c>
      <c r="K1085" s="2">
        <v>21000</v>
      </c>
      <c r="L1085" s="3">
        <v>27</v>
      </c>
      <c r="M1085" s="3">
        <v>51.9</v>
      </c>
      <c r="N1085" s="3">
        <v>0</v>
      </c>
      <c r="O1085" s="2">
        <v>202</v>
      </c>
      <c r="P1085">
        <v>1</v>
      </c>
      <c r="Q1085" t="s">
        <v>20</v>
      </c>
      <c r="R1085" s="4">
        <v>199.22</v>
      </c>
      <c r="S1085" s="4">
        <v>0</v>
      </c>
      <c r="T1085" t="s">
        <v>31</v>
      </c>
      <c r="U1085" s="4">
        <v>19.18</v>
      </c>
      <c r="V1085" s="4">
        <v>9.4870000000000001</v>
      </c>
      <c r="W1085" s="4">
        <v>199.22</v>
      </c>
    </row>
    <row r="1086" spans="1:23" ht="15" customHeight="1" x14ac:dyDescent="0.25">
      <c r="A1086">
        <v>549</v>
      </c>
      <c r="B1086" s="1">
        <v>45838</v>
      </c>
      <c r="C1086">
        <v>0</v>
      </c>
      <c r="D1086" t="s">
        <v>57</v>
      </c>
      <c r="E1086">
        <v>6</v>
      </c>
      <c r="F1086" t="s">
        <v>38</v>
      </c>
      <c r="G1086" t="s">
        <v>33</v>
      </c>
      <c r="H1086" t="s">
        <v>54</v>
      </c>
      <c r="I1086" t="s">
        <v>16</v>
      </c>
      <c r="J1086" t="s">
        <v>24</v>
      </c>
      <c r="K1086" s="2">
        <v>8600</v>
      </c>
      <c r="L1086" s="3">
        <v>17.3</v>
      </c>
      <c r="M1086" s="3">
        <v>74.5</v>
      </c>
      <c r="N1086" s="3">
        <v>0</v>
      </c>
      <c r="O1086" s="2">
        <v>43</v>
      </c>
      <c r="P1086">
        <v>0</v>
      </c>
      <c r="Q1086" t="s">
        <v>14</v>
      </c>
      <c r="R1086" s="4">
        <v>20.239999999999998</v>
      </c>
      <c r="S1086" s="4">
        <v>0</v>
      </c>
      <c r="T1086" t="s">
        <v>31</v>
      </c>
      <c r="U1086" s="4">
        <v>1.93</v>
      </c>
      <c r="V1086" s="4">
        <v>2.3530000000000002</v>
      </c>
      <c r="W1086" s="4">
        <v>20.239999999999998</v>
      </c>
    </row>
    <row r="1087" spans="1:23" ht="15" customHeight="1" x14ac:dyDescent="0.25">
      <c r="A1087">
        <v>181</v>
      </c>
      <c r="B1087" s="1">
        <v>45838</v>
      </c>
      <c r="C1087">
        <v>0</v>
      </c>
      <c r="D1087" t="s">
        <v>57</v>
      </c>
      <c r="E1087">
        <v>6</v>
      </c>
      <c r="F1087" t="s">
        <v>38</v>
      </c>
      <c r="G1087" t="s">
        <v>33</v>
      </c>
      <c r="H1087" t="s">
        <v>53</v>
      </c>
      <c r="I1087" t="s">
        <v>19</v>
      </c>
      <c r="J1087" t="s">
        <v>26</v>
      </c>
      <c r="K1087" s="2">
        <v>12500</v>
      </c>
      <c r="L1087" s="3">
        <v>17.5</v>
      </c>
      <c r="M1087" s="3">
        <v>47</v>
      </c>
      <c r="N1087" s="3">
        <v>0</v>
      </c>
      <c r="O1087" s="2">
        <v>5</v>
      </c>
      <c r="P1087">
        <v>0</v>
      </c>
      <c r="Q1087" t="s">
        <v>14</v>
      </c>
      <c r="R1087" s="4">
        <v>23.27</v>
      </c>
      <c r="S1087" s="4">
        <v>0</v>
      </c>
      <c r="T1087" t="s">
        <v>31</v>
      </c>
      <c r="U1087" s="4">
        <v>2.1800000000000002</v>
      </c>
      <c r="V1087" s="4">
        <v>1.8620000000000001</v>
      </c>
      <c r="W1087" s="4">
        <v>23.27</v>
      </c>
    </row>
    <row r="1088" spans="1:23" ht="15" customHeight="1" x14ac:dyDescent="0.25">
      <c r="A1088">
        <v>918</v>
      </c>
      <c r="B1088" s="1">
        <v>45838.333333333343</v>
      </c>
      <c r="C1088">
        <v>8</v>
      </c>
      <c r="D1088" t="s">
        <v>57</v>
      </c>
      <c r="E1088">
        <v>6</v>
      </c>
      <c r="F1088" t="s">
        <v>38</v>
      </c>
      <c r="G1088" t="s">
        <v>33</v>
      </c>
      <c r="H1088" t="s">
        <v>50</v>
      </c>
      <c r="I1088" t="s">
        <v>22</v>
      </c>
      <c r="J1088" t="s">
        <v>12</v>
      </c>
      <c r="K1088" s="2">
        <v>21000</v>
      </c>
      <c r="L1088" s="3">
        <v>23.9</v>
      </c>
      <c r="M1088" s="3">
        <v>44.2</v>
      </c>
      <c r="N1088" s="3">
        <v>414.7</v>
      </c>
      <c r="O1088" s="2">
        <v>404</v>
      </c>
      <c r="P1088">
        <v>1</v>
      </c>
      <c r="Q1088" t="s">
        <v>23</v>
      </c>
      <c r="R1088" s="4">
        <v>190.96</v>
      </c>
      <c r="S1088" s="4">
        <v>84.98</v>
      </c>
      <c r="T1088" t="s">
        <v>34</v>
      </c>
      <c r="U1088" s="4">
        <v>15.81</v>
      </c>
      <c r="V1088" s="4">
        <v>9.093</v>
      </c>
      <c r="W1088" s="4">
        <v>105.98</v>
      </c>
    </row>
    <row r="1089" spans="1:23" ht="15" customHeight="1" x14ac:dyDescent="0.25">
      <c r="A1089">
        <v>550</v>
      </c>
      <c r="B1089" s="1">
        <v>45838.333333333343</v>
      </c>
      <c r="C1089">
        <v>8</v>
      </c>
      <c r="D1089" t="s">
        <v>57</v>
      </c>
      <c r="E1089">
        <v>6</v>
      </c>
      <c r="F1089" t="s">
        <v>38</v>
      </c>
      <c r="G1089" t="s">
        <v>33</v>
      </c>
      <c r="H1089" t="s">
        <v>54</v>
      </c>
      <c r="I1089" t="s">
        <v>16</v>
      </c>
      <c r="J1089" t="s">
        <v>24</v>
      </c>
      <c r="K1089" s="2">
        <v>8600</v>
      </c>
      <c r="L1089" s="3">
        <v>20.7</v>
      </c>
      <c r="M1089" s="3">
        <v>77.8</v>
      </c>
      <c r="N1089" s="3">
        <v>340.9</v>
      </c>
      <c r="O1089" s="2">
        <v>694</v>
      </c>
      <c r="P1089">
        <v>0</v>
      </c>
      <c r="Q1089" t="s">
        <v>14</v>
      </c>
      <c r="R1089" s="4">
        <v>76.290000000000006</v>
      </c>
      <c r="S1089" s="4">
        <v>26.54</v>
      </c>
      <c r="T1089" t="s">
        <v>34</v>
      </c>
      <c r="U1089" s="4">
        <v>7.57</v>
      </c>
      <c r="V1089" s="4">
        <v>8.8710000000000004</v>
      </c>
      <c r="W1089" s="4">
        <v>49.75</v>
      </c>
    </row>
    <row r="1090" spans="1:23" ht="15" customHeight="1" x14ac:dyDescent="0.25">
      <c r="A1090">
        <v>182</v>
      </c>
      <c r="B1090" s="1">
        <v>45838.333333333343</v>
      </c>
      <c r="C1090">
        <v>8</v>
      </c>
      <c r="D1090" t="s">
        <v>57</v>
      </c>
      <c r="E1090">
        <v>6</v>
      </c>
      <c r="F1090" t="s">
        <v>38</v>
      </c>
      <c r="G1090" t="s">
        <v>33</v>
      </c>
      <c r="H1090" t="s">
        <v>53</v>
      </c>
      <c r="I1090" t="s">
        <v>19</v>
      </c>
      <c r="J1090" t="s">
        <v>26</v>
      </c>
      <c r="K1090" s="2">
        <v>12500</v>
      </c>
      <c r="L1090" s="3">
        <v>21.9</v>
      </c>
      <c r="M1090" s="3">
        <v>62.6</v>
      </c>
      <c r="N1090" s="3">
        <v>388.8</v>
      </c>
      <c r="O1090" s="2">
        <v>311</v>
      </c>
      <c r="P1090">
        <v>0</v>
      </c>
      <c r="Q1090" t="s">
        <v>14</v>
      </c>
      <c r="R1090" s="4">
        <v>64.44</v>
      </c>
      <c r="S1090" s="4">
        <v>58.71</v>
      </c>
      <c r="T1090" t="s">
        <v>34</v>
      </c>
      <c r="U1090" s="4">
        <v>0.89</v>
      </c>
      <c r="V1090" s="4">
        <v>5.1550000000000002</v>
      </c>
      <c r="W1090" s="4">
        <v>5.73</v>
      </c>
    </row>
    <row r="1091" spans="1:23" ht="15" customHeight="1" x14ac:dyDescent="0.25">
      <c r="A1091">
        <v>1654</v>
      </c>
      <c r="B1091" s="1">
        <v>45838.333333333343</v>
      </c>
      <c r="C1091">
        <v>8</v>
      </c>
      <c r="D1091" t="s">
        <v>57</v>
      </c>
      <c r="E1091">
        <v>6</v>
      </c>
      <c r="F1091" t="s">
        <v>38</v>
      </c>
      <c r="G1091" t="s">
        <v>33</v>
      </c>
      <c r="H1091" t="s">
        <v>49</v>
      </c>
      <c r="I1091" t="s">
        <v>27</v>
      </c>
      <c r="J1091" t="s">
        <v>18</v>
      </c>
      <c r="K1091" s="2">
        <v>26000</v>
      </c>
      <c r="L1091" s="3">
        <v>23.7</v>
      </c>
      <c r="M1091" s="3"/>
      <c r="N1091" s="3">
        <v>387.9</v>
      </c>
      <c r="O1091" s="2">
        <v>167</v>
      </c>
      <c r="P1091">
        <v>1</v>
      </c>
      <c r="Q1091" t="s">
        <v>23</v>
      </c>
      <c r="R1091" s="4">
        <v>136.15</v>
      </c>
      <c r="S1091" s="4">
        <v>99.65</v>
      </c>
      <c r="T1091" t="s">
        <v>34</v>
      </c>
      <c r="U1091" s="4">
        <v>5.32</v>
      </c>
      <c r="V1091" s="4">
        <v>5.2370000000000001</v>
      </c>
      <c r="W1091" s="4">
        <v>36.5</v>
      </c>
    </row>
    <row r="1092" spans="1:23" ht="15" customHeight="1" x14ac:dyDescent="0.25">
      <c r="A1092">
        <v>2022</v>
      </c>
      <c r="B1092" s="1">
        <v>45838.333333333343</v>
      </c>
      <c r="C1092">
        <v>8</v>
      </c>
      <c r="D1092" t="s">
        <v>57</v>
      </c>
      <c r="E1092">
        <v>6</v>
      </c>
      <c r="F1092" t="s">
        <v>38</v>
      </c>
      <c r="G1092" t="s">
        <v>33</v>
      </c>
      <c r="H1092" t="s">
        <v>52</v>
      </c>
      <c r="I1092" t="s">
        <v>13</v>
      </c>
      <c r="J1092" t="s">
        <v>21</v>
      </c>
      <c r="K1092" s="2">
        <v>9800</v>
      </c>
      <c r="L1092" s="3">
        <v>22.5</v>
      </c>
      <c r="M1092" s="3">
        <v>66.599999999999994</v>
      </c>
      <c r="N1092" s="3">
        <v>393.5</v>
      </c>
      <c r="O1092" s="2">
        <v>66</v>
      </c>
      <c r="P1092">
        <v>0</v>
      </c>
      <c r="Q1092" t="s">
        <v>14</v>
      </c>
      <c r="R1092" s="4">
        <v>18.41</v>
      </c>
      <c r="S1092" s="4">
        <v>0</v>
      </c>
      <c r="T1092" t="s">
        <v>34</v>
      </c>
      <c r="U1092" s="4">
        <v>2.72</v>
      </c>
      <c r="V1092" s="4">
        <v>1.879</v>
      </c>
      <c r="W1092" s="4">
        <v>18.41</v>
      </c>
    </row>
    <row r="1093" spans="1:23" ht="15" customHeight="1" x14ac:dyDescent="0.25">
      <c r="A1093">
        <v>1286</v>
      </c>
      <c r="B1093" s="1">
        <v>45838.333333333343</v>
      </c>
      <c r="C1093">
        <v>8</v>
      </c>
      <c r="D1093" t="s">
        <v>57</v>
      </c>
      <c r="E1093">
        <v>6</v>
      </c>
      <c r="F1093" t="s">
        <v>38</v>
      </c>
      <c r="G1093" t="s">
        <v>33</v>
      </c>
      <c r="H1093" t="s">
        <v>51</v>
      </c>
      <c r="I1093" t="s">
        <v>25</v>
      </c>
      <c r="J1093" t="s">
        <v>15</v>
      </c>
      <c r="K1093" s="2">
        <v>17400</v>
      </c>
      <c r="L1093" s="3">
        <v>24.2</v>
      </c>
      <c r="M1093" s="3">
        <v>70</v>
      </c>
      <c r="N1093" s="3">
        <v>465.1</v>
      </c>
      <c r="O1093" s="2">
        <v>91</v>
      </c>
      <c r="P1093">
        <v>0</v>
      </c>
      <c r="Q1093" t="s">
        <v>14</v>
      </c>
      <c r="R1093" s="4">
        <v>34.22</v>
      </c>
      <c r="S1093" s="4">
        <v>55.96</v>
      </c>
      <c r="T1093" t="s">
        <v>34</v>
      </c>
      <c r="U1093" s="4">
        <v>-1.37</v>
      </c>
      <c r="V1093" s="4">
        <v>1.9670000000000001</v>
      </c>
      <c r="W1093" s="4">
        <v>0</v>
      </c>
    </row>
    <row r="1094" spans="1:23" ht="15" customHeight="1" x14ac:dyDescent="0.25">
      <c r="A1094">
        <v>919</v>
      </c>
      <c r="B1094" s="1">
        <v>45838.583333333343</v>
      </c>
      <c r="C1094">
        <v>14</v>
      </c>
      <c r="D1094" t="s">
        <v>57</v>
      </c>
      <c r="E1094">
        <v>6</v>
      </c>
      <c r="F1094" t="s">
        <v>38</v>
      </c>
      <c r="G1094" t="s">
        <v>33</v>
      </c>
      <c r="H1094" t="s">
        <v>50</v>
      </c>
      <c r="I1094" t="s">
        <v>22</v>
      </c>
      <c r="J1094" t="s">
        <v>12</v>
      </c>
      <c r="K1094" s="2">
        <v>21000</v>
      </c>
      <c r="L1094" s="3">
        <v>34.6</v>
      </c>
      <c r="M1094" s="3">
        <v>48.3</v>
      </c>
      <c r="N1094" s="3">
        <v>721.8</v>
      </c>
      <c r="O1094" s="2">
        <v>420</v>
      </c>
      <c r="P1094">
        <v>1</v>
      </c>
      <c r="Q1094" t="s">
        <v>20</v>
      </c>
      <c r="R1094" s="4">
        <v>239.33</v>
      </c>
      <c r="S1094" s="4">
        <v>145.22999999999999</v>
      </c>
      <c r="T1094" t="s">
        <v>34</v>
      </c>
      <c r="U1094" s="4">
        <v>13.6</v>
      </c>
      <c r="V1094" s="4">
        <v>11.397</v>
      </c>
      <c r="W1094" s="4">
        <v>94.1</v>
      </c>
    </row>
    <row r="1095" spans="1:23" ht="15" customHeight="1" x14ac:dyDescent="0.25">
      <c r="A1095">
        <v>551</v>
      </c>
      <c r="B1095" s="1">
        <v>45838.583333333343</v>
      </c>
      <c r="C1095">
        <v>14</v>
      </c>
      <c r="D1095" t="s">
        <v>57</v>
      </c>
      <c r="E1095">
        <v>6</v>
      </c>
      <c r="F1095" t="s">
        <v>38</v>
      </c>
      <c r="G1095" t="s">
        <v>33</v>
      </c>
      <c r="H1095" t="s">
        <v>54</v>
      </c>
      <c r="I1095" t="s">
        <v>16</v>
      </c>
      <c r="J1095" t="s">
        <v>24</v>
      </c>
      <c r="K1095" s="2">
        <v>8600</v>
      </c>
      <c r="L1095" s="3">
        <v>21.2</v>
      </c>
      <c r="M1095" s="3">
        <v>86.5</v>
      </c>
      <c r="N1095" s="3">
        <v>518.4</v>
      </c>
      <c r="O1095" s="2">
        <v>787</v>
      </c>
      <c r="P1095">
        <v>0</v>
      </c>
      <c r="Q1095" t="s">
        <v>14</v>
      </c>
      <c r="R1095" s="4">
        <v>75.69</v>
      </c>
      <c r="S1095" s="4">
        <v>38.67</v>
      </c>
      <c r="T1095" t="s">
        <v>34</v>
      </c>
      <c r="U1095" s="4">
        <v>5.41</v>
      </c>
      <c r="V1095" s="4">
        <v>8.8010000000000002</v>
      </c>
      <c r="W1095" s="4">
        <v>37.020000000000003</v>
      </c>
    </row>
    <row r="1096" spans="1:23" ht="15" customHeight="1" x14ac:dyDescent="0.25">
      <c r="A1096">
        <v>1287</v>
      </c>
      <c r="B1096" s="1">
        <v>45838.583333333343</v>
      </c>
      <c r="C1096">
        <v>14</v>
      </c>
      <c r="D1096" t="s">
        <v>57</v>
      </c>
      <c r="E1096">
        <v>6</v>
      </c>
      <c r="F1096" t="s">
        <v>38</v>
      </c>
      <c r="G1096" t="s">
        <v>33</v>
      </c>
      <c r="H1096" t="s">
        <v>51</v>
      </c>
      <c r="I1096" t="s">
        <v>25</v>
      </c>
      <c r="J1096" t="s">
        <v>15</v>
      </c>
      <c r="K1096" s="2">
        <v>17400</v>
      </c>
      <c r="L1096" s="3">
        <v>28</v>
      </c>
      <c r="M1096" s="3">
        <v>42.9</v>
      </c>
      <c r="N1096" s="3">
        <v>916</v>
      </c>
      <c r="O1096" s="2">
        <v>1298</v>
      </c>
      <c r="P1096">
        <v>1</v>
      </c>
      <c r="Q1096" t="s">
        <v>20</v>
      </c>
      <c r="R1096" s="4">
        <v>217.18</v>
      </c>
      <c r="S1096" s="4">
        <v>122.21</v>
      </c>
      <c r="T1096" t="s">
        <v>34</v>
      </c>
      <c r="U1096" s="4">
        <v>14.17</v>
      </c>
      <c r="V1096" s="4">
        <v>12.481999999999999</v>
      </c>
      <c r="W1096" s="4">
        <v>94.97</v>
      </c>
    </row>
    <row r="1097" spans="1:23" ht="15" customHeight="1" x14ac:dyDescent="0.25">
      <c r="A1097">
        <v>183</v>
      </c>
      <c r="B1097" s="1">
        <v>45838.583333333343</v>
      </c>
      <c r="C1097">
        <v>14</v>
      </c>
      <c r="D1097" t="s">
        <v>57</v>
      </c>
      <c r="E1097">
        <v>6</v>
      </c>
      <c r="F1097" t="s">
        <v>38</v>
      </c>
      <c r="G1097" t="s">
        <v>33</v>
      </c>
      <c r="H1097" t="s">
        <v>53</v>
      </c>
      <c r="I1097" t="s">
        <v>19</v>
      </c>
      <c r="J1097" t="s">
        <v>26</v>
      </c>
      <c r="K1097" s="2">
        <v>12500</v>
      </c>
      <c r="L1097" s="3">
        <v>28.9</v>
      </c>
      <c r="M1097" s="3">
        <v>54.9</v>
      </c>
      <c r="N1097" s="3">
        <v>860.1</v>
      </c>
      <c r="O1097" s="2">
        <v>601</v>
      </c>
      <c r="P1097">
        <v>1</v>
      </c>
      <c r="Q1097" t="s">
        <v>20</v>
      </c>
      <c r="R1097" s="4">
        <v>115.03</v>
      </c>
      <c r="S1097" s="4">
        <v>130.57</v>
      </c>
      <c r="T1097" t="s">
        <v>34</v>
      </c>
      <c r="U1097" s="4">
        <v>-0.95</v>
      </c>
      <c r="V1097" s="4">
        <v>9.202</v>
      </c>
      <c r="W1097" s="4">
        <v>0</v>
      </c>
    </row>
    <row r="1098" spans="1:23" ht="15" customHeight="1" x14ac:dyDescent="0.25">
      <c r="A1098">
        <v>2023</v>
      </c>
      <c r="B1098" s="1">
        <v>45838.583333333343</v>
      </c>
      <c r="C1098">
        <v>14</v>
      </c>
      <c r="D1098" t="s">
        <v>57</v>
      </c>
      <c r="E1098">
        <v>6</v>
      </c>
      <c r="F1098" t="s">
        <v>38</v>
      </c>
      <c r="G1098" t="s">
        <v>33</v>
      </c>
      <c r="H1098" t="s">
        <v>52</v>
      </c>
      <c r="I1098" t="s">
        <v>13</v>
      </c>
      <c r="J1098" t="s">
        <v>21</v>
      </c>
      <c r="K1098" s="2">
        <v>9800</v>
      </c>
      <c r="L1098" s="3">
        <v>25.8</v>
      </c>
      <c r="M1098" s="3">
        <v>74.5</v>
      </c>
      <c r="N1098" s="3">
        <v>758</v>
      </c>
      <c r="O1098" s="2">
        <v>48</v>
      </c>
      <c r="P1098">
        <v>1</v>
      </c>
      <c r="Q1098" t="s">
        <v>20</v>
      </c>
      <c r="R1098" s="4">
        <v>21.11</v>
      </c>
      <c r="S1098" s="4">
        <v>0</v>
      </c>
      <c r="T1098" t="s">
        <v>34</v>
      </c>
      <c r="U1098" s="4">
        <v>3.2</v>
      </c>
      <c r="V1098" s="4">
        <v>2.1539999999999999</v>
      </c>
      <c r="W1098" s="4">
        <v>21.11</v>
      </c>
    </row>
    <row r="1099" spans="1:23" ht="15" customHeight="1" x14ac:dyDescent="0.25">
      <c r="A1099">
        <v>1655</v>
      </c>
      <c r="B1099" s="1">
        <v>45838.583333333343</v>
      </c>
      <c r="C1099">
        <v>14</v>
      </c>
      <c r="D1099" t="s">
        <v>57</v>
      </c>
      <c r="E1099">
        <v>6</v>
      </c>
      <c r="F1099" t="s">
        <v>38</v>
      </c>
      <c r="G1099" t="s">
        <v>33</v>
      </c>
      <c r="H1099" t="s">
        <v>49</v>
      </c>
      <c r="I1099" t="s">
        <v>27</v>
      </c>
      <c r="J1099" t="s">
        <v>18</v>
      </c>
      <c r="K1099" s="2">
        <v>26000</v>
      </c>
      <c r="L1099" s="3">
        <v>34.5</v>
      </c>
      <c r="M1099" s="3">
        <v>33.700000000000003</v>
      </c>
      <c r="N1099" s="3">
        <v>857.6</v>
      </c>
      <c r="O1099" s="2">
        <v>153</v>
      </c>
      <c r="P1099">
        <v>1</v>
      </c>
      <c r="Q1099" t="s">
        <v>20</v>
      </c>
      <c r="R1099" s="4">
        <v>191.65</v>
      </c>
      <c r="S1099" s="4">
        <v>232.79</v>
      </c>
      <c r="T1099" t="s">
        <v>34</v>
      </c>
      <c r="U1099" s="4">
        <v>-2.46</v>
      </c>
      <c r="V1099" s="4">
        <v>7.3710000000000004</v>
      </c>
      <c r="W1099" s="4">
        <v>0</v>
      </c>
    </row>
    <row r="1100" spans="1:23" ht="15" customHeight="1" x14ac:dyDescent="0.25">
      <c r="A1100">
        <v>1288</v>
      </c>
      <c r="B1100" s="1">
        <v>45838.833333333343</v>
      </c>
      <c r="C1100">
        <v>20</v>
      </c>
      <c r="D1100" t="s">
        <v>57</v>
      </c>
      <c r="E1100">
        <v>6</v>
      </c>
      <c r="F1100" t="s">
        <v>38</v>
      </c>
      <c r="G1100" t="s">
        <v>33</v>
      </c>
      <c r="H1100" t="s">
        <v>51</v>
      </c>
      <c r="I1100" t="s">
        <v>25</v>
      </c>
      <c r="J1100" t="s">
        <v>15</v>
      </c>
      <c r="K1100" s="2">
        <v>17400</v>
      </c>
      <c r="L1100" s="3">
        <v>27</v>
      </c>
      <c r="M1100" s="3">
        <v>72.900000000000006</v>
      </c>
      <c r="N1100" s="3">
        <v>47.1</v>
      </c>
      <c r="O1100" s="2">
        <v>1205</v>
      </c>
      <c r="P1100">
        <v>1</v>
      </c>
      <c r="Q1100" t="s">
        <v>20</v>
      </c>
      <c r="R1100" s="4">
        <v>289.58</v>
      </c>
      <c r="S1100" s="4">
        <v>5.68</v>
      </c>
      <c r="T1100" t="s">
        <v>37</v>
      </c>
      <c r="U1100" s="4">
        <v>65.84</v>
      </c>
      <c r="V1100" s="4">
        <v>16.643000000000001</v>
      </c>
      <c r="W1100" s="4">
        <v>283.89999999999998</v>
      </c>
    </row>
    <row r="1101" spans="1:23" ht="15" customHeight="1" x14ac:dyDescent="0.25">
      <c r="A1101">
        <v>1656</v>
      </c>
      <c r="B1101" s="1">
        <v>45838.833333333343</v>
      </c>
      <c r="C1101">
        <v>20</v>
      </c>
      <c r="D1101" t="s">
        <v>57</v>
      </c>
      <c r="E1101">
        <v>6</v>
      </c>
      <c r="F1101" t="s">
        <v>38</v>
      </c>
      <c r="G1101" t="s">
        <v>33</v>
      </c>
      <c r="H1101" t="s">
        <v>49</v>
      </c>
      <c r="I1101" t="s">
        <v>27</v>
      </c>
      <c r="J1101" t="s">
        <v>18</v>
      </c>
      <c r="K1101" s="2">
        <v>26000</v>
      </c>
      <c r="L1101" s="3">
        <v>26.8</v>
      </c>
      <c r="M1101" s="3">
        <v>52.3</v>
      </c>
      <c r="N1101" s="3">
        <v>72.8</v>
      </c>
      <c r="O1101" s="2">
        <v>159</v>
      </c>
      <c r="P1101">
        <v>1</v>
      </c>
      <c r="Q1101" t="s">
        <v>20</v>
      </c>
      <c r="R1101" s="4">
        <v>258.39</v>
      </c>
      <c r="S1101" s="4">
        <v>18.170000000000002</v>
      </c>
      <c r="T1101" t="s">
        <v>37</v>
      </c>
      <c r="U1101" s="4">
        <v>58.06</v>
      </c>
      <c r="V1101" s="4">
        <v>9.9380000000000006</v>
      </c>
      <c r="W1101" s="4">
        <v>240.22</v>
      </c>
    </row>
    <row r="1102" spans="1:23" ht="15" customHeight="1" x14ac:dyDescent="0.25">
      <c r="A1102">
        <v>552</v>
      </c>
      <c r="B1102" s="1">
        <v>45838.833333333343</v>
      </c>
      <c r="C1102">
        <v>20</v>
      </c>
      <c r="D1102" t="s">
        <v>57</v>
      </c>
      <c r="E1102">
        <v>6</v>
      </c>
      <c r="F1102" t="s">
        <v>38</v>
      </c>
      <c r="G1102" t="s">
        <v>33</v>
      </c>
      <c r="H1102" t="s">
        <v>54</v>
      </c>
      <c r="I1102" t="s">
        <v>16</v>
      </c>
      <c r="J1102" t="s">
        <v>24</v>
      </c>
      <c r="K1102" s="2">
        <v>8600</v>
      </c>
      <c r="L1102" s="3">
        <v>23.9</v>
      </c>
      <c r="M1102" s="3">
        <v>74.5</v>
      </c>
      <c r="N1102" s="3">
        <v>68.599999999999994</v>
      </c>
      <c r="O1102" s="2">
        <v>34</v>
      </c>
      <c r="P1102">
        <v>1</v>
      </c>
      <c r="Q1102" t="s">
        <v>23</v>
      </c>
      <c r="R1102" s="4">
        <v>18.420000000000002</v>
      </c>
      <c r="S1102" s="4">
        <v>4.92</v>
      </c>
      <c r="T1102" t="s">
        <v>37</v>
      </c>
      <c r="U1102" s="4">
        <v>3.15</v>
      </c>
      <c r="V1102" s="4">
        <v>2.1419999999999999</v>
      </c>
      <c r="W1102" s="4">
        <v>13.5</v>
      </c>
    </row>
    <row r="1103" spans="1:23" ht="15" customHeight="1" x14ac:dyDescent="0.25">
      <c r="A1103">
        <v>920</v>
      </c>
      <c r="B1103" s="1">
        <v>45838.833333333343</v>
      </c>
      <c r="C1103">
        <v>20</v>
      </c>
      <c r="D1103" t="s">
        <v>57</v>
      </c>
      <c r="E1103">
        <v>6</v>
      </c>
      <c r="F1103" t="s">
        <v>38</v>
      </c>
      <c r="G1103" t="s">
        <v>33</v>
      </c>
      <c r="H1103" t="s">
        <v>50</v>
      </c>
      <c r="I1103" t="s">
        <v>22</v>
      </c>
      <c r="J1103" t="s">
        <v>12</v>
      </c>
      <c r="K1103" s="2">
        <v>21000</v>
      </c>
      <c r="L1103" s="3">
        <v>29.8</v>
      </c>
      <c r="M1103" s="3">
        <v>54</v>
      </c>
      <c r="N1103" s="3">
        <v>63.8</v>
      </c>
      <c r="O1103" s="2">
        <v>423</v>
      </c>
      <c r="P1103">
        <v>1</v>
      </c>
      <c r="Q1103" t="s">
        <v>20</v>
      </c>
      <c r="R1103" s="4">
        <v>311.73</v>
      </c>
      <c r="S1103" s="4">
        <v>12.48</v>
      </c>
      <c r="T1103" t="s">
        <v>37</v>
      </c>
      <c r="U1103" s="4">
        <v>69.13</v>
      </c>
      <c r="V1103" s="4">
        <v>14.843999999999999</v>
      </c>
      <c r="W1103" s="4">
        <v>299.25</v>
      </c>
    </row>
    <row r="1104" spans="1:23" ht="15" customHeight="1" x14ac:dyDescent="0.25">
      <c r="A1104">
        <v>2024</v>
      </c>
      <c r="B1104" s="1">
        <v>45838.833333333343</v>
      </c>
      <c r="C1104">
        <v>20</v>
      </c>
      <c r="D1104" t="s">
        <v>57</v>
      </c>
      <c r="E1104">
        <v>6</v>
      </c>
      <c r="F1104" t="s">
        <v>38</v>
      </c>
      <c r="G1104" t="s">
        <v>33</v>
      </c>
      <c r="H1104" t="s">
        <v>52</v>
      </c>
      <c r="I1104" t="s">
        <v>13</v>
      </c>
      <c r="J1104" t="s">
        <v>21</v>
      </c>
      <c r="K1104" s="2">
        <v>9800</v>
      </c>
      <c r="L1104" s="3">
        <v>23.6</v>
      </c>
      <c r="M1104" s="3">
        <v>74.400000000000006</v>
      </c>
      <c r="N1104" s="3">
        <v>85.8</v>
      </c>
      <c r="O1104" s="2"/>
      <c r="P1104">
        <v>1</v>
      </c>
      <c r="Q1104" t="s">
        <v>23</v>
      </c>
      <c r="R1104" s="4">
        <v>102.78</v>
      </c>
      <c r="S1104" s="4">
        <v>0</v>
      </c>
      <c r="T1104" t="s">
        <v>37</v>
      </c>
      <c r="U1104" s="4">
        <v>22.68</v>
      </c>
      <c r="V1104" s="4">
        <v>10.488</v>
      </c>
      <c r="W1104" s="4">
        <v>102.78</v>
      </c>
    </row>
    <row r="1105" spans="1:23" ht="15" customHeight="1" x14ac:dyDescent="0.25">
      <c r="A1105">
        <v>184</v>
      </c>
      <c r="B1105" s="1">
        <v>45838.833333333343</v>
      </c>
      <c r="C1105">
        <v>20</v>
      </c>
      <c r="D1105" t="s">
        <v>57</v>
      </c>
      <c r="E1105">
        <v>6</v>
      </c>
      <c r="F1105" t="s">
        <v>38</v>
      </c>
      <c r="G1105" t="s">
        <v>33</v>
      </c>
      <c r="H1105" t="s">
        <v>53</v>
      </c>
      <c r="I1105" t="s">
        <v>19</v>
      </c>
      <c r="J1105" t="s">
        <v>26</v>
      </c>
      <c r="K1105" s="2">
        <v>12500</v>
      </c>
      <c r="L1105" s="3">
        <v>26.9</v>
      </c>
      <c r="M1105" s="3">
        <v>48.7</v>
      </c>
      <c r="N1105" s="3">
        <v>10</v>
      </c>
      <c r="O1105" s="2">
        <v>72</v>
      </c>
      <c r="P1105">
        <v>1</v>
      </c>
      <c r="Q1105" t="s">
        <v>20</v>
      </c>
      <c r="R1105" s="4">
        <v>43.13</v>
      </c>
      <c r="S1105" s="4">
        <v>1.44</v>
      </c>
      <c r="T1105" t="s">
        <v>37</v>
      </c>
      <c r="U1105" s="4">
        <v>9.67</v>
      </c>
      <c r="V1105" s="4">
        <v>3.45</v>
      </c>
      <c r="W1105" s="4">
        <v>41.69</v>
      </c>
    </row>
    <row r="1106" spans="1:23" ht="15" customHeight="1" x14ac:dyDescent="0.25">
      <c r="A1106">
        <v>2025</v>
      </c>
      <c r="B1106" s="1">
        <v>45842</v>
      </c>
      <c r="C1106">
        <v>0</v>
      </c>
      <c r="D1106" t="s">
        <v>58</v>
      </c>
      <c r="E1106">
        <v>7</v>
      </c>
      <c r="F1106" t="s">
        <v>38</v>
      </c>
      <c r="G1106" t="s">
        <v>33</v>
      </c>
      <c r="H1106" t="s">
        <v>52</v>
      </c>
      <c r="I1106" t="s">
        <v>13</v>
      </c>
      <c r="J1106" t="s">
        <v>21</v>
      </c>
      <c r="K1106" s="2">
        <v>9800</v>
      </c>
      <c r="L1106" s="3">
        <v>19.399999999999999</v>
      </c>
      <c r="M1106" s="3">
        <v>74</v>
      </c>
      <c r="N1106" s="3">
        <v>0</v>
      </c>
      <c r="O1106" s="2">
        <v>294</v>
      </c>
      <c r="P1106">
        <v>0</v>
      </c>
      <c r="Q1106" t="s">
        <v>14</v>
      </c>
      <c r="R1106" s="4">
        <v>92.45</v>
      </c>
      <c r="S1106" s="4">
        <v>0</v>
      </c>
      <c r="T1106" t="s">
        <v>31</v>
      </c>
      <c r="U1106" s="4">
        <v>8.9</v>
      </c>
      <c r="V1106" s="4">
        <v>9.4339999999999993</v>
      </c>
      <c r="W1106" s="4">
        <v>92.45</v>
      </c>
    </row>
    <row r="1107" spans="1:23" ht="15" customHeight="1" x14ac:dyDescent="0.25">
      <c r="A1107">
        <v>1657</v>
      </c>
      <c r="B1107" s="1">
        <v>45842</v>
      </c>
      <c r="C1107">
        <v>0</v>
      </c>
      <c r="D1107" t="s">
        <v>58</v>
      </c>
      <c r="E1107">
        <v>7</v>
      </c>
      <c r="F1107" t="s">
        <v>38</v>
      </c>
      <c r="G1107" t="s">
        <v>33</v>
      </c>
      <c r="H1107" t="s">
        <v>49</v>
      </c>
      <c r="I1107" t="s">
        <v>27</v>
      </c>
      <c r="J1107" t="s">
        <v>18</v>
      </c>
      <c r="K1107" s="2">
        <v>26000</v>
      </c>
      <c r="L1107" s="3">
        <v>20</v>
      </c>
      <c r="M1107" s="3">
        <v>61.5</v>
      </c>
      <c r="N1107" s="3">
        <v>0</v>
      </c>
      <c r="O1107" s="2">
        <v>63</v>
      </c>
      <c r="P1107">
        <v>0</v>
      </c>
      <c r="Q1107" t="s">
        <v>14</v>
      </c>
      <c r="R1107" s="4">
        <v>110.85</v>
      </c>
      <c r="S1107" s="4">
        <v>0</v>
      </c>
      <c r="T1107" t="s">
        <v>31</v>
      </c>
      <c r="U1107" s="4">
        <v>10.49</v>
      </c>
      <c r="V1107" s="4">
        <v>4.2629999999999999</v>
      </c>
      <c r="W1107" s="4">
        <v>110.85</v>
      </c>
    </row>
    <row r="1108" spans="1:23" ht="15" customHeight="1" x14ac:dyDescent="0.25">
      <c r="A1108">
        <v>553</v>
      </c>
      <c r="B1108" s="1">
        <v>45842</v>
      </c>
      <c r="C1108">
        <v>0</v>
      </c>
      <c r="D1108" t="s">
        <v>58</v>
      </c>
      <c r="E1108">
        <v>7</v>
      </c>
      <c r="F1108" t="s">
        <v>38</v>
      </c>
      <c r="G1108" t="s">
        <v>33</v>
      </c>
      <c r="H1108" t="s">
        <v>54</v>
      </c>
      <c r="I1108" t="s">
        <v>16</v>
      </c>
      <c r="J1108" t="s">
        <v>24</v>
      </c>
      <c r="K1108" s="2">
        <v>8600</v>
      </c>
      <c r="L1108" s="3">
        <v>18</v>
      </c>
      <c r="M1108" s="3">
        <v>69.7</v>
      </c>
      <c r="N1108" s="3">
        <v>0</v>
      </c>
      <c r="O1108" s="2">
        <v>0</v>
      </c>
      <c r="P1108">
        <v>0</v>
      </c>
      <c r="Q1108" t="s">
        <v>14</v>
      </c>
      <c r="R1108" s="4">
        <v>11.49</v>
      </c>
      <c r="S1108" s="4">
        <v>0</v>
      </c>
      <c r="T1108" t="s">
        <v>31</v>
      </c>
      <c r="U1108" s="4">
        <v>1.03</v>
      </c>
      <c r="V1108" s="4">
        <v>1.3360000000000001</v>
      </c>
      <c r="W1108" s="4">
        <v>11.49</v>
      </c>
    </row>
    <row r="1109" spans="1:23" ht="15" customHeight="1" x14ac:dyDescent="0.25">
      <c r="A1109">
        <v>1289</v>
      </c>
      <c r="B1109" s="1">
        <v>45842</v>
      </c>
      <c r="C1109">
        <v>0</v>
      </c>
      <c r="D1109" t="s">
        <v>58</v>
      </c>
      <c r="E1109">
        <v>7</v>
      </c>
      <c r="F1109" t="s">
        <v>38</v>
      </c>
      <c r="G1109" t="s">
        <v>33</v>
      </c>
      <c r="H1109" t="s">
        <v>51</v>
      </c>
      <c r="I1109" t="s">
        <v>25</v>
      </c>
      <c r="J1109" t="s">
        <v>15</v>
      </c>
      <c r="K1109" s="2">
        <v>17400</v>
      </c>
      <c r="L1109" s="3">
        <v>20.6</v>
      </c>
      <c r="M1109" s="3">
        <v>69</v>
      </c>
      <c r="N1109" s="3">
        <v>0</v>
      </c>
      <c r="O1109" s="2"/>
      <c r="P1109">
        <v>0</v>
      </c>
      <c r="Q1109" t="s">
        <v>14</v>
      </c>
      <c r="R1109" s="4">
        <v>49.54</v>
      </c>
      <c r="S1109" s="4">
        <v>0</v>
      </c>
      <c r="T1109" t="s">
        <v>31</v>
      </c>
      <c r="U1109" s="4">
        <v>4.82</v>
      </c>
      <c r="V1109" s="4">
        <v>2.847</v>
      </c>
      <c r="W1109" s="4">
        <v>49.54</v>
      </c>
    </row>
    <row r="1110" spans="1:23" ht="15" customHeight="1" x14ac:dyDescent="0.25">
      <c r="A1110">
        <v>185</v>
      </c>
      <c r="B1110" s="1">
        <v>45842</v>
      </c>
      <c r="C1110">
        <v>0</v>
      </c>
      <c r="D1110" t="s">
        <v>58</v>
      </c>
      <c r="E1110">
        <v>7</v>
      </c>
      <c r="F1110" t="s">
        <v>38</v>
      </c>
      <c r="G1110" t="s">
        <v>33</v>
      </c>
      <c r="H1110" t="s">
        <v>53</v>
      </c>
      <c r="I1110" t="s">
        <v>19</v>
      </c>
      <c r="J1110" t="s">
        <v>26</v>
      </c>
      <c r="K1110" s="2">
        <v>12500</v>
      </c>
      <c r="L1110" s="3">
        <v>23.3</v>
      </c>
      <c r="M1110" s="3">
        <v>45.6</v>
      </c>
      <c r="N1110" s="3">
        <v>0</v>
      </c>
      <c r="O1110" s="2">
        <v>23</v>
      </c>
      <c r="P1110">
        <v>0</v>
      </c>
      <c r="Q1110" t="s">
        <v>14</v>
      </c>
      <c r="R1110" s="4">
        <v>24.43</v>
      </c>
      <c r="S1110" s="4">
        <v>0</v>
      </c>
      <c r="T1110" t="s">
        <v>31</v>
      </c>
      <c r="U1110" s="4">
        <v>2.35</v>
      </c>
      <c r="V1110" s="4">
        <v>1.954</v>
      </c>
      <c r="W1110" s="4">
        <v>24.43</v>
      </c>
    </row>
    <row r="1111" spans="1:23" ht="15" customHeight="1" x14ac:dyDescent="0.25">
      <c r="A1111">
        <v>921</v>
      </c>
      <c r="B1111" s="1">
        <v>45842</v>
      </c>
      <c r="C1111">
        <v>0</v>
      </c>
      <c r="D1111" t="s">
        <v>58</v>
      </c>
      <c r="E1111">
        <v>7</v>
      </c>
      <c r="F1111" t="s">
        <v>38</v>
      </c>
      <c r="G1111" t="s">
        <v>33</v>
      </c>
      <c r="H1111" t="s">
        <v>50</v>
      </c>
      <c r="I1111" t="s">
        <v>22</v>
      </c>
      <c r="J1111" t="s">
        <v>12</v>
      </c>
      <c r="K1111" s="2">
        <v>21000</v>
      </c>
      <c r="L1111" s="3">
        <v>22.8</v>
      </c>
      <c r="M1111" s="3"/>
      <c r="N1111" s="3">
        <v>0</v>
      </c>
      <c r="O1111" s="2">
        <v>160</v>
      </c>
      <c r="P1111">
        <v>0</v>
      </c>
      <c r="Q1111" t="s">
        <v>14</v>
      </c>
      <c r="R1111" s="4">
        <v>171.44</v>
      </c>
      <c r="S1111" s="4">
        <v>0</v>
      </c>
      <c r="T1111" t="s">
        <v>31</v>
      </c>
      <c r="U1111" s="4">
        <v>15.89</v>
      </c>
      <c r="V1111" s="4">
        <v>8.1639999999999997</v>
      </c>
      <c r="W1111" s="4">
        <v>171.44</v>
      </c>
    </row>
    <row r="1112" spans="1:23" ht="15" customHeight="1" x14ac:dyDescent="0.25">
      <c r="A1112">
        <v>922</v>
      </c>
      <c r="B1112" s="1">
        <v>45842.333333333343</v>
      </c>
      <c r="C1112">
        <v>8</v>
      </c>
      <c r="D1112" t="s">
        <v>58</v>
      </c>
      <c r="E1112">
        <v>7</v>
      </c>
      <c r="F1112" t="s">
        <v>38</v>
      </c>
      <c r="G1112" t="s">
        <v>33</v>
      </c>
      <c r="H1112" t="s">
        <v>50</v>
      </c>
      <c r="I1112" t="s">
        <v>22</v>
      </c>
      <c r="J1112" t="s">
        <v>12</v>
      </c>
      <c r="K1112" s="2">
        <v>21000</v>
      </c>
      <c r="L1112" s="3">
        <v>25.8</v>
      </c>
      <c r="M1112" s="3">
        <v>54.7</v>
      </c>
      <c r="N1112" s="3">
        <v>467.4</v>
      </c>
      <c r="O1112" s="2">
        <v>391</v>
      </c>
      <c r="P1112">
        <v>1</v>
      </c>
      <c r="Q1112" t="s">
        <v>20</v>
      </c>
      <c r="R1112" s="4">
        <v>214.53</v>
      </c>
      <c r="S1112" s="4">
        <v>91.38</v>
      </c>
      <c r="T1112" t="s">
        <v>34</v>
      </c>
      <c r="U1112" s="4">
        <v>18.89</v>
      </c>
      <c r="V1112" s="4">
        <v>10.215999999999999</v>
      </c>
      <c r="W1112" s="4">
        <v>123.15</v>
      </c>
    </row>
    <row r="1113" spans="1:23" ht="15" customHeight="1" x14ac:dyDescent="0.25">
      <c r="A1113">
        <v>1658</v>
      </c>
      <c r="B1113" s="1">
        <v>45842.333333333343</v>
      </c>
      <c r="C1113">
        <v>8</v>
      </c>
      <c r="D1113" t="s">
        <v>58</v>
      </c>
      <c r="E1113">
        <v>7</v>
      </c>
      <c r="F1113" t="s">
        <v>38</v>
      </c>
      <c r="G1113" t="s">
        <v>33</v>
      </c>
      <c r="H1113" t="s">
        <v>49</v>
      </c>
      <c r="I1113" t="s">
        <v>27</v>
      </c>
      <c r="J1113" t="s">
        <v>18</v>
      </c>
      <c r="K1113" s="2">
        <v>26000</v>
      </c>
      <c r="L1113" s="3">
        <v>24.3</v>
      </c>
      <c r="M1113" s="3">
        <v>60.5</v>
      </c>
      <c r="N1113" s="3">
        <v>430.1</v>
      </c>
      <c r="O1113" s="2">
        <v>168</v>
      </c>
      <c r="P1113">
        <v>1</v>
      </c>
      <c r="Q1113" t="s">
        <v>20</v>
      </c>
      <c r="R1113" s="4">
        <v>150.53</v>
      </c>
      <c r="S1113" s="4">
        <v>114.26</v>
      </c>
      <c r="T1113" t="s">
        <v>34</v>
      </c>
      <c r="U1113" s="4">
        <v>5.38</v>
      </c>
      <c r="V1113" s="4">
        <v>5.79</v>
      </c>
      <c r="W1113" s="4">
        <v>36.270000000000003</v>
      </c>
    </row>
    <row r="1114" spans="1:23" ht="15" customHeight="1" x14ac:dyDescent="0.25">
      <c r="A1114">
        <v>186</v>
      </c>
      <c r="B1114" s="1">
        <v>45842.333333333343</v>
      </c>
      <c r="C1114">
        <v>8</v>
      </c>
      <c r="D1114" t="s">
        <v>58</v>
      </c>
      <c r="E1114">
        <v>7</v>
      </c>
      <c r="F1114" t="s">
        <v>38</v>
      </c>
      <c r="G1114" t="s">
        <v>33</v>
      </c>
      <c r="H1114" t="s">
        <v>53</v>
      </c>
      <c r="I1114" t="s">
        <v>19</v>
      </c>
      <c r="J1114" t="s">
        <v>26</v>
      </c>
      <c r="K1114" s="2">
        <v>12500</v>
      </c>
      <c r="L1114" s="3">
        <v>20.3</v>
      </c>
      <c r="M1114" s="3">
        <v>46.5</v>
      </c>
      <c r="N1114" s="3">
        <v>459.3</v>
      </c>
      <c r="O1114" s="2">
        <v>331</v>
      </c>
      <c r="P1114">
        <v>0</v>
      </c>
      <c r="Q1114" t="s">
        <v>14</v>
      </c>
      <c r="R1114" s="4">
        <v>69.39</v>
      </c>
      <c r="S1114" s="4">
        <v>69.77</v>
      </c>
      <c r="T1114" t="s">
        <v>34</v>
      </c>
      <c r="U1114" s="4">
        <v>-0.02</v>
      </c>
      <c r="V1114" s="4">
        <v>5.5510000000000002</v>
      </c>
      <c r="W1114" s="4">
        <v>0</v>
      </c>
    </row>
    <row r="1115" spans="1:23" ht="15" customHeight="1" x14ac:dyDescent="0.25">
      <c r="A1115">
        <v>554</v>
      </c>
      <c r="B1115" s="1">
        <v>45842.333333333343</v>
      </c>
      <c r="C1115">
        <v>8</v>
      </c>
      <c r="D1115" t="s">
        <v>58</v>
      </c>
      <c r="E1115">
        <v>7</v>
      </c>
      <c r="F1115" t="s">
        <v>38</v>
      </c>
      <c r="G1115" t="s">
        <v>33</v>
      </c>
      <c r="H1115" t="s">
        <v>54</v>
      </c>
      <c r="I1115" t="s">
        <v>16</v>
      </c>
      <c r="J1115" t="s">
        <v>24</v>
      </c>
      <c r="K1115" s="2">
        <v>8600</v>
      </c>
      <c r="L1115" s="3">
        <v>18.100000000000001</v>
      </c>
      <c r="M1115" s="3">
        <v>83.6</v>
      </c>
      <c r="N1115" s="3">
        <v>196.7</v>
      </c>
      <c r="O1115" s="2">
        <v>0</v>
      </c>
      <c r="P1115">
        <v>0</v>
      </c>
      <c r="Q1115" t="s">
        <v>14</v>
      </c>
      <c r="R1115" s="4">
        <v>8.09</v>
      </c>
      <c r="S1115" s="4">
        <v>15.31</v>
      </c>
      <c r="T1115" t="s">
        <v>34</v>
      </c>
      <c r="U1115" s="4">
        <v>-0.46</v>
      </c>
      <c r="V1115" s="4">
        <v>0.94099999999999995</v>
      </c>
      <c r="W1115" s="4">
        <v>0</v>
      </c>
    </row>
    <row r="1116" spans="1:23" ht="15" customHeight="1" x14ac:dyDescent="0.25">
      <c r="A1116">
        <v>1290</v>
      </c>
      <c r="B1116" s="1">
        <v>45842.333333333343</v>
      </c>
      <c r="C1116">
        <v>8</v>
      </c>
      <c r="D1116" t="s">
        <v>58</v>
      </c>
      <c r="E1116">
        <v>7</v>
      </c>
      <c r="F1116" t="s">
        <v>38</v>
      </c>
      <c r="G1116" t="s">
        <v>33</v>
      </c>
      <c r="H1116" t="s">
        <v>51</v>
      </c>
      <c r="I1116" t="s">
        <v>25</v>
      </c>
      <c r="J1116" t="s">
        <v>15</v>
      </c>
      <c r="K1116" s="2">
        <v>17400</v>
      </c>
      <c r="L1116" s="3">
        <v>22.3</v>
      </c>
      <c r="M1116" s="3">
        <v>50.5</v>
      </c>
      <c r="N1116" s="3">
        <v>485.7</v>
      </c>
      <c r="O1116" s="2">
        <v>225</v>
      </c>
      <c r="P1116">
        <v>0</v>
      </c>
      <c r="Q1116" t="s">
        <v>14</v>
      </c>
      <c r="R1116" s="4">
        <v>43.52</v>
      </c>
      <c r="S1116" s="4">
        <v>55.68</v>
      </c>
      <c r="T1116" t="s">
        <v>34</v>
      </c>
      <c r="U1116" s="4">
        <v>-0.75</v>
      </c>
      <c r="V1116" s="4">
        <v>2.5009999999999999</v>
      </c>
      <c r="W1116" s="4">
        <v>0</v>
      </c>
    </row>
    <row r="1117" spans="1:23" ht="15" customHeight="1" x14ac:dyDescent="0.25">
      <c r="A1117">
        <v>2026</v>
      </c>
      <c r="B1117" s="1">
        <v>45842.333333333343</v>
      </c>
      <c r="C1117">
        <v>8</v>
      </c>
      <c r="D1117" t="s">
        <v>58</v>
      </c>
      <c r="E1117">
        <v>7</v>
      </c>
      <c r="F1117" t="s">
        <v>38</v>
      </c>
      <c r="G1117" t="s">
        <v>33</v>
      </c>
      <c r="H1117" t="s">
        <v>52</v>
      </c>
      <c r="I1117" t="s">
        <v>13</v>
      </c>
      <c r="J1117" t="s">
        <v>21</v>
      </c>
      <c r="K1117" s="2">
        <v>9800</v>
      </c>
      <c r="L1117" s="3">
        <v>21.4</v>
      </c>
      <c r="M1117" s="3">
        <v>65.099999999999994</v>
      </c>
      <c r="N1117" s="3">
        <v>432.6</v>
      </c>
      <c r="O1117" s="2">
        <v>81</v>
      </c>
      <c r="P1117">
        <v>0</v>
      </c>
      <c r="Q1117" t="s">
        <v>14</v>
      </c>
      <c r="R1117" s="4">
        <v>18.66</v>
      </c>
      <c r="S1117" s="4">
        <v>0</v>
      </c>
      <c r="T1117" t="s">
        <v>34</v>
      </c>
      <c r="U1117" s="4">
        <v>2.85</v>
      </c>
      <c r="V1117" s="4">
        <v>1.9039999999999999</v>
      </c>
      <c r="W1117" s="4">
        <v>18.66</v>
      </c>
    </row>
    <row r="1118" spans="1:23" ht="15" customHeight="1" x14ac:dyDescent="0.25">
      <c r="A1118">
        <v>1659</v>
      </c>
      <c r="B1118" s="1">
        <v>45842.583333333343</v>
      </c>
      <c r="C1118">
        <v>14</v>
      </c>
      <c r="D1118" t="s">
        <v>58</v>
      </c>
      <c r="E1118">
        <v>7</v>
      </c>
      <c r="F1118" t="s">
        <v>38</v>
      </c>
      <c r="G1118" t="s">
        <v>33</v>
      </c>
      <c r="H1118" t="s">
        <v>49</v>
      </c>
      <c r="I1118" t="s">
        <v>27</v>
      </c>
      <c r="J1118" t="s">
        <v>18</v>
      </c>
      <c r="K1118" s="2">
        <v>26000</v>
      </c>
      <c r="L1118" s="3">
        <v>32.1</v>
      </c>
      <c r="M1118" s="3">
        <v>60.2</v>
      </c>
      <c r="N1118" s="3">
        <v>740.2</v>
      </c>
      <c r="O1118" s="2">
        <v>158</v>
      </c>
      <c r="P1118">
        <v>1</v>
      </c>
      <c r="Q1118" t="s">
        <v>20</v>
      </c>
      <c r="R1118" s="4">
        <v>169.23</v>
      </c>
      <c r="S1118" s="4">
        <v>205.44</v>
      </c>
      <c r="T1118" t="s">
        <v>34</v>
      </c>
      <c r="U1118" s="4">
        <v>-2.2999999999999998</v>
      </c>
      <c r="V1118" s="4">
        <v>6.5090000000000003</v>
      </c>
      <c r="W1118" s="4">
        <v>0</v>
      </c>
    </row>
    <row r="1119" spans="1:23" ht="15" customHeight="1" x14ac:dyDescent="0.25">
      <c r="A1119">
        <v>923</v>
      </c>
      <c r="B1119" s="1">
        <v>45842.583333333343</v>
      </c>
      <c r="C1119">
        <v>14</v>
      </c>
      <c r="D1119" t="s">
        <v>58</v>
      </c>
      <c r="E1119">
        <v>7</v>
      </c>
      <c r="F1119" t="s">
        <v>38</v>
      </c>
      <c r="G1119" t="s">
        <v>33</v>
      </c>
      <c r="H1119" t="s">
        <v>50</v>
      </c>
      <c r="I1119" t="s">
        <v>22</v>
      </c>
      <c r="J1119" t="s">
        <v>12</v>
      </c>
      <c r="K1119" s="2">
        <v>21000</v>
      </c>
      <c r="L1119" s="3">
        <v>36.1</v>
      </c>
      <c r="M1119" s="3">
        <v>47.3</v>
      </c>
      <c r="N1119" s="3">
        <v>922.3</v>
      </c>
      <c r="O1119" s="2">
        <v>407</v>
      </c>
      <c r="P1119">
        <v>1</v>
      </c>
      <c r="Q1119" t="s">
        <v>20</v>
      </c>
      <c r="R1119" s="4">
        <v>240.84</v>
      </c>
      <c r="S1119" s="4">
        <v>177.18</v>
      </c>
      <c r="T1119" t="s">
        <v>34</v>
      </c>
      <c r="U1119" s="4">
        <v>9.52</v>
      </c>
      <c r="V1119" s="4">
        <v>11.468999999999999</v>
      </c>
      <c r="W1119" s="4">
        <v>63.66</v>
      </c>
    </row>
    <row r="1120" spans="1:23" ht="15" customHeight="1" x14ac:dyDescent="0.25">
      <c r="A1120">
        <v>555</v>
      </c>
      <c r="B1120" s="1">
        <v>45842.583333333343</v>
      </c>
      <c r="C1120">
        <v>14</v>
      </c>
      <c r="D1120" t="s">
        <v>58</v>
      </c>
      <c r="E1120">
        <v>7</v>
      </c>
      <c r="F1120" t="s">
        <v>38</v>
      </c>
      <c r="G1120" t="s">
        <v>33</v>
      </c>
      <c r="H1120" t="s">
        <v>54</v>
      </c>
      <c r="I1120" t="s">
        <v>16</v>
      </c>
      <c r="J1120" t="s">
        <v>24</v>
      </c>
      <c r="K1120" s="2">
        <v>8600</v>
      </c>
      <c r="L1120" s="3">
        <v>22.9</v>
      </c>
      <c r="M1120" s="3">
        <v>79</v>
      </c>
      <c r="N1120" s="3">
        <v>519.79999999999995</v>
      </c>
      <c r="O1120" s="2">
        <v>33</v>
      </c>
      <c r="P1120">
        <v>0</v>
      </c>
      <c r="Q1120" t="s">
        <v>14</v>
      </c>
      <c r="R1120" s="4">
        <v>9.1300000000000008</v>
      </c>
      <c r="S1120" s="4">
        <v>38.25</v>
      </c>
      <c r="T1120" t="s">
        <v>34</v>
      </c>
      <c r="U1120" s="4">
        <v>-1.78</v>
      </c>
      <c r="V1120" s="4">
        <v>1.0620000000000001</v>
      </c>
      <c r="W1120" s="4">
        <v>0</v>
      </c>
    </row>
    <row r="1121" spans="1:23" ht="15" customHeight="1" x14ac:dyDescent="0.25">
      <c r="A1121">
        <v>2027</v>
      </c>
      <c r="B1121" s="1">
        <v>45842.583333333343</v>
      </c>
      <c r="C1121">
        <v>14</v>
      </c>
      <c r="D1121" t="s">
        <v>58</v>
      </c>
      <c r="E1121">
        <v>7</v>
      </c>
      <c r="F1121" t="s">
        <v>38</v>
      </c>
      <c r="G1121" t="s">
        <v>33</v>
      </c>
      <c r="H1121" t="s">
        <v>52</v>
      </c>
      <c r="I1121" t="s">
        <v>13</v>
      </c>
      <c r="J1121" t="s">
        <v>21</v>
      </c>
      <c r="K1121" s="2">
        <v>9800</v>
      </c>
      <c r="L1121" s="3">
        <v>26.7</v>
      </c>
      <c r="M1121" s="3">
        <v>65.400000000000006</v>
      </c>
      <c r="N1121" s="3">
        <v>717.2</v>
      </c>
      <c r="O1121" s="2">
        <v>33</v>
      </c>
      <c r="P1121">
        <v>1</v>
      </c>
      <c r="Q1121" t="s">
        <v>20</v>
      </c>
      <c r="R1121" s="4">
        <v>21.79</v>
      </c>
      <c r="S1121" s="4">
        <v>0</v>
      </c>
      <c r="T1121" t="s">
        <v>34</v>
      </c>
      <c r="U1121" s="4">
        <v>3.38</v>
      </c>
      <c r="V1121" s="4">
        <v>2.2229999999999999</v>
      </c>
      <c r="W1121" s="4">
        <v>21.79</v>
      </c>
    </row>
    <row r="1122" spans="1:23" ht="15" customHeight="1" x14ac:dyDescent="0.25">
      <c r="A1122">
        <v>187</v>
      </c>
      <c r="B1122" s="1">
        <v>45842.583333333343</v>
      </c>
      <c r="C1122">
        <v>14</v>
      </c>
      <c r="D1122" t="s">
        <v>58</v>
      </c>
      <c r="E1122">
        <v>7</v>
      </c>
      <c r="F1122" t="s">
        <v>38</v>
      </c>
      <c r="G1122" t="s">
        <v>33</v>
      </c>
      <c r="H1122" t="s">
        <v>53</v>
      </c>
      <c r="I1122" t="s">
        <v>19</v>
      </c>
      <c r="J1122" t="s">
        <v>26</v>
      </c>
      <c r="K1122" s="2">
        <v>12500</v>
      </c>
      <c r="L1122" s="3">
        <v>30.5</v>
      </c>
      <c r="M1122" s="3">
        <v>48</v>
      </c>
      <c r="N1122" s="3">
        <v>895</v>
      </c>
      <c r="O1122" s="2">
        <v>620</v>
      </c>
      <c r="P1122">
        <v>1</v>
      </c>
      <c r="Q1122" t="s">
        <v>20</v>
      </c>
      <c r="R1122" s="4">
        <v>115.88</v>
      </c>
      <c r="S1122" s="4">
        <v>127.45</v>
      </c>
      <c r="T1122" t="s">
        <v>34</v>
      </c>
      <c r="U1122" s="4">
        <v>-0.71</v>
      </c>
      <c r="V1122" s="4">
        <v>9.27</v>
      </c>
      <c r="W1122" s="4">
        <v>0</v>
      </c>
    </row>
    <row r="1123" spans="1:23" ht="15" customHeight="1" x14ac:dyDescent="0.25">
      <c r="A1123">
        <v>1291</v>
      </c>
      <c r="B1123" s="1">
        <v>45842.583333333343</v>
      </c>
      <c r="C1123">
        <v>14</v>
      </c>
      <c r="D1123" t="s">
        <v>58</v>
      </c>
      <c r="E1123">
        <v>7</v>
      </c>
      <c r="F1123" t="s">
        <v>38</v>
      </c>
      <c r="G1123" t="s">
        <v>33</v>
      </c>
      <c r="H1123" t="s">
        <v>51</v>
      </c>
      <c r="I1123" t="s">
        <v>25</v>
      </c>
      <c r="J1123" t="s">
        <v>15</v>
      </c>
      <c r="K1123" s="2">
        <v>17400</v>
      </c>
      <c r="L1123" s="3">
        <v>28</v>
      </c>
      <c r="M1123" s="3">
        <v>63.1</v>
      </c>
      <c r="N1123" s="3">
        <v>903.7</v>
      </c>
      <c r="O1123" s="2">
        <v>1399</v>
      </c>
      <c r="P1123">
        <v>1</v>
      </c>
      <c r="Q1123" t="s">
        <v>20</v>
      </c>
      <c r="R1123" s="4">
        <v>207.18</v>
      </c>
      <c r="S1123" s="4">
        <v>108.53</v>
      </c>
      <c r="T1123" t="s">
        <v>34</v>
      </c>
      <c r="U1123" s="4">
        <v>14.63</v>
      </c>
      <c r="V1123" s="4">
        <v>11.907</v>
      </c>
      <c r="W1123" s="4">
        <v>98.65</v>
      </c>
    </row>
    <row r="1124" spans="1:23" ht="15" customHeight="1" x14ac:dyDescent="0.25">
      <c r="A1124">
        <v>2028</v>
      </c>
      <c r="B1124" s="1">
        <v>45842.833333333343</v>
      </c>
      <c r="C1124">
        <v>20</v>
      </c>
      <c r="D1124" t="s">
        <v>58</v>
      </c>
      <c r="E1124">
        <v>7</v>
      </c>
      <c r="F1124" t="s">
        <v>38</v>
      </c>
      <c r="G1124" t="s">
        <v>33</v>
      </c>
      <c r="H1124" t="s">
        <v>52</v>
      </c>
      <c r="I1124" t="s">
        <v>13</v>
      </c>
      <c r="J1124" t="s">
        <v>21</v>
      </c>
      <c r="K1124" s="2">
        <v>9800</v>
      </c>
      <c r="L1124" s="3">
        <v>22.4</v>
      </c>
      <c r="M1124" s="3">
        <v>75.400000000000006</v>
      </c>
      <c r="N1124" s="3">
        <v>100.5</v>
      </c>
      <c r="O1124" s="2">
        <v>322</v>
      </c>
      <c r="P1124">
        <v>0</v>
      </c>
      <c r="Q1124" t="s">
        <v>14</v>
      </c>
      <c r="R1124" s="4">
        <v>91.8</v>
      </c>
      <c r="S1124" s="4">
        <v>0</v>
      </c>
      <c r="T1124" t="s">
        <v>37</v>
      </c>
      <c r="U1124" s="4">
        <v>21.13</v>
      </c>
      <c r="V1124" s="4">
        <v>9.3670000000000009</v>
      </c>
      <c r="W1124" s="4">
        <v>91.8</v>
      </c>
    </row>
    <row r="1125" spans="1:23" ht="15" customHeight="1" x14ac:dyDescent="0.25">
      <c r="A1125">
        <v>1292</v>
      </c>
      <c r="B1125" s="1">
        <v>45842.833333333343</v>
      </c>
      <c r="C1125">
        <v>20</v>
      </c>
      <c r="D1125" t="s">
        <v>58</v>
      </c>
      <c r="E1125">
        <v>7</v>
      </c>
      <c r="F1125" t="s">
        <v>38</v>
      </c>
      <c r="G1125" t="s">
        <v>33</v>
      </c>
      <c r="H1125" t="s">
        <v>51</v>
      </c>
      <c r="I1125" t="s">
        <v>25</v>
      </c>
      <c r="J1125" t="s">
        <v>15</v>
      </c>
      <c r="K1125" s="2">
        <v>17400</v>
      </c>
      <c r="L1125" s="3">
        <v>24.5</v>
      </c>
      <c r="M1125" s="3">
        <v>54.1</v>
      </c>
      <c r="N1125" s="3">
        <v>78.3</v>
      </c>
      <c r="O1125" s="2">
        <v>1348</v>
      </c>
      <c r="P1125">
        <v>1</v>
      </c>
      <c r="Q1125" t="s">
        <v>20</v>
      </c>
      <c r="R1125" s="4">
        <v>268.10000000000002</v>
      </c>
      <c r="S1125" s="4">
        <v>11.03</v>
      </c>
      <c r="T1125" t="s">
        <v>37</v>
      </c>
      <c r="U1125" s="4">
        <v>56.71</v>
      </c>
      <c r="V1125" s="4">
        <v>15.407999999999999</v>
      </c>
      <c r="W1125" s="4">
        <v>257.07</v>
      </c>
    </row>
    <row r="1126" spans="1:23" ht="15" customHeight="1" x14ac:dyDescent="0.25">
      <c r="A1126">
        <v>188</v>
      </c>
      <c r="B1126" s="1">
        <v>45842.833333333343</v>
      </c>
      <c r="C1126">
        <v>20</v>
      </c>
      <c r="D1126" t="s">
        <v>58</v>
      </c>
      <c r="E1126">
        <v>7</v>
      </c>
      <c r="F1126" t="s">
        <v>38</v>
      </c>
      <c r="G1126" t="s">
        <v>33</v>
      </c>
      <c r="H1126" t="s">
        <v>53</v>
      </c>
      <c r="I1126" t="s">
        <v>19</v>
      </c>
      <c r="J1126" t="s">
        <v>26</v>
      </c>
      <c r="K1126" s="2">
        <v>12500</v>
      </c>
      <c r="L1126" s="3">
        <v>27.1</v>
      </c>
      <c r="M1126" s="3">
        <v>56.1</v>
      </c>
      <c r="N1126" s="3">
        <v>49.8</v>
      </c>
      <c r="O1126" s="2">
        <v>68</v>
      </c>
      <c r="P1126">
        <v>1</v>
      </c>
      <c r="Q1126" t="s">
        <v>20</v>
      </c>
      <c r="R1126" s="4">
        <v>47.87</v>
      </c>
      <c r="S1126" s="4">
        <v>7.34</v>
      </c>
      <c r="T1126" t="s">
        <v>37</v>
      </c>
      <c r="U1126" s="4">
        <v>9.3699999999999992</v>
      </c>
      <c r="V1126" s="4">
        <v>3.83</v>
      </c>
      <c r="W1126" s="4">
        <v>40.53</v>
      </c>
    </row>
    <row r="1127" spans="1:23" ht="15" customHeight="1" x14ac:dyDescent="0.25">
      <c r="A1127">
        <v>924</v>
      </c>
      <c r="B1127" s="1">
        <v>45842.833333333343</v>
      </c>
      <c r="C1127">
        <v>20</v>
      </c>
      <c r="D1127" t="s">
        <v>58</v>
      </c>
      <c r="E1127">
        <v>7</v>
      </c>
      <c r="F1127" t="s">
        <v>38</v>
      </c>
      <c r="G1127" t="s">
        <v>33</v>
      </c>
      <c r="H1127" t="s">
        <v>50</v>
      </c>
      <c r="I1127" t="s">
        <v>22</v>
      </c>
      <c r="J1127" t="s">
        <v>12</v>
      </c>
      <c r="K1127" s="2">
        <v>21000</v>
      </c>
      <c r="L1127" s="3">
        <v>31.8</v>
      </c>
      <c r="M1127" s="3">
        <v>36</v>
      </c>
      <c r="N1127" s="3">
        <v>73.400000000000006</v>
      </c>
      <c r="O1127" s="2">
        <v>402</v>
      </c>
      <c r="P1127">
        <v>1</v>
      </c>
      <c r="Q1127" t="s">
        <v>20</v>
      </c>
      <c r="R1127" s="4">
        <v>308.26</v>
      </c>
      <c r="S1127" s="4">
        <v>14.81</v>
      </c>
      <c r="T1127" t="s">
        <v>37</v>
      </c>
      <c r="U1127" s="4">
        <v>71.66</v>
      </c>
      <c r="V1127" s="4">
        <v>14.679</v>
      </c>
      <c r="W1127" s="4">
        <v>293.45</v>
      </c>
    </row>
    <row r="1128" spans="1:23" ht="15" customHeight="1" x14ac:dyDescent="0.25">
      <c r="A1128">
        <v>1660</v>
      </c>
      <c r="B1128" s="1">
        <v>45842.833333333343</v>
      </c>
      <c r="C1128">
        <v>20</v>
      </c>
      <c r="D1128" t="s">
        <v>58</v>
      </c>
      <c r="E1128">
        <v>7</v>
      </c>
      <c r="F1128" t="s">
        <v>38</v>
      </c>
      <c r="G1128" t="s">
        <v>33</v>
      </c>
      <c r="H1128" t="s">
        <v>49</v>
      </c>
      <c r="I1128" t="s">
        <v>27</v>
      </c>
      <c r="J1128" t="s">
        <v>18</v>
      </c>
      <c r="K1128" s="2">
        <v>26000</v>
      </c>
      <c r="L1128" s="3">
        <v>27.9</v>
      </c>
      <c r="M1128" s="3">
        <v>53.4</v>
      </c>
      <c r="N1128" s="3">
        <v>88.1</v>
      </c>
      <c r="O1128" s="2">
        <v>186</v>
      </c>
      <c r="P1128">
        <v>1</v>
      </c>
      <c r="Q1128" t="s">
        <v>20</v>
      </c>
      <c r="R1128" s="4">
        <v>245.57</v>
      </c>
      <c r="S1128" s="4">
        <v>23.52</v>
      </c>
      <c r="T1128" t="s">
        <v>37</v>
      </c>
      <c r="U1128" s="4">
        <v>52.89</v>
      </c>
      <c r="V1128" s="4">
        <v>9.4450000000000003</v>
      </c>
      <c r="W1128" s="4">
        <v>222.05</v>
      </c>
    </row>
    <row r="1129" spans="1:23" ht="15" customHeight="1" x14ac:dyDescent="0.25">
      <c r="A1129">
        <v>556</v>
      </c>
      <c r="B1129" s="1">
        <v>45842.833333333343</v>
      </c>
      <c r="C1129">
        <v>20</v>
      </c>
      <c r="D1129" t="s">
        <v>58</v>
      </c>
      <c r="E1129">
        <v>7</v>
      </c>
      <c r="F1129" t="s">
        <v>38</v>
      </c>
      <c r="G1129" t="s">
        <v>33</v>
      </c>
      <c r="H1129" t="s">
        <v>54</v>
      </c>
      <c r="I1129" t="s">
        <v>16</v>
      </c>
      <c r="J1129" t="s">
        <v>24</v>
      </c>
      <c r="K1129" s="2">
        <v>8600</v>
      </c>
      <c r="L1129" s="3">
        <v>25.9</v>
      </c>
      <c r="M1129" s="3">
        <v>65.599999999999994</v>
      </c>
      <c r="N1129" s="3">
        <v>92.5</v>
      </c>
      <c r="O1129" s="2">
        <v>31</v>
      </c>
      <c r="P1129">
        <v>0</v>
      </c>
      <c r="Q1129" t="s">
        <v>14</v>
      </c>
      <c r="R1129" s="4">
        <v>15.44</v>
      </c>
      <c r="S1129" s="4">
        <v>7.81</v>
      </c>
      <c r="T1129" t="s">
        <v>37</v>
      </c>
      <c r="U1129" s="4">
        <v>1.8</v>
      </c>
      <c r="V1129" s="4">
        <v>1.7949999999999999</v>
      </c>
      <c r="W1129" s="4">
        <v>7.63</v>
      </c>
    </row>
    <row r="1130" spans="1:23" ht="15" customHeight="1" x14ac:dyDescent="0.25">
      <c r="A1130">
        <v>1661</v>
      </c>
      <c r="B1130" s="1">
        <v>45846</v>
      </c>
      <c r="C1130">
        <v>0</v>
      </c>
      <c r="D1130" t="s">
        <v>59</v>
      </c>
      <c r="E1130">
        <v>7</v>
      </c>
      <c r="F1130" t="s">
        <v>38</v>
      </c>
      <c r="G1130" t="s">
        <v>33</v>
      </c>
      <c r="H1130" t="s">
        <v>49</v>
      </c>
      <c r="I1130" t="s">
        <v>27</v>
      </c>
      <c r="J1130" t="s">
        <v>18</v>
      </c>
      <c r="K1130" s="2">
        <v>26000</v>
      </c>
      <c r="L1130" s="3">
        <v>21.9</v>
      </c>
      <c r="M1130" s="3">
        <v>64.599999999999994</v>
      </c>
      <c r="N1130" s="3"/>
      <c r="O1130" s="2">
        <v>44</v>
      </c>
      <c r="P1130">
        <v>0</v>
      </c>
      <c r="Q1130" t="s">
        <v>14</v>
      </c>
      <c r="R1130" s="4">
        <v>106.24</v>
      </c>
      <c r="S1130" s="4">
        <v>0</v>
      </c>
      <c r="T1130" t="s">
        <v>31</v>
      </c>
      <c r="U1130" s="4">
        <v>9.99</v>
      </c>
      <c r="V1130" s="4">
        <v>4.0860000000000003</v>
      </c>
      <c r="W1130" s="4">
        <v>106.24</v>
      </c>
    </row>
    <row r="1131" spans="1:23" ht="15" customHeight="1" x14ac:dyDescent="0.25">
      <c r="A1131">
        <v>557</v>
      </c>
      <c r="B1131" s="1">
        <v>45846</v>
      </c>
      <c r="C1131">
        <v>0</v>
      </c>
      <c r="D1131" t="s">
        <v>59</v>
      </c>
      <c r="E1131">
        <v>7</v>
      </c>
      <c r="F1131" t="s">
        <v>38</v>
      </c>
      <c r="G1131" t="s">
        <v>33</v>
      </c>
      <c r="H1131" t="s">
        <v>54</v>
      </c>
      <c r="I1131" t="s">
        <v>16</v>
      </c>
      <c r="J1131" t="s">
        <v>24</v>
      </c>
      <c r="K1131" s="2">
        <v>8600</v>
      </c>
      <c r="L1131" s="3">
        <v>19.7</v>
      </c>
      <c r="M1131" s="3">
        <v>84.6</v>
      </c>
      <c r="N1131" s="3">
        <v>0</v>
      </c>
      <c r="O1131" s="2">
        <v>0</v>
      </c>
      <c r="P1131">
        <v>0</v>
      </c>
      <c r="Q1131" t="s">
        <v>14</v>
      </c>
      <c r="R1131" s="4">
        <v>12.08</v>
      </c>
      <c r="S1131" s="4">
        <v>0</v>
      </c>
      <c r="T1131" t="s">
        <v>31</v>
      </c>
      <c r="U1131" s="4">
        <v>1.1499999999999999</v>
      </c>
      <c r="V1131" s="4">
        <v>1.405</v>
      </c>
      <c r="W1131" s="4">
        <v>12.08</v>
      </c>
    </row>
    <row r="1132" spans="1:23" ht="15" customHeight="1" x14ac:dyDescent="0.25">
      <c r="A1132">
        <v>925</v>
      </c>
      <c r="B1132" s="1">
        <v>45846</v>
      </c>
      <c r="C1132">
        <v>0</v>
      </c>
      <c r="D1132" t="s">
        <v>59</v>
      </c>
      <c r="E1132">
        <v>7</v>
      </c>
      <c r="F1132" t="s">
        <v>38</v>
      </c>
      <c r="G1132" t="s">
        <v>33</v>
      </c>
      <c r="H1132" t="s">
        <v>50</v>
      </c>
      <c r="I1132" t="s">
        <v>22</v>
      </c>
      <c r="J1132" t="s">
        <v>12</v>
      </c>
      <c r="K1132" s="2">
        <v>21000</v>
      </c>
      <c r="L1132" s="3">
        <v>21</v>
      </c>
      <c r="M1132" s="3">
        <v>44.1</v>
      </c>
      <c r="N1132" s="3">
        <v>0</v>
      </c>
      <c r="O1132" s="2">
        <v>243</v>
      </c>
      <c r="P1132">
        <v>0</v>
      </c>
      <c r="Q1132" t="s">
        <v>14</v>
      </c>
      <c r="R1132" s="4">
        <v>178.95</v>
      </c>
      <c r="S1132" s="4">
        <v>0</v>
      </c>
      <c r="T1132" t="s">
        <v>31</v>
      </c>
      <c r="U1132" s="4">
        <v>17.41</v>
      </c>
      <c r="V1132" s="4">
        <v>8.5210000000000008</v>
      </c>
      <c r="W1132" s="4">
        <v>178.95</v>
      </c>
    </row>
    <row r="1133" spans="1:23" ht="15" customHeight="1" x14ac:dyDescent="0.25">
      <c r="A1133">
        <v>1293</v>
      </c>
      <c r="B1133" s="1">
        <v>45846</v>
      </c>
      <c r="C1133">
        <v>0</v>
      </c>
      <c r="D1133" t="s">
        <v>59</v>
      </c>
      <c r="E1133">
        <v>7</v>
      </c>
      <c r="F1133" t="s">
        <v>38</v>
      </c>
      <c r="G1133" t="s">
        <v>33</v>
      </c>
      <c r="H1133" t="s">
        <v>51</v>
      </c>
      <c r="I1133" t="s">
        <v>25</v>
      </c>
      <c r="J1133" t="s">
        <v>15</v>
      </c>
      <c r="K1133" s="2">
        <v>17400</v>
      </c>
      <c r="L1133" s="3"/>
      <c r="M1133" s="3">
        <v>72.5</v>
      </c>
      <c r="N1133" s="3">
        <v>0</v>
      </c>
      <c r="O1133" s="2">
        <v>188</v>
      </c>
      <c r="P1133">
        <v>0</v>
      </c>
      <c r="Q1133" t="s">
        <v>14</v>
      </c>
      <c r="R1133" s="4">
        <v>56.28</v>
      </c>
      <c r="S1133" s="4">
        <v>0</v>
      </c>
      <c r="T1133" t="s">
        <v>31</v>
      </c>
      <c r="U1133" s="4">
        <v>5.16</v>
      </c>
      <c r="V1133" s="4">
        <v>3.234</v>
      </c>
      <c r="W1133" s="4">
        <v>56.28</v>
      </c>
    </row>
    <row r="1134" spans="1:23" ht="15" customHeight="1" x14ac:dyDescent="0.25">
      <c r="A1134">
        <v>2029</v>
      </c>
      <c r="B1134" s="1">
        <v>45846</v>
      </c>
      <c r="C1134">
        <v>0</v>
      </c>
      <c r="D1134" t="s">
        <v>59</v>
      </c>
      <c r="E1134">
        <v>7</v>
      </c>
      <c r="F1134" t="s">
        <v>38</v>
      </c>
      <c r="G1134" t="s">
        <v>33</v>
      </c>
      <c r="H1134" t="s">
        <v>52</v>
      </c>
      <c r="I1134" t="s">
        <v>13</v>
      </c>
      <c r="J1134" t="s">
        <v>21</v>
      </c>
      <c r="K1134" s="2">
        <v>9800</v>
      </c>
      <c r="L1134" s="3">
        <v>17.7</v>
      </c>
      <c r="M1134" s="3">
        <v>85.9</v>
      </c>
      <c r="N1134" s="3">
        <v>0</v>
      </c>
      <c r="O1134" s="2">
        <v>279</v>
      </c>
      <c r="P1134">
        <v>0</v>
      </c>
      <c r="Q1134" t="s">
        <v>14</v>
      </c>
      <c r="R1134" s="4">
        <v>95.08</v>
      </c>
      <c r="S1134" s="4">
        <v>0</v>
      </c>
      <c r="T1134" t="s">
        <v>31</v>
      </c>
      <c r="U1134" s="4"/>
      <c r="V1134" s="4">
        <v>9.702</v>
      </c>
      <c r="W1134" s="4">
        <v>95.08</v>
      </c>
    </row>
    <row r="1135" spans="1:23" ht="15" customHeight="1" x14ac:dyDescent="0.25">
      <c r="A1135">
        <v>189</v>
      </c>
      <c r="B1135" s="1">
        <v>45846</v>
      </c>
      <c r="C1135">
        <v>0</v>
      </c>
      <c r="D1135" t="s">
        <v>59</v>
      </c>
      <c r="E1135">
        <v>7</v>
      </c>
      <c r="F1135" t="s">
        <v>38</v>
      </c>
      <c r="G1135" t="s">
        <v>33</v>
      </c>
      <c r="H1135" t="s">
        <v>53</v>
      </c>
      <c r="I1135" t="s">
        <v>19</v>
      </c>
      <c r="J1135" t="s">
        <v>26</v>
      </c>
      <c r="K1135" s="2">
        <v>12500</v>
      </c>
      <c r="L1135" s="3">
        <v>21.4</v>
      </c>
      <c r="M1135" s="3">
        <v>54.6</v>
      </c>
      <c r="N1135" s="3">
        <v>0</v>
      </c>
      <c r="O1135" s="2">
        <v>3</v>
      </c>
      <c r="P1135">
        <v>0</v>
      </c>
      <c r="Q1135" t="s">
        <v>14</v>
      </c>
      <c r="R1135" s="4">
        <v>24.21</v>
      </c>
      <c r="S1135" s="4">
        <v>0</v>
      </c>
      <c r="T1135" t="s">
        <v>31</v>
      </c>
      <c r="U1135" s="4">
        <v>2.4</v>
      </c>
      <c r="V1135" s="4">
        <v>1.9370000000000001</v>
      </c>
      <c r="W1135" s="4">
        <v>24.21</v>
      </c>
    </row>
    <row r="1136" spans="1:23" ht="15" customHeight="1" x14ac:dyDescent="0.25">
      <c r="A1136">
        <v>190</v>
      </c>
      <c r="B1136" s="1">
        <v>45846.333333333343</v>
      </c>
      <c r="C1136">
        <v>8</v>
      </c>
      <c r="D1136" t="s">
        <v>59</v>
      </c>
      <c r="E1136">
        <v>7</v>
      </c>
      <c r="F1136" t="s">
        <v>38</v>
      </c>
      <c r="G1136" t="s">
        <v>33</v>
      </c>
      <c r="H1136" t="s">
        <v>53</v>
      </c>
      <c r="I1136" t="s">
        <v>19</v>
      </c>
      <c r="J1136" t="s">
        <v>26</v>
      </c>
      <c r="K1136" s="2">
        <v>12500</v>
      </c>
      <c r="L1136" s="3">
        <v>22.4</v>
      </c>
      <c r="M1136" s="3">
        <v>53.8</v>
      </c>
      <c r="N1136" s="3">
        <v>427.8</v>
      </c>
      <c r="O1136" s="2">
        <v>420</v>
      </c>
      <c r="P1136">
        <v>0</v>
      </c>
      <c r="Q1136" t="s">
        <v>14</v>
      </c>
      <c r="R1136" s="4">
        <v>67.47</v>
      </c>
      <c r="S1136" s="4">
        <v>70.19</v>
      </c>
      <c r="T1136" t="s">
        <v>34</v>
      </c>
      <c r="U1136" s="4">
        <v>-0.17</v>
      </c>
      <c r="V1136" s="4">
        <v>5.3979999999999997</v>
      </c>
      <c r="W1136" s="4">
        <v>0</v>
      </c>
    </row>
    <row r="1137" spans="1:23" ht="15" customHeight="1" x14ac:dyDescent="0.25">
      <c r="A1137">
        <v>2030</v>
      </c>
      <c r="B1137" s="1">
        <v>45846.333333333343</v>
      </c>
      <c r="C1137">
        <v>8</v>
      </c>
      <c r="D1137" t="s">
        <v>59</v>
      </c>
      <c r="E1137">
        <v>7</v>
      </c>
      <c r="F1137" t="s">
        <v>38</v>
      </c>
      <c r="G1137" t="s">
        <v>33</v>
      </c>
      <c r="H1137" t="s">
        <v>52</v>
      </c>
      <c r="I1137" t="s">
        <v>13</v>
      </c>
      <c r="J1137" t="s">
        <v>21</v>
      </c>
      <c r="K1137" s="2">
        <v>9800</v>
      </c>
      <c r="L1137" s="3">
        <v>19.8</v>
      </c>
      <c r="M1137" s="3">
        <v>52.1</v>
      </c>
      <c r="N1137" s="3">
        <v>477.4</v>
      </c>
      <c r="O1137" s="2">
        <v>43</v>
      </c>
      <c r="P1137">
        <v>0</v>
      </c>
      <c r="Q1137" t="s">
        <v>14</v>
      </c>
      <c r="R1137" s="4">
        <v>17.41</v>
      </c>
      <c r="S1137" s="4">
        <v>0</v>
      </c>
      <c r="T1137" t="s">
        <v>34</v>
      </c>
      <c r="U1137" s="4">
        <v>2.71</v>
      </c>
      <c r="V1137" s="4">
        <v>1.7769999999999999</v>
      </c>
      <c r="W1137" s="4">
        <v>17.41</v>
      </c>
    </row>
    <row r="1138" spans="1:23" ht="15" customHeight="1" x14ac:dyDescent="0.25">
      <c r="A1138">
        <v>926</v>
      </c>
      <c r="B1138" s="1">
        <v>45846.333333333343</v>
      </c>
      <c r="C1138">
        <v>8</v>
      </c>
      <c r="D1138" t="s">
        <v>59</v>
      </c>
      <c r="E1138">
        <v>7</v>
      </c>
      <c r="F1138" t="s">
        <v>38</v>
      </c>
      <c r="G1138" t="s">
        <v>33</v>
      </c>
      <c r="H1138" t="s">
        <v>50</v>
      </c>
      <c r="I1138" t="s">
        <v>22</v>
      </c>
      <c r="J1138" t="s">
        <v>12</v>
      </c>
      <c r="K1138" s="2">
        <v>21000</v>
      </c>
      <c r="L1138" s="3">
        <v>28</v>
      </c>
      <c r="M1138" s="3">
        <v>52.2</v>
      </c>
      <c r="N1138" s="3">
        <v>378.7</v>
      </c>
      <c r="O1138" s="2">
        <v>393</v>
      </c>
      <c r="P1138">
        <v>1</v>
      </c>
      <c r="Q1138" t="s">
        <v>20</v>
      </c>
      <c r="R1138" s="4">
        <v>217.85</v>
      </c>
      <c r="S1138" s="4">
        <v>73.66</v>
      </c>
      <c r="T1138" t="s">
        <v>34</v>
      </c>
      <c r="U1138" s="4">
        <v>22.12</v>
      </c>
      <c r="V1138" s="4">
        <v>10.374000000000001</v>
      </c>
      <c r="W1138" s="4">
        <v>144.19</v>
      </c>
    </row>
    <row r="1139" spans="1:23" ht="15" customHeight="1" x14ac:dyDescent="0.25">
      <c r="A1139">
        <v>1294</v>
      </c>
      <c r="B1139" s="1">
        <v>45846.333333333343</v>
      </c>
      <c r="C1139">
        <v>8</v>
      </c>
      <c r="D1139" t="s">
        <v>59</v>
      </c>
      <c r="E1139">
        <v>7</v>
      </c>
      <c r="F1139" t="s">
        <v>38</v>
      </c>
      <c r="G1139" t="s">
        <v>33</v>
      </c>
      <c r="H1139" t="s">
        <v>51</v>
      </c>
      <c r="I1139" t="s">
        <v>25</v>
      </c>
      <c r="J1139" t="s">
        <v>15</v>
      </c>
      <c r="K1139" s="2">
        <v>17400</v>
      </c>
      <c r="L1139" s="3">
        <v>28</v>
      </c>
      <c r="M1139" s="3">
        <v>57.8</v>
      </c>
      <c r="N1139" s="3">
        <v>423.8</v>
      </c>
      <c r="O1139" s="2">
        <v>11</v>
      </c>
      <c r="P1139">
        <v>0</v>
      </c>
      <c r="Q1139" t="s">
        <v>14</v>
      </c>
      <c r="R1139" s="4">
        <v>30.9</v>
      </c>
      <c r="S1139" s="4">
        <v>45.67</v>
      </c>
      <c r="T1139" t="s">
        <v>34</v>
      </c>
      <c r="U1139" s="4">
        <v>-0.9</v>
      </c>
      <c r="V1139" s="4">
        <v>1.776</v>
      </c>
      <c r="W1139" s="4">
        <v>0</v>
      </c>
    </row>
    <row r="1140" spans="1:23" ht="15" customHeight="1" x14ac:dyDescent="0.25">
      <c r="A1140">
        <v>558</v>
      </c>
      <c r="B1140" s="1">
        <v>45846.333333333343</v>
      </c>
      <c r="C1140">
        <v>8</v>
      </c>
      <c r="D1140" t="s">
        <v>59</v>
      </c>
      <c r="E1140">
        <v>7</v>
      </c>
      <c r="F1140" t="s">
        <v>38</v>
      </c>
      <c r="G1140" t="s">
        <v>33</v>
      </c>
      <c r="H1140" t="s">
        <v>54</v>
      </c>
      <c r="I1140" t="s">
        <v>16</v>
      </c>
      <c r="J1140" t="s">
        <v>24</v>
      </c>
      <c r="K1140" s="2">
        <v>8600</v>
      </c>
      <c r="L1140" s="3">
        <v>19.600000000000001</v>
      </c>
      <c r="M1140" s="3">
        <v>58.5</v>
      </c>
      <c r="N1140" s="3">
        <v>441.5</v>
      </c>
      <c r="O1140" s="2">
        <v>0</v>
      </c>
      <c r="P1140">
        <v>0</v>
      </c>
      <c r="Q1140" t="s">
        <v>14</v>
      </c>
      <c r="R1140" s="4">
        <v>7.57</v>
      </c>
      <c r="S1140" s="4">
        <v>33.380000000000003</v>
      </c>
      <c r="T1140" t="s">
        <v>34</v>
      </c>
      <c r="U1140" s="4">
        <v>-1.55</v>
      </c>
      <c r="V1140" s="4">
        <v>0.88</v>
      </c>
      <c r="W1140" s="4">
        <v>0</v>
      </c>
    </row>
    <row r="1141" spans="1:23" ht="15" customHeight="1" x14ac:dyDescent="0.25">
      <c r="A1141">
        <v>1662</v>
      </c>
      <c r="B1141" s="1">
        <v>45846.333333333343</v>
      </c>
      <c r="C1141">
        <v>8</v>
      </c>
      <c r="D1141" t="s">
        <v>59</v>
      </c>
      <c r="E1141">
        <v>7</v>
      </c>
      <c r="F1141" t="s">
        <v>38</v>
      </c>
      <c r="G1141" t="s">
        <v>33</v>
      </c>
      <c r="H1141" t="s">
        <v>49</v>
      </c>
      <c r="I1141" t="s">
        <v>27</v>
      </c>
      <c r="J1141" t="s">
        <v>18</v>
      </c>
      <c r="K1141" s="2">
        <v>26000</v>
      </c>
      <c r="L1141" s="3">
        <v>26.3</v>
      </c>
      <c r="M1141" s="3">
        <v>66.400000000000006</v>
      </c>
      <c r="N1141" s="3">
        <v>363.8</v>
      </c>
      <c r="O1141" s="2">
        <v>163</v>
      </c>
      <c r="P1141">
        <v>1</v>
      </c>
      <c r="Q1141" t="s">
        <v>20</v>
      </c>
      <c r="R1141" s="4">
        <v>164.56</v>
      </c>
      <c r="S1141" s="4">
        <v>94.25</v>
      </c>
      <c r="T1141" t="s">
        <v>34</v>
      </c>
      <c r="U1141" s="4">
        <v>11.05</v>
      </c>
      <c r="V1141" s="4">
        <v>6.3289999999999997</v>
      </c>
      <c r="W1141" s="4">
        <v>70.31</v>
      </c>
    </row>
    <row r="1142" spans="1:23" ht="15" customHeight="1" x14ac:dyDescent="0.25">
      <c r="A1142">
        <v>559</v>
      </c>
      <c r="B1142" s="1">
        <v>45846.583333333343</v>
      </c>
      <c r="C1142">
        <v>14</v>
      </c>
      <c r="D1142" t="s">
        <v>59</v>
      </c>
      <c r="E1142">
        <v>7</v>
      </c>
      <c r="F1142" t="s">
        <v>38</v>
      </c>
      <c r="G1142" t="s">
        <v>33</v>
      </c>
      <c r="H1142" t="s">
        <v>54</v>
      </c>
      <c r="I1142" t="s">
        <v>16</v>
      </c>
      <c r="J1142" t="s">
        <v>24</v>
      </c>
      <c r="K1142" s="2">
        <v>8600</v>
      </c>
      <c r="L1142" s="3">
        <v>24.2</v>
      </c>
      <c r="M1142" s="3">
        <v>81.099999999999994</v>
      </c>
      <c r="N1142" s="3">
        <v>576.4</v>
      </c>
      <c r="O1142" s="2">
        <v>48</v>
      </c>
      <c r="P1142">
        <v>0</v>
      </c>
      <c r="Q1142" t="s">
        <v>14</v>
      </c>
      <c r="R1142" s="4">
        <v>10.48</v>
      </c>
      <c r="S1142" s="4">
        <v>42.63</v>
      </c>
      <c r="T1142" t="s">
        <v>34</v>
      </c>
      <c r="U1142" s="4">
        <v>-1.95</v>
      </c>
      <c r="V1142" s="4">
        <v>1.2190000000000001</v>
      </c>
      <c r="W1142" s="4">
        <v>0</v>
      </c>
    </row>
    <row r="1143" spans="1:23" ht="15" customHeight="1" x14ac:dyDescent="0.25">
      <c r="A1143">
        <v>2031</v>
      </c>
      <c r="B1143" s="1">
        <v>45846.583333333343</v>
      </c>
      <c r="C1143">
        <v>14</v>
      </c>
      <c r="D1143" t="s">
        <v>59</v>
      </c>
      <c r="E1143">
        <v>7</v>
      </c>
      <c r="F1143" t="s">
        <v>38</v>
      </c>
      <c r="G1143" t="s">
        <v>33</v>
      </c>
      <c r="H1143" t="s">
        <v>52</v>
      </c>
      <c r="I1143" t="s">
        <v>13</v>
      </c>
      <c r="J1143" t="s">
        <v>21</v>
      </c>
      <c r="K1143" s="2">
        <v>9800</v>
      </c>
      <c r="L1143" s="3">
        <v>26.7</v>
      </c>
      <c r="M1143" s="3">
        <v>66</v>
      </c>
      <c r="N1143" s="3">
        <v>956.5</v>
      </c>
      <c r="O1143" s="2">
        <v>71</v>
      </c>
      <c r="P1143">
        <v>1</v>
      </c>
      <c r="Q1143" t="s">
        <v>20</v>
      </c>
      <c r="R1143" s="4">
        <v>21.18</v>
      </c>
      <c r="S1143" s="4">
        <v>0</v>
      </c>
      <c r="T1143" t="s">
        <v>34</v>
      </c>
      <c r="U1143" s="4">
        <v>3.26</v>
      </c>
      <c r="V1143" s="4">
        <v>2.161</v>
      </c>
      <c r="W1143" s="4">
        <v>21.18</v>
      </c>
    </row>
    <row r="1144" spans="1:23" ht="15" customHeight="1" x14ac:dyDescent="0.25">
      <c r="A1144">
        <v>927</v>
      </c>
      <c r="B1144" s="1">
        <v>45846.583333333343</v>
      </c>
      <c r="C1144">
        <v>14</v>
      </c>
      <c r="D1144" t="s">
        <v>59</v>
      </c>
      <c r="E1144">
        <v>7</v>
      </c>
      <c r="F1144" t="s">
        <v>38</v>
      </c>
      <c r="G1144" t="s">
        <v>33</v>
      </c>
      <c r="H1144" t="s">
        <v>50</v>
      </c>
      <c r="I1144" t="s">
        <v>22</v>
      </c>
      <c r="J1144" t="s">
        <v>12</v>
      </c>
      <c r="K1144" s="2">
        <v>21000</v>
      </c>
      <c r="L1144" s="3">
        <v>34.700000000000003</v>
      </c>
      <c r="M1144" s="3">
        <v>38.299999999999997</v>
      </c>
      <c r="N1144" s="3">
        <v>910.1</v>
      </c>
      <c r="O1144" s="2">
        <v>426</v>
      </c>
      <c r="P1144">
        <v>1</v>
      </c>
      <c r="Q1144" t="s">
        <v>20</v>
      </c>
      <c r="R1144" s="4">
        <v>228.76</v>
      </c>
      <c r="S1144" s="4">
        <v>180.74</v>
      </c>
      <c r="T1144" t="s">
        <v>34</v>
      </c>
      <c r="U1144" s="4">
        <v>7.45</v>
      </c>
      <c r="V1144" s="4">
        <v>10.893000000000001</v>
      </c>
      <c r="W1144" s="4">
        <v>48.02</v>
      </c>
    </row>
    <row r="1145" spans="1:23" ht="15" customHeight="1" x14ac:dyDescent="0.25">
      <c r="A1145">
        <v>1663</v>
      </c>
      <c r="B1145" s="1">
        <v>45846.583333333343</v>
      </c>
      <c r="C1145">
        <v>14</v>
      </c>
      <c r="D1145" t="s">
        <v>59</v>
      </c>
      <c r="E1145">
        <v>7</v>
      </c>
      <c r="F1145" t="s">
        <v>38</v>
      </c>
      <c r="G1145" t="s">
        <v>33</v>
      </c>
      <c r="H1145" t="s">
        <v>49</v>
      </c>
      <c r="I1145" t="s">
        <v>27</v>
      </c>
      <c r="J1145" t="s">
        <v>18</v>
      </c>
      <c r="K1145" s="2">
        <v>26000</v>
      </c>
      <c r="L1145" s="3"/>
      <c r="M1145" s="3">
        <v>49.5</v>
      </c>
      <c r="N1145" s="3">
        <v>872.9</v>
      </c>
      <c r="O1145" s="2">
        <v>180</v>
      </c>
      <c r="P1145">
        <v>1</v>
      </c>
      <c r="Q1145" t="s">
        <v>20</v>
      </c>
      <c r="R1145" s="4">
        <v>171.99</v>
      </c>
      <c r="S1145" s="4">
        <v>243.95</v>
      </c>
      <c r="T1145" t="s">
        <v>34</v>
      </c>
      <c r="U1145" s="4">
        <v>-4.38</v>
      </c>
      <c r="V1145" s="4">
        <v>6.6150000000000002</v>
      </c>
      <c r="W1145" s="4">
        <v>0</v>
      </c>
    </row>
    <row r="1146" spans="1:23" ht="15" customHeight="1" x14ac:dyDescent="0.25">
      <c r="A1146">
        <v>1295</v>
      </c>
      <c r="B1146" s="1">
        <v>45846.583333333343</v>
      </c>
      <c r="C1146">
        <v>14</v>
      </c>
      <c r="D1146" t="s">
        <v>59</v>
      </c>
      <c r="E1146">
        <v>7</v>
      </c>
      <c r="F1146" t="s">
        <v>38</v>
      </c>
      <c r="G1146" t="s">
        <v>33</v>
      </c>
      <c r="H1146" t="s">
        <v>51</v>
      </c>
      <c r="I1146" t="s">
        <v>25</v>
      </c>
      <c r="J1146" t="s">
        <v>15</v>
      </c>
      <c r="K1146" s="2">
        <v>17400</v>
      </c>
      <c r="L1146" s="3">
        <v>30</v>
      </c>
      <c r="M1146" s="3">
        <v>57.4</v>
      </c>
      <c r="N1146" s="3"/>
      <c r="O1146" s="2">
        <v>1360</v>
      </c>
      <c r="P1146">
        <v>1</v>
      </c>
      <c r="Q1146" t="s">
        <v>20</v>
      </c>
      <c r="R1146" s="4">
        <v>229.93</v>
      </c>
      <c r="S1146" s="4">
        <v>111.79</v>
      </c>
      <c r="T1146" t="s">
        <v>34</v>
      </c>
      <c r="U1146" s="4">
        <v>17.93</v>
      </c>
      <c r="V1146" s="4">
        <v>13.214</v>
      </c>
      <c r="W1146" s="4">
        <v>118.14</v>
      </c>
    </row>
    <row r="1147" spans="1:23" ht="15" customHeight="1" x14ac:dyDescent="0.25">
      <c r="A1147">
        <v>191</v>
      </c>
      <c r="B1147" s="1">
        <v>45846.583333333343</v>
      </c>
      <c r="C1147">
        <v>14</v>
      </c>
      <c r="D1147" t="s">
        <v>59</v>
      </c>
      <c r="E1147">
        <v>7</v>
      </c>
      <c r="F1147" t="s">
        <v>38</v>
      </c>
      <c r="G1147" t="s">
        <v>33</v>
      </c>
      <c r="H1147" t="s">
        <v>53</v>
      </c>
      <c r="I1147" t="s">
        <v>19</v>
      </c>
      <c r="J1147" t="s">
        <v>26</v>
      </c>
      <c r="K1147" s="2">
        <v>12500</v>
      </c>
      <c r="L1147" s="3">
        <v>34.9</v>
      </c>
      <c r="M1147" s="3">
        <v>34.700000000000003</v>
      </c>
      <c r="N1147" s="3">
        <v>950</v>
      </c>
      <c r="O1147" s="2">
        <v>587</v>
      </c>
      <c r="P1147">
        <v>1</v>
      </c>
      <c r="Q1147" t="s">
        <v>20</v>
      </c>
      <c r="R1147" s="4">
        <v>123.43</v>
      </c>
      <c r="S1147" s="4">
        <v>141.72999999999999</v>
      </c>
      <c r="T1147" t="s">
        <v>34</v>
      </c>
      <c r="U1147" s="4">
        <v>-1.1299999999999999</v>
      </c>
      <c r="V1147" s="4">
        <v>9.8740000000000006</v>
      </c>
      <c r="W1147" s="4">
        <v>0</v>
      </c>
    </row>
    <row r="1148" spans="1:23" ht="15" customHeight="1" x14ac:dyDescent="0.25">
      <c r="A1148">
        <v>192</v>
      </c>
      <c r="B1148" s="1">
        <v>45846.833333333343</v>
      </c>
      <c r="C1148">
        <v>20</v>
      </c>
      <c r="D1148" t="s">
        <v>59</v>
      </c>
      <c r="E1148">
        <v>7</v>
      </c>
      <c r="F1148" t="s">
        <v>38</v>
      </c>
      <c r="G1148" t="s">
        <v>33</v>
      </c>
      <c r="H1148" t="s">
        <v>53</v>
      </c>
      <c r="I1148" t="s">
        <v>19</v>
      </c>
      <c r="J1148" t="s">
        <v>26</v>
      </c>
      <c r="K1148" s="2">
        <v>12500</v>
      </c>
      <c r="L1148" s="3">
        <v>25.3</v>
      </c>
      <c r="M1148" s="3">
        <v>46.1</v>
      </c>
      <c r="N1148" s="3">
        <v>50.1</v>
      </c>
      <c r="O1148" s="2">
        <v>42</v>
      </c>
      <c r="P1148">
        <v>1</v>
      </c>
      <c r="Q1148" t="s">
        <v>20</v>
      </c>
      <c r="R1148" s="4">
        <v>42.51</v>
      </c>
      <c r="S1148" s="4">
        <v>7.4</v>
      </c>
      <c r="T1148" t="s">
        <v>37</v>
      </c>
      <c r="U1148" s="4">
        <v>8.09</v>
      </c>
      <c r="V1148" s="4">
        <v>3.4009999999999998</v>
      </c>
      <c r="W1148" s="4">
        <v>35.11</v>
      </c>
    </row>
    <row r="1149" spans="1:23" ht="15" customHeight="1" x14ac:dyDescent="0.25">
      <c r="A1149">
        <v>1296</v>
      </c>
      <c r="B1149" s="1">
        <v>45846.833333333343</v>
      </c>
      <c r="C1149">
        <v>20</v>
      </c>
      <c r="D1149" t="s">
        <v>59</v>
      </c>
      <c r="E1149">
        <v>7</v>
      </c>
      <c r="F1149" t="s">
        <v>38</v>
      </c>
      <c r="G1149" t="s">
        <v>33</v>
      </c>
      <c r="H1149" t="s">
        <v>51</v>
      </c>
      <c r="I1149" t="s">
        <v>25</v>
      </c>
      <c r="J1149" t="s">
        <v>15</v>
      </c>
      <c r="K1149" s="2">
        <v>17400</v>
      </c>
      <c r="L1149" s="3">
        <v>27.8</v>
      </c>
      <c r="M1149" s="3">
        <v>64.400000000000006</v>
      </c>
      <c r="N1149" s="3">
        <v>68.099999999999994</v>
      </c>
      <c r="O1149" s="2">
        <v>1466</v>
      </c>
      <c r="P1149">
        <v>1</v>
      </c>
      <c r="Q1149" t="s">
        <v>20</v>
      </c>
      <c r="R1149" s="4">
        <v>300.27999999999997</v>
      </c>
      <c r="S1149" s="4">
        <v>8.98</v>
      </c>
      <c r="T1149" t="s">
        <v>37</v>
      </c>
      <c r="U1149" s="4">
        <v>69.97</v>
      </c>
      <c r="V1149" s="4">
        <v>17.257000000000001</v>
      </c>
      <c r="W1149" s="4">
        <v>291.3</v>
      </c>
    </row>
    <row r="1150" spans="1:23" ht="15" customHeight="1" x14ac:dyDescent="0.25">
      <c r="A1150">
        <v>1664</v>
      </c>
      <c r="B1150" s="1">
        <v>45846.833333333343</v>
      </c>
      <c r="C1150">
        <v>20</v>
      </c>
      <c r="D1150" t="s">
        <v>59</v>
      </c>
      <c r="E1150">
        <v>7</v>
      </c>
      <c r="F1150" t="s">
        <v>38</v>
      </c>
      <c r="G1150" t="s">
        <v>33</v>
      </c>
      <c r="H1150" t="s">
        <v>49</v>
      </c>
      <c r="I1150" t="s">
        <v>27</v>
      </c>
      <c r="J1150" t="s">
        <v>18</v>
      </c>
      <c r="K1150" s="2">
        <v>26000</v>
      </c>
      <c r="L1150" s="3">
        <v>24.8</v>
      </c>
      <c r="M1150" s="3">
        <v>49.1</v>
      </c>
      <c r="N1150" s="3">
        <v>28</v>
      </c>
      <c r="O1150" s="2">
        <v>174</v>
      </c>
      <c r="P1150">
        <v>1</v>
      </c>
      <c r="Q1150" t="s">
        <v>20</v>
      </c>
      <c r="R1150" s="4">
        <v>269.66000000000003</v>
      </c>
      <c r="S1150" s="4">
        <v>7.62</v>
      </c>
      <c r="T1150" t="s">
        <v>37</v>
      </c>
      <c r="U1150" s="4">
        <v>65.12</v>
      </c>
      <c r="V1150" s="4">
        <v>10.372</v>
      </c>
      <c r="W1150" s="4">
        <v>262.04000000000002</v>
      </c>
    </row>
    <row r="1151" spans="1:23" ht="15" customHeight="1" x14ac:dyDescent="0.25">
      <c r="A1151">
        <v>560</v>
      </c>
      <c r="B1151" s="1">
        <v>45846.833333333343</v>
      </c>
      <c r="C1151">
        <v>20</v>
      </c>
      <c r="D1151" t="s">
        <v>59</v>
      </c>
      <c r="E1151">
        <v>7</v>
      </c>
      <c r="F1151" t="s">
        <v>38</v>
      </c>
      <c r="G1151" t="s">
        <v>33</v>
      </c>
      <c r="H1151" t="s">
        <v>54</v>
      </c>
      <c r="I1151" t="s">
        <v>16</v>
      </c>
      <c r="J1151" t="s">
        <v>24</v>
      </c>
      <c r="K1151" s="2">
        <v>8600</v>
      </c>
      <c r="L1151" s="3">
        <v>23.4</v>
      </c>
      <c r="M1151" s="3">
        <v>57.7</v>
      </c>
      <c r="N1151" s="3">
        <v>86.8</v>
      </c>
      <c r="O1151" s="2">
        <v>10</v>
      </c>
      <c r="P1151">
        <v>0</v>
      </c>
      <c r="Q1151" t="s">
        <v>14</v>
      </c>
      <c r="R1151" s="4">
        <v>12.42</v>
      </c>
      <c r="S1151" s="4">
        <v>6.6</v>
      </c>
      <c r="T1151" t="s">
        <v>37</v>
      </c>
      <c r="U1151" s="4">
        <v>1.42</v>
      </c>
      <c r="V1151" s="4">
        <v>1.444</v>
      </c>
      <c r="W1151" s="4">
        <v>5.82</v>
      </c>
    </row>
    <row r="1152" spans="1:23" ht="15" customHeight="1" x14ac:dyDescent="0.25">
      <c r="A1152">
        <v>928</v>
      </c>
      <c r="B1152" s="1">
        <v>45846.833333333343</v>
      </c>
      <c r="C1152">
        <v>20</v>
      </c>
      <c r="D1152" t="s">
        <v>59</v>
      </c>
      <c r="E1152">
        <v>7</v>
      </c>
      <c r="F1152" t="s">
        <v>38</v>
      </c>
      <c r="G1152" t="s">
        <v>33</v>
      </c>
      <c r="H1152" t="s">
        <v>50</v>
      </c>
      <c r="I1152" t="s">
        <v>22</v>
      </c>
      <c r="J1152" t="s">
        <v>12</v>
      </c>
      <c r="K1152" s="2">
        <v>21000</v>
      </c>
      <c r="L1152" s="3">
        <v>29.5</v>
      </c>
      <c r="M1152" s="3">
        <v>65.5</v>
      </c>
      <c r="N1152" s="3">
        <v>27.1</v>
      </c>
      <c r="O1152" s="2">
        <v>459</v>
      </c>
      <c r="P1152">
        <v>1</v>
      </c>
      <c r="Q1152" t="s">
        <v>20</v>
      </c>
      <c r="R1152" s="4">
        <v>286.23</v>
      </c>
      <c r="S1152" s="4">
        <v>5.43</v>
      </c>
      <c r="T1152" t="s">
        <v>37</v>
      </c>
      <c r="U1152" s="4">
        <v>66.13</v>
      </c>
      <c r="V1152" s="4">
        <v>13.63</v>
      </c>
      <c r="W1152" s="4">
        <v>280.8</v>
      </c>
    </row>
    <row r="1153" spans="1:23" ht="15" customHeight="1" x14ac:dyDescent="0.25">
      <c r="A1153">
        <v>2032</v>
      </c>
      <c r="B1153" s="1">
        <v>45846.833333333343</v>
      </c>
      <c r="C1153">
        <v>20</v>
      </c>
      <c r="D1153" t="s">
        <v>59</v>
      </c>
      <c r="E1153">
        <v>7</v>
      </c>
      <c r="F1153" t="s">
        <v>38</v>
      </c>
      <c r="G1153" t="s">
        <v>33</v>
      </c>
      <c r="H1153" t="s">
        <v>52</v>
      </c>
      <c r="I1153" t="s">
        <v>13</v>
      </c>
      <c r="J1153" t="s">
        <v>21</v>
      </c>
      <c r="K1153" s="2">
        <v>9800</v>
      </c>
      <c r="L1153" s="3">
        <v>22.6</v>
      </c>
      <c r="M1153" s="3">
        <v>70.3</v>
      </c>
      <c r="N1153" s="3">
        <v>65.3</v>
      </c>
      <c r="O1153" s="2">
        <v>302</v>
      </c>
      <c r="P1153">
        <v>0</v>
      </c>
      <c r="Q1153" t="s">
        <v>14</v>
      </c>
      <c r="R1153" s="4">
        <v>95.74</v>
      </c>
      <c r="S1153" s="4">
        <v>0</v>
      </c>
      <c r="T1153" t="s">
        <v>37</v>
      </c>
      <c r="U1153" s="4">
        <v>23.18</v>
      </c>
      <c r="V1153" s="4">
        <v>9.7690000000000001</v>
      </c>
      <c r="W1153" s="4">
        <v>95.74</v>
      </c>
    </row>
    <row r="1154" spans="1:23" ht="15" customHeight="1" x14ac:dyDescent="0.25">
      <c r="A1154">
        <v>1297</v>
      </c>
      <c r="B1154" s="1">
        <v>45850</v>
      </c>
      <c r="C1154">
        <v>0</v>
      </c>
      <c r="D1154" t="s">
        <v>60</v>
      </c>
      <c r="E1154">
        <v>7</v>
      </c>
      <c r="F1154" t="s">
        <v>38</v>
      </c>
      <c r="G1154" t="s">
        <v>36</v>
      </c>
      <c r="H1154" t="s">
        <v>51</v>
      </c>
      <c r="I1154" t="s">
        <v>25</v>
      </c>
      <c r="J1154" t="s">
        <v>15</v>
      </c>
      <c r="K1154" s="2">
        <v>17400</v>
      </c>
      <c r="L1154" s="3">
        <v>20.7</v>
      </c>
      <c r="M1154" s="3">
        <v>62.1</v>
      </c>
      <c r="N1154" s="3">
        <v>0</v>
      </c>
      <c r="O1154" s="2">
        <v>68</v>
      </c>
      <c r="P1154">
        <v>0</v>
      </c>
      <c r="Q1154" t="s">
        <v>14</v>
      </c>
      <c r="R1154" s="4">
        <v>53.14</v>
      </c>
      <c r="S1154" s="4">
        <v>0</v>
      </c>
      <c r="T1154" t="s">
        <v>31</v>
      </c>
      <c r="U1154" s="4">
        <v>5.18</v>
      </c>
      <c r="V1154" s="4">
        <v>3.0539999999999998</v>
      </c>
      <c r="W1154" s="4">
        <v>53.14</v>
      </c>
    </row>
    <row r="1155" spans="1:23" ht="15" customHeight="1" x14ac:dyDescent="0.25">
      <c r="A1155">
        <v>561</v>
      </c>
      <c r="B1155" s="1">
        <v>45850</v>
      </c>
      <c r="C1155">
        <v>0</v>
      </c>
      <c r="D1155" t="s">
        <v>60</v>
      </c>
      <c r="E1155">
        <v>7</v>
      </c>
      <c r="F1155" t="s">
        <v>38</v>
      </c>
      <c r="G1155" t="s">
        <v>36</v>
      </c>
      <c r="H1155" t="s">
        <v>54</v>
      </c>
      <c r="I1155" t="s">
        <v>16</v>
      </c>
      <c r="J1155" t="s">
        <v>24</v>
      </c>
      <c r="K1155" s="2">
        <v>8600</v>
      </c>
      <c r="L1155" s="3">
        <v>19.600000000000001</v>
      </c>
      <c r="M1155" s="3">
        <v>76.3</v>
      </c>
      <c r="N1155" s="3">
        <v>0</v>
      </c>
      <c r="O1155" s="2">
        <v>0</v>
      </c>
      <c r="P1155">
        <v>0</v>
      </c>
      <c r="Q1155" t="s">
        <v>14</v>
      </c>
      <c r="R1155" s="4">
        <v>12.33</v>
      </c>
      <c r="S1155" s="4">
        <v>0</v>
      </c>
      <c r="T1155" t="s">
        <v>31</v>
      </c>
      <c r="U1155" s="4">
        <v>1.17</v>
      </c>
      <c r="V1155" s="4">
        <v>1.4339999999999999</v>
      </c>
      <c r="W1155" s="4">
        <v>12.33</v>
      </c>
    </row>
    <row r="1156" spans="1:23" ht="15" customHeight="1" x14ac:dyDescent="0.25">
      <c r="A1156">
        <v>929</v>
      </c>
      <c r="B1156" s="1">
        <v>45850</v>
      </c>
      <c r="C1156">
        <v>0</v>
      </c>
      <c r="D1156" t="s">
        <v>60</v>
      </c>
      <c r="E1156">
        <v>7</v>
      </c>
      <c r="F1156" t="s">
        <v>38</v>
      </c>
      <c r="G1156" t="s">
        <v>36</v>
      </c>
      <c r="H1156" t="s">
        <v>50</v>
      </c>
      <c r="I1156" t="s">
        <v>22</v>
      </c>
      <c r="J1156" t="s">
        <v>12</v>
      </c>
      <c r="K1156" s="2">
        <v>21000</v>
      </c>
      <c r="L1156" s="3">
        <v>28.2</v>
      </c>
      <c r="M1156" s="3">
        <v>43.1</v>
      </c>
      <c r="N1156" s="3">
        <v>0</v>
      </c>
      <c r="O1156" s="2">
        <v>193</v>
      </c>
      <c r="P1156">
        <v>1</v>
      </c>
      <c r="Q1156" t="s">
        <v>20</v>
      </c>
      <c r="R1156" s="4">
        <v>180.61</v>
      </c>
      <c r="S1156" s="4">
        <v>0</v>
      </c>
      <c r="T1156" t="s">
        <v>31</v>
      </c>
      <c r="U1156" s="4">
        <v>17.61</v>
      </c>
      <c r="V1156" s="4">
        <v>8.6</v>
      </c>
      <c r="W1156" s="4">
        <v>180.61</v>
      </c>
    </row>
    <row r="1157" spans="1:23" ht="15" customHeight="1" x14ac:dyDescent="0.25">
      <c r="A1157">
        <v>1665</v>
      </c>
      <c r="B1157" s="1">
        <v>45850</v>
      </c>
      <c r="C1157">
        <v>0</v>
      </c>
      <c r="D1157" t="s">
        <v>60</v>
      </c>
      <c r="E1157">
        <v>7</v>
      </c>
      <c r="F1157" t="s">
        <v>38</v>
      </c>
      <c r="G1157" t="s">
        <v>36</v>
      </c>
      <c r="H1157" t="s">
        <v>49</v>
      </c>
      <c r="I1157" t="s">
        <v>27</v>
      </c>
      <c r="J1157" t="s">
        <v>18</v>
      </c>
      <c r="K1157" s="2">
        <v>26000</v>
      </c>
      <c r="L1157" s="3">
        <v>22.8</v>
      </c>
      <c r="M1157" s="3">
        <v>54.4</v>
      </c>
      <c r="N1157" s="3">
        <v>0</v>
      </c>
      <c r="O1157" s="2">
        <v>25</v>
      </c>
      <c r="P1157">
        <v>0</v>
      </c>
      <c r="Q1157" t="s">
        <v>14</v>
      </c>
      <c r="R1157" s="4">
        <v>70.31</v>
      </c>
      <c r="S1157" s="4">
        <v>0</v>
      </c>
      <c r="T1157" t="s">
        <v>31</v>
      </c>
      <c r="U1157" s="4">
        <v>6.72</v>
      </c>
      <c r="V1157" s="4">
        <v>2.7040000000000002</v>
      </c>
      <c r="W1157" s="4">
        <v>70.31</v>
      </c>
    </row>
    <row r="1158" spans="1:23" ht="15" customHeight="1" x14ac:dyDescent="0.25">
      <c r="A1158">
        <v>2033</v>
      </c>
      <c r="B1158" s="1">
        <v>45850</v>
      </c>
      <c r="C1158">
        <v>0</v>
      </c>
      <c r="D1158" t="s">
        <v>60</v>
      </c>
      <c r="E1158">
        <v>7</v>
      </c>
      <c r="F1158" t="s">
        <v>38</v>
      </c>
      <c r="G1158" t="s">
        <v>36</v>
      </c>
      <c r="H1158" t="s">
        <v>52</v>
      </c>
      <c r="I1158" t="s">
        <v>13</v>
      </c>
      <c r="J1158" t="s">
        <v>21</v>
      </c>
      <c r="K1158" s="2">
        <v>9800</v>
      </c>
      <c r="L1158" s="3">
        <v>18.899999999999999</v>
      </c>
      <c r="M1158" s="3">
        <v>52.5</v>
      </c>
      <c r="N1158" s="3">
        <v>0</v>
      </c>
      <c r="O1158" s="2">
        <v>303</v>
      </c>
      <c r="P1158">
        <v>0</v>
      </c>
      <c r="Q1158" t="s">
        <v>14</v>
      </c>
      <c r="R1158" s="4">
        <v>94.93</v>
      </c>
      <c r="S1158" s="4">
        <v>0</v>
      </c>
      <c r="T1158" t="s">
        <v>31</v>
      </c>
      <c r="U1158" s="4"/>
      <c r="V1158" s="4">
        <v>9.6869999999999994</v>
      </c>
      <c r="W1158" s="4">
        <v>94.93</v>
      </c>
    </row>
    <row r="1159" spans="1:23" ht="15" customHeight="1" x14ac:dyDescent="0.25">
      <c r="A1159">
        <v>193</v>
      </c>
      <c r="B1159" s="1">
        <v>45850</v>
      </c>
      <c r="C1159">
        <v>0</v>
      </c>
      <c r="D1159" t="s">
        <v>60</v>
      </c>
      <c r="E1159">
        <v>7</v>
      </c>
      <c r="F1159" t="s">
        <v>38</v>
      </c>
      <c r="G1159" t="s">
        <v>36</v>
      </c>
      <c r="H1159" t="s">
        <v>53</v>
      </c>
      <c r="I1159" t="s">
        <v>19</v>
      </c>
      <c r="J1159" t="s">
        <v>26</v>
      </c>
      <c r="K1159" s="2">
        <v>12500</v>
      </c>
      <c r="L1159" s="3">
        <v>22.4</v>
      </c>
      <c r="M1159" s="3">
        <v>56.5</v>
      </c>
      <c r="N1159" s="3">
        <v>0</v>
      </c>
      <c r="O1159" s="2">
        <v>3</v>
      </c>
      <c r="P1159">
        <v>0</v>
      </c>
      <c r="Q1159" t="s">
        <v>14</v>
      </c>
      <c r="R1159" s="4">
        <v>24.19</v>
      </c>
      <c r="S1159" s="4">
        <v>0</v>
      </c>
      <c r="T1159" t="s">
        <v>31</v>
      </c>
      <c r="U1159" s="4">
        <v>2.3199999999999998</v>
      </c>
      <c r="V1159" s="4">
        <v>1.9350000000000001</v>
      </c>
      <c r="W1159" s="4">
        <v>24.19</v>
      </c>
    </row>
    <row r="1160" spans="1:23" ht="15" customHeight="1" x14ac:dyDescent="0.25">
      <c r="A1160">
        <v>194</v>
      </c>
      <c r="B1160" s="1">
        <v>45850.333333333343</v>
      </c>
      <c r="C1160">
        <v>8</v>
      </c>
      <c r="D1160" t="s">
        <v>60</v>
      </c>
      <c r="E1160">
        <v>7</v>
      </c>
      <c r="F1160" t="s">
        <v>38</v>
      </c>
      <c r="G1160" t="s">
        <v>36</v>
      </c>
      <c r="H1160" t="s">
        <v>53</v>
      </c>
      <c r="I1160" t="s">
        <v>19</v>
      </c>
      <c r="J1160" t="s">
        <v>26</v>
      </c>
      <c r="K1160" s="2">
        <v>12500</v>
      </c>
      <c r="L1160" s="3">
        <v>24.1</v>
      </c>
      <c r="M1160" s="3">
        <v>50</v>
      </c>
      <c r="N1160" s="3">
        <v>436.4</v>
      </c>
      <c r="O1160" s="2">
        <v>9</v>
      </c>
      <c r="P1160">
        <v>0</v>
      </c>
      <c r="Q1160" t="s">
        <v>14</v>
      </c>
      <c r="R1160" s="4"/>
      <c r="S1160" s="4">
        <v>67.900000000000006</v>
      </c>
      <c r="T1160" t="s">
        <v>31</v>
      </c>
      <c r="U1160" s="4">
        <v>-2</v>
      </c>
      <c r="V1160" s="4"/>
      <c r="W1160" s="4"/>
    </row>
    <row r="1161" spans="1:23" ht="15" customHeight="1" x14ac:dyDescent="0.25">
      <c r="A1161">
        <v>930</v>
      </c>
      <c r="B1161" s="1">
        <v>45850.333333333343</v>
      </c>
      <c r="C1161">
        <v>8</v>
      </c>
      <c r="D1161" t="s">
        <v>60</v>
      </c>
      <c r="E1161">
        <v>7</v>
      </c>
      <c r="F1161" t="s">
        <v>38</v>
      </c>
      <c r="G1161" t="s">
        <v>36</v>
      </c>
      <c r="H1161" t="s">
        <v>50</v>
      </c>
      <c r="I1161" t="s">
        <v>22</v>
      </c>
      <c r="J1161" t="s">
        <v>12</v>
      </c>
      <c r="K1161" s="2">
        <v>21000</v>
      </c>
      <c r="L1161" s="3">
        <v>27.4</v>
      </c>
      <c r="M1161" s="3">
        <v>48.1</v>
      </c>
      <c r="N1161" s="3">
        <v>468.9</v>
      </c>
      <c r="O1161" s="2">
        <v>396</v>
      </c>
      <c r="P1161">
        <v>1</v>
      </c>
      <c r="Q1161" t="s">
        <v>20</v>
      </c>
      <c r="R1161" s="4">
        <v>213.54</v>
      </c>
      <c r="S1161" s="4">
        <v>87.59</v>
      </c>
      <c r="T1161" t="s">
        <v>31</v>
      </c>
      <c r="U1161" s="4">
        <v>12.31</v>
      </c>
      <c r="V1161" s="4">
        <v>10.169</v>
      </c>
      <c r="W1161" s="4">
        <v>125.95</v>
      </c>
    </row>
    <row r="1162" spans="1:23" ht="15" customHeight="1" x14ac:dyDescent="0.25">
      <c r="A1162">
        <v>562</v>
      </c>
      <c r="B1162" s="1">
        <v>45850.333333333343</v>
      </c>
      <c r="C1162">
        <v>8</v>
      </c>
      <c r="D1162" t="s">
        <v>60</v>
      </c>
      <c r="E1162">
        <v>7</v>
      </c>
      <c r="F1162" t="s">
        <v>38</v>
      </c>
      <c r="G1162" t="s">
        <v>36</v>
      </c>
      <c r="H1162" t="s">
        <v>54</v>
      </c>
      <c r="I1162" t="s">
        <v>16</v>
      </c>
      <c r="J1162" t="s">
        <v>24</v>
      </c>
      <c r="K1162" s="2">
        <v>8600</v>
      </c>
      <c r="L1162" s="3">
        <v>17.2</v>
      </c>
      <c r="M1162" s="3">
        <v>73</v>
      </c>
      <c r="N1162" s="3">
        <v>335.2</v>
      </c>
      <c r="O1162" s="2">
        <v>81</v>
      </c>
      <c r="P1162">
        <v>0</v>
      </c>
      <c r="Q1162" t="s">
        <v>14</v>
      </c>
      <c r="R1162" s="4">
        <v>11.6</v>
      </c>
      <c r="S1162" s="4">
        <v>25.85</v>
      </c>
      <c r="T1162" t="s">
        <v>31</v>
      </c>
      <c r="U1162" s="4">
        <v>-0.56000000000000005</v>
      </c>
      <c r="V1162" s="4">
        <v>1.349</v>
      </c>
      <c r="W1162" s="4">
        <v>0</v>
      </c>
    </row>
    <row r="1163" spans="1:23" ht="15" customHeight="1" x14ac:dyDescent="0.25">
      <c r="A1163">
        <v>1298</v>
      </c>
      <c r="B1163" s="1">
        <v>45850.333333333343</v>
      </c>
      <c r="C1163">
        <v>8</v>
      </c>
      <c r="D1163" t="s">
        <v>60</v>
      </c>
      <c r="E1163">
        <v>7</v>
      </c>
      <c r="F1163" t="s">
        <v>38</v>
      </c>
      <c r="G1163" t="s">
        <v>36</v>
      </c>
      <c r="H1163" t="s">
        <v>51</v>
      </c>
      <c r="I1163" t="s">
        <v>25</v>
      </c>
      <c r="J1163" t="s">
        <v>15</v>
      </c>
      <c r="K1163" s="2">
        <v>17400</v>
      </c>
      <c r="L1163" s="3">
        <v>22.8</v>
      </c>
      <c r="M1163" s="3">
        <v>79.7</v>
      </c>
      <c r="N1163" s="3">
        <v>339.1</v>
      </c>
      <c r="O1163" s="2">
        <v>90</v>
      </c>
      <c r="P1163">
        <v>0</v>
      </c>
      <c r="Q1163" t="s">
        <v>14</v>
      </c>
      <c r="R1163" s="4">
        <v>38.33</v>
      </c>
      <c r="S1163" s="4">
        <v>44.54</v>
      </c>
      <c r="T1163" t="s">
        <v>31</v>
      </c>
      <c r="U1163" s="4">
        <v>-0.25</v>
      </c>
      <c r="V1163" s="4">
        <v>2.2029999999999998</v>
      </c>
      <c r="W1163" s="4">
        <v>0</v>
      </c>
    </row>
    <row r="1164" spans="1:23" ht="15" customHeight="1" x14ac:dyDescent="0.25">
      <c r="A1164">
        <v>1666</v>
      </c>
      <c r="B1164" s="1">
        <v>45850.333333333343</v>
      </c>
      <c r="C1164">
        <v>8</v>
      </c>
      <c r="D1164" t="s">
        <v>60</v>
      </c>
      <c r="E1164">
        <v>7</v>
      </c>
      <c r="F1164" t="s">
        <v>38</v>
      </c>
      <c r="G1164" t="s">
        <v>36</v>
      </c>
      <c r="H1164" t="s">
        <v>49</v>
      </c>
      <c r="I1164" t="s">
        <v>27</v>
      </c>
      <c r="J1164" t="s">
        <v>18</v>
      </c>
      <c r="K1164" s="2">
        <v>26000</v>
      </c>
      <c r="L1164" s="3">
        <v>25.5</v>
      </c>
      <c r="M1164" s="3">
        <v>67.400000000000006</v>
      </c>
      <c r="N1164" s="3">
        <v>328.9</v>
      </c>
      <c r="O1164" s="2">
        <v>73</v>
      </c>
      <c r="P1164">
        <v>1</v>
      </c>
      <c r="Q1164" t="s">
        <v>20</v>
      </c>
      <c r="R1164" s="4">
        <v>87.4</v>
      </c>
      <c r="S1164" s="4">
        <v>88.8</v>
      </c>
      <c r="T1164" t="s">
        <v>31</v>
      </c>
      <c r="U1164" s="4">
        <v>-0.06</v>
      </c>
      <c r="V1164" s="4">
        <v>3.3620000000000001</v>
      </c>
      <c r="W1164" s="4">
        <v>0</v>
      </c>
    </row>
    <row r="1165" spans="1:23" ht="15" customHeight="1" x14ac:dyDescent="0.25">
      <c r="A1165">
        <v>2034</v>
      </c>
      <c r="B1165" s="1">
        <v>45850.333333333343</v>
      </c>
      <c r="C1165">
        <v>8</v>
      </c>
      <c r="D1165" t="s">
        <v>60</v>
      </c>
      <c r="E1165">
        <v>7</v>
      </c>
      <c r="F1165" t="s">
        <v>38</v>
      </c>
      <c r="G1165" t="s">
        <v>36</v>
      </c>
      <c r="H1165" t="s">
        <v>52</v>
      </c>
      <c r="I1165" t="s">
        <v>13</v>
      </c>
      <c r="J1165" t="s">
        <v>21</v>
      </c>
      <c r="K1165" s="2">
        <v>9800</v>
      </c>
      <c r="L1165" s="3">
        <v>21.7</v>
      </c>
      <c r="M1165" s="3">
        <v>70.400000000000006</v>
      </c>
      <c r="N1165" s="3">
        <v>388.9</v>
      </c>
      <c r="O1165" s="2">
        <v>129</v>
      </c>
      <c r="P1165">
        <v>0</v>
      </c>
      <c r="Q1165" t="s">
        <v>14</v>
      </c>
      <c r="R1165" s="4">
        <v>25.81</v>
      </c>
      <c r="S1165" s="4">
        <v>0</v>
      </c>
      <c r="T1165" t="s">
        <v>31</v>
      </c>
      <c r="U1165" s="4">
        <v>2.59</v>
      </c>
      <c r="V1165" s="4">
        <v>2.6339999999999999</v>
      </c>
      <c r="W1165" s="4">
        <v>25.81</v>
      </c>
    </row>
    <row r="1166" spans="1:23" ht="15" customHeight="1" x14ac:dyDescent="0.25">
      <c r="A1166">
        <v>1667</v>
      </c>
      <c r="B1166" s="1">
        <v>45850.583333333343</v>
      </c>
      <c r="C1166">
        <v>14</v>
      </c>
      <c r="D1166" t="s">
        <v>60</v>
      </c>
      <c r="E1166">
        <v>7</v>
      </c>
      <c r="F1166" t="s">
        <v>38</v>
      </c>
      <c r="G1166" t="s">
        <v>36</v>
      </c>
      <c r="H1166" t="s">
        <v>49</v>
      </c>
      <c r="I1166" t="s">
        <v>27</v>
      </c>
      <c r="J1166" t="s">
        <v>18</v>
      </c>
      <c r="K1166" s="2">
        <v>26000</v>
      </c>
      <c r="L1166" s="3">
        <v>29.7</v>
      </c>
      <c r="M1166" s="3">
        <v>38.6</v>
      </c>
      <c r="N1166" s="3">
        <v>829.9</v>
      </c>
      <c r="O1166" s="2">
        <v>72</v>
      </c>
      <c r="P1166">
        <v>1</v>
      </c>
      <c r="Q1166" t="s">
        <v>20</v>
      </c>
      <c r="R1166" s="4">
        <v>101.78</v>
      </c>
      <c r="S1166" s="4">
        <v>220.57</v>
      </c>
      <c r="T1166" t="s">
        <v>31</v>
      </c>
      <c r="U1166" s="4">
        <v>-4.6500000000000004</v>
      </c>
      <c r="V1166" s="4">
        <v>3.915</v>
      </c>
      <c r="W1166" s="4">
        <v>0</v>
      </c>
    </row>
    <row r="1167" spans="1:23" ht="15" customHeight="1" x14ac:dyDescent="0.25">
      <c r="A1167">
        <v>931</v>
      </c>
      <c r="B1167" s="1">
        <v>45850.583333333343</v>
      </c>
      <c r="C1167">
        <v>14</v>
      </c>
      <c r="D1167" t="s">
        <v>60</v>
      </c>
      <c r="E1167">
        <v>7</v>
      </c>
      <c r="F1167" t="s">
        <v>38</v>
      </c>
      <c r="G1167" t="s">
        <v>36</v>
      </c>
      <c r="H1167" t="s">
        <v>50</v>
      </c>
      <c r="I1167" t="s">
        <v>22</v>
      </c>
      <c r="J1167" t="s">
        <v>12</v>
      </c>
      <c r="K1167" s="2">
        <v>21000</v>
      </c>
      <c r="L1167" s="3">
        <v>33.4</v>
      </c>
      <c r="M1167" s="3">
        <v>44.2</v>
      </c>
      <c r="N1167" s="3">
        <v>904.1</v>
      </c>
      <c r="O1167" s="2">
        <v>415</v>
      </c>
      <c r="P1167">
        <v>1</v>
      </c>
      <c r="Q1167" t="s">
        <v>20</v>
      </c>
      <c r="R1167" s="4">
        <v>231.33</v>
      </c>
      <c r="S1167" s="4">
        <v>182.83</v>
      </c>
      <c r="T1167" t="s">
        <v>31</v>
      </c>
      <c r="U1167" s="4">
        <v>4.66</v>
      </c>
      <c r="V1167" s="4">
        <v>11.016</v>
      </c>
      <c r="W1167" s="4">
        <v>48.5</v>
      </c>
    </row>
    <row r="1168" spans="1:23" ht="15" customHeight="1" x14ac:dyDescent="0.25">
      <c r="A1168">
        <v>2035</v>
      </c>
      <c r="B1168" s="1">
        <v>45850.583333333343</v>
      </c>
      <c r="C1168">
        <v>14</v>
      </c>
      <c r="D1168" t="s">
        <v>60</v>
      </c>
      <c r="E1168">
        <v>7</v>
      </c>
      <c r="F1168" t="s">
        <v>38</v>
      </c>
      <c r="G1168" t="s">
        <v>36</v>
      </c>
      <c r="H1168" t="s">
        <v>52</v>
      </c>
      <c r="I1168" t="s">
        <v>13</v>
      </c>
      <c r="J1168" t="s">
        <v>21</v>
      </c>
      <c r="K1168" s="2">
        <v>9800</v>
      </c>
      <c r="L1168" s="3">
        <v>27.9</v>
      </c>
      <c r="M1168" s="3">
        <v>66.099999999999994</v>
      </c>
      <c r="N1168" s="3">
        <v>758.8</v>
      </c>
      <c r="O1168" s="2">
        <v>111</v>
      </c>
      <c r="P1168">
        <v>1</v>
      </c>
      <c r="Q1168" t="s">
        <v>20</v>
      </c>
      <c r="R1168" s="4">
        <v>31.38</v>
      </c>
      <c r="S1168" s="4">
        <v>0</v>
      </c>
      <c r="T1168" t="s">
        <v>31</v>
      </c>
      <c r="U1168" s="4">
        <v>3</v>
      </c>
      <c r="V1168" s="4">
        <v>3.202</v>
      </c>
      <c r="W1168" s="4">
        <v>31.38</v>
      </c>
    </row>
    <row r="1169" spans="1:23" ht="15" customHeight="1" x14ac:dyDescent="0.25">
      <c r="A1169">
        <v>563</v>
      </c>
      <c r="B1169" s="1">
        <v>45850.583333333343</v>
      </c>
      <c r="C1169">
        <v>14</v>
      </c>
      <c r="D1169" t="s">
        <v>60</v>
      </c>
      <c r="E1169">
        <v>7</v>
      </c>
      <c r="F1169" t="s">
        <v>38</v>
      </c>
      <c r="G1169" t="s">
        <v>36</v>
      </c>
      <c r="H1169" t="s">
        <v>54</v>
      </c>
      <c r="I1169" t="s">
        <v>16</v>
      </c>
      <c r="J1169" t="s">
        <v>24</v>
      </c>
      <c r="K1169" s="2">
        <v>8600</v>
      </c>
      <c r="L1169" s="3">
        <v>25.7</v>
      </c>
      <c r="M1169" s="3">
        <v>67</v>
      </c>
      <c r="N1169" s="3">
        <v>716.9</v>
      </c>
      <c r="O1169" s="2">
        <v>70</v>
      </c>
      <c r="P1169">
        <v>0</v>
      </c>
      <c r="Q1169" t="s">
        <v>14</v>
      </c>
      <c r="R1169" s="4">
        <v>10.36</v>
      </c>
      <c r="S1169" s="4">
        <v>55.5</v>
      </c>
      <c r="T1169" t="s">
        <v>31</v>
      </c>
      <c r="U1169" s="4">
        <v>-1.74</v>
      </c>
      <c r="V1169" s="4">
        <v>1.2050000000000001</v>
      </c>
      <c r="W1169" s="4">
        <v>0</v>
      </c>
    </row>
    <row r="1170" spans="1:23" ht="15" customHeight="1" x14ac:dyDescent="0.25">
      <c r="A1170">
        <v>195</v>
      </c>
      <c r="B1170" s="1">
        <v>45850.583333333343</v>
      </c>
      <c r="C1170">
        <v>14</v>
      </c>
      <c r="D1170" t="s">
        <v>60</v>
      </c>
      <c r="E1170">
        <v>7</v>
      </c>
      <c r="F1170" t="s">
        <v>38</v>
      </c>
      <c r="G1170" t="s">
        <v>36</v>
      </c>
      <c r="H1170" t="s">
        <v>53</v>
      </c>
      <c r="I1170" t="s">
        <v>19</v>
      </c>
      <c r="J1170" t="s">
        <v>26</v>
      </c>
      <c r="K1170" s="2">
        <v>12500</v>
      </c>
      <c r="L1170" s="3">
        <v>32.1</v>
      </c>
      <c r="M1170" s="3">
        <v>42</v>
      </c>
      <c r="N1170" s="3">
        <v>934.5</v>
      </c>
      <c r="O1170" s="2">
        <v>34</v>
      </c>
      <c r="P1170">
        <v>0</v>
      </c>
      <c r="Q1170" t="s">
        <v>14</v>
      </c>
      <c r="R1170" s="4">
        <v>16.399999999999999</v>
      </c>
      <c r="S1170" s="4">
        <v>139</v>
      </c>
      <c r="T1170" t="s">
        <v>31</v>
      </c>
      <c r="U1170" s="4">
        <v>-4.72</v>
      </c>
      <c r="V1170" s="4">
        <v>1.3120000000000001</v>
      </c>
      <c r="W1170" s="4">
        <v>0</v>
      </c>
    </row>
    <row r="1171" spans="1:23" ht="15" customHeight="1" x14ac:dyDescent="0.25">
      <c r="A1171">
        <v>1299</v>
      </c>
      <c r="B1171" s="1">
        <v>45850.583333333343</v>
      </c>
      <c r="C1171">
        <v>14</v>
      </c>
      <c r="D1171" t="s">
        <v>60</v>
      </c>
      <c r="E1171">
        <v>7</v>
      </c>
      <c r="F1171" t="s">
        <v>38</v>
      </c>
      <c r="G1171" t="s">
        <v>36</v>
      </c>
      <c r="H1171" t="s">
        <v>51</v>
      </c>
      <c r="I1171" t="s">
        <v>25</v>
      </c>
      <c r="J1171" t="s">
        <v>15</v>
      </c>
      <c r="K1171" s="2">
        <v>17400</v>
      </c>
      <c r="L1171" s="3">
        <v>28.6</v>
      </c>
      <c r="M1171" s="3">
        <v>63.6</v>
      </c>
      <c r="N1171" s="3">
        <v>852.1</v>
      </c>
      <c r="O1171" s="2">
        <v>1536</v>
      </c>
      <c r="P1171">
        <v>1</v>
      </c>
      <c r="Q1171" t="s">
        <v>20</v>
      </c>
      <c r="R1171" s="4">
        <v>250.52</v>
      </c>
      <c r="S1171" s="4">
        <v>101.17</v>
      </c>
      <c r="T1171" t="s">
        <v>31</v>
      </c>
      <c r="U1171" s="4">
        <v>13.81</v>
      </c>
      <c r="V1171" s="4">
        <v>14.398</v>
      </c>
      <c r="W1171" s="4">
        <v>149.35</v>
      </c>
    </row>
    <row r="1172" spans="1:23" ht="15" customHeight="1" x14ac:dyDescent="0.25">
      <c r="A1172">
        <v>196</v>
      </c>
      <c r="B1172" s="1">
        <v>45850.833333333343</v>
      </c>
      <c r="C1172">
        <v>20</v>
      </c>
      <c r="D1172" t="s">
        <v>60</v>
      </c>
      <c r="E1172">
        <v>7</v>
      </c>
      <c r="F1172" t="s">
        <v>38</v>
      </c>
      <c r="G1172" t="s">
        <v>36</v>
      </c>
      <c r="H1172" t="s">
        <v>53</v>
      </c>
      <c r="I1172" t="s">
        <v>19</v>
      </c>
      <c r="J1172" t="s">
        <v>26</v>
      </c>
      <c r="K1172" s="2">
        <v>12500</v>
      </c>
      <c r="L1172" s="3">
        <v>24.8</v>
      </c>
      <c r="M1172" s="3">
        <v>46.4</v>
      </c>
      <c r="N1172" s="3">
        <v>102.4</v>
      </c>
      <c r="O1172" s="2">
        <v>0</v>
      </c>
      <c r="P1172">
        <v>0</v>
      </c>
      <c r="Q1172" t="s">
        <v>14</v>
      </c>
      <c r="R1172" s="4">
        <v>23.9</v>
      </c>
      <c r="S1172" s="4">
        <v>14.85</v>
      </c>
      <c r="T1172" t="s">
        <v>31</v>
      </c>
      <c r="U1172" s="4">
        <v>0.88</v>
      </c>
      <c r="V1172" s="4">
        <v>1.9119999999999999</v>
      </c>
      <c r="W1172" s="4">
        <v>9.0500000000000007</v>
      </c>
    </row>
    <row r="1173" spans="1:23" ht="15" customHeight="1" x14ac:dyDescent="0.25">
      <c r="A1173">
        <v>932</v>
      </c>
      <c r="B1173" s="1">
        <v>45850.833333333343</v>
      </c>
      <c r="C1173">
        <v>20</v>
      </c>
      <c r="D1173" t="s">
        <v>60</v>
      </c>
      <c r="E1173">
        <v>7</v>
      </c>
      <c r="F1173" t="s">
        <v>38</v>
      </c>
      <c r="G1173" t="s">
        <v>36</v>
      </c>
      <c r="H1173" t="s">
        <v>50</v>
      </c>
      <c r="I1173" t="s">
        <v>22</v>
      </c>
      <c r="J1173" t="s">
        <v>12</v>
      </c>
      <c r="K1173" s="2">
        <v>21000</v>
      </c>
      <c r="L1173" s="3">
        <v>29.8</v>
      </c>
      <c r="M1173" s="3">
        <v>49.6</v>
      </c>
      <c r="N1173" s="3">
        <v>71</v>
      </c>
      <c r="O1173" s="2">
        <v>403</v>
      </c>
      <c r="P1173">
        <v>1</v>
      </c>
      <c r="Q1173" t="s">
        <v>20</v>
      </c>
      <c r="R1173" s="4">
        <v>289.7</v>
      </c>
      <c r="S1173" s="4">
        <v>14.3</v>
      </c>
      <c r="T1173" t="s">
        <v>31</v>
      </c>
      <c r="U1173" s="4">
        <v>25.47</v>
      </c>
      <c r="V1173" s="4">
        <v>13.795</v>
      </c>
      <c r="W1173" s="4">
        <v>275.39999999999998</v>
      </c>
    </row>
    <row r="1174" spans="1:23" ht="15" customHeight="1" x14ac:dyDescent="0.25">
      <c r="A1174">
        <v>1300</v>
      </c>
      <c r="B1174" s="1">
        <v>45850.833333333343</v>
      </c>
      <c r="C1174">
        <v>20</v>
      </c>
      <c r="D1174" t="s">
        <v>60</v>
      </c>
      <c r="E1174">
        <v>7</v>
      </c>
      <c r="F1174" t="s">
        <v>38</v>
      </c>
      <c r="G1174" t="s">
        <v>36</v>
      </c>
      <c r="H1174" t="s">
        <v>51</v>
      </c>
      <c r="I1174" t="s">
        <v>25</v>
      </c>
      <c r="J1174" t="s">
        <v>15</v>
      </c>
      <c r="K1174" s="2">
        <v>17400</v>
      </c>
      <c r="L1174" s="3">
        <v>30.8</v>
      </c>
      <c r="M1174" s="3"/>
      <c r="N1174" s="3">
        <v>59.8</v>
      </c>
      <c r="O1174" s="2">
        <v>1564</v>
      </c>
      <c r="P1174">
        <v>1</v>
      </c>
      <c r="Q1174" t="s">
        <v>20</v>
      </c>
      <c r="R1174" s="4">
        <v>308.20999999999998</v>
      </c>
      <c r="S1174" s="4">
        <v>7.16</v>
      </c>
      <c r="T1174" t="s">
        <v>31</v>
      </c>
      <c r="U1174" s="4">
        <v>29.89</v>
      </c>
      <c r="V1174" s="4">
        <v>17.713000000000001</v>
      </c>
      <c r="W1174" s="4">
        <v>301.05</v>
      </c>
    </row>
    <row r="1175" spans="1:23" ht="15" customHeight="1" x14ac:dyDescent="0.25">
      <c r="A1175">
        <v>564</v>
      </c>
      <c r="B1175" s="1">
        <v>45850.833333333343</v>
      </c>
      <c r="C1175">
        <v>20</v>
      </c>
      <c r="D1175" t="s">
        <v>60</v>
      </c>
      <c r="E1175">
        <v>7</v>
      </c>
      <c r="F1175" t="s">
        <v>38</v>
      </c>
      <c r="G1175" t="s">
        <v>36</v>
      </c>
      <c r="H1175" t="s">
        <v>54</v>
      </c>
      <c r="I1175" t="s">
        <v>16</v>
      </c>
      <c r="J1175" t="s">
        <v>24</v>
      </c>
      <c r="K1175" s="2">
        <v>8600</v>
      </c>
      <c r="L1175" s="3">
        <v>20.6</v>
      </c>
      <c r="M1175" s="3">
        <v>72.2</v>
      </c>
      <c r="N1175" s="3">
        <v>45.5</v>
      </c>
      <c r="O1175" s="2">
        <v>0</v>
      </c>
      <c r="P1175">
        <v>0</v>
      </c>
      <c r="Q1175" t="s">
        <v>14</v>
      </c>
      <c r="R1175" s="4">
        <v>12.32</v>
      </c>
      <c r="S1175" s="4">
        <v>3.42</v>
      </c>
      <c r="T1175" t="s">
        <v>31</v>
      </c>
      <c r="U1175" s="4">
        <v>0.88</v>
      </c>
      <c r="V1175" s="4">
        <v>1.4330000000000001</v>
      </c>
      <c r="W1175" s="4">
        <v>8.9</v>
      </c>
    </row>
    <row r="1176" spans="1:23" ht="15" customHeight="1" x14ac:dyDescent="0.25">
      <c r="A1176">
        <v>1668</v>
      </c>
      <c r="B1176" s="1">
        <v>45850.833333333343</v>
      </c>
      <c r="C1176">
        <v>20</v>
      </c>
      <c r="D1176" t="s">
        <v>60</v>
      </c>
      <c r="E1176">
        <v>7</v>
      </c>
      <c r="F1176" t="s">
        <v>38</v>
      </c>
      <c r="G1176" t="s">
        <v>36</v>
      </c>
      <c r="H1176" t="s">
        <v>49</v>
      </c>
      <c r="I1176" t="s">
        <v>27</v>
      </c>
      <c r="J1176" t="s">
        <v>18</v>
      </c>
      <c r="K1176" s="2">
        <v>26000</v>
      </c>
      <c r="L1176" s="3">
        <v>29.9</v>
      </c>
      <c r="M1176" s="3">
        <v>41.1</v>
      </c>
      <c r="N1176" s="3">
        <v>61.5</v>
      </c>
      <c r="O1176" s="2">
        <v>55</v>
      </c>
      <c r="P1176">
        <v>1</v>
      </c>
      <c r="Q1176" t="s">
        <v>20</v>
      </c>
      <c r="R1176" s="4">
        <v>154.06</v>
      </c>
      <c r="S1176" s="4">
        <v>14.97</v>
      </c>
      <c r="T1176" t="s">
        <v>31</v>
      </c>
      <c r="U1176" s="4">
        <v>13.6</v>
      </c>
      <c r="V1176" s="4">
        <v>5.9249999999999998</v>
      </c>
      <c r="W1176" s="4">
        <v>139.09</v>
      </c>
    </row>
    <row r="1177" spans="1:23" ht="15" customHeight="1" x14ac:dyDescent="0.25">
      <c r="A1177">
        <v>2036</v>
      </c>
      <c r="B1177" s="1">
        <v>45850.833333333343</v>
      </c>
      <c r="C1177">
        <v>20</v>
      </c>
      <c r="D1177" t="s">
        <v>60</v>
      </c>
      <c r="E1177">
        <v>7</v>
      </c>
      <c r="F1177" t="s">
        <v>38</v>
      </c>
      <c r="G1177" t="s">
        <v>36</v>
      </c>
      <c r="H1177" t="s">
        <v>52</v>
      </c>
      <c r="I1177" t="s">
        <v>13</v>
      </c>
      <c r="J1177" t="s">
        <v>21</v>
      </c>
      <c r="K1177" s="2">
        <v>9800</v>
      </c>
      <c r="L1177" s="3">
        <v>23.2</v>
      </c>
      <c r="M1177" s="3">
        <v>60.3</v>
      </c>
      <c r="N1177" s="3">
        <v>75.7</v>
      </c>
      <c r="O1177" s="2">
        <v>325</v>
      </c>
      <c r="P1177">
        <v>1</v>
      </c>
      <c r="Q1177" t="s">
        <v>23</v>
      </c>
      <c r="R1177" s="4">
        <v>97.13</v>
      </c>
      <c r="S1177" s="4">
        <v>0</v>
      </c>
      <c r="T1177" t="s">
        <v>31</v>
      </c>
      <c r="U1177" s="4">
        <v>9.52</v>
      </c>
      <c r="V1177" s="4">
        <v>9.9109999999999996</v>
      </c>
      <c r="W1177" s="4">
        <v>97.13</v>
      </c>
    </row>
    <row r="1178" spans="1:23" ht="15" customHeight="1" x14ac:dyDescent="0.25">
      <c r="A1178">
        <v>2037</v>
      </c>
      <c r="B1178" s="1">
        <v>45854</v>
      </c>
      <c r="C1178">
        <v>0</v>
      </c>
      <c r="D1178" t="s">
        <v>48</v>
      </c>
      <c r="E1178">
        <v>7</v>
      </c>
      <c r="F1178" t="s">
        <v>38</v>
      </c>
      <c r="G1178" t="s">
        <v>33</v>
      </c>
      <c r="H1178" t="s">
        <v>52</v>
      </c>
      <c r="I1178" t="s">
        <v>13</v>
      </c>
      <c r="J1178" t="s">
        <v>21</v>
      </c>
      <c r="K1178" s="2">
        <v>9800</v>
      </c>
      <c r="L1178" s="3">
        <v>18.7</v>
      </c>
      <c r="M1178" s="3">
        <v>75.7</v>
      </c>
      <c r="N1178" s="3">
        <v>0</v>
      </c>
      <c r="O1178" s="2">
        <v>307</v>
      </c>
      <c r="P1178">
        <v>0</v>
      </c>
      <c r="Q1178" t="s">
        <v>14</v>
      </c>
      <c r="R1178" s="4">
        <v>93.9</v>
      </c>
      <c r="S1178" s="4">
        <v>0</v>
      </c>
      <c r="T1178" t="s">
        <v>31</v>
      </c>
      <c r="U1178" s="4">
        <v>9.07</v>
      </c>
      <c r="V1178" s="4">
        <v>9.5820000000000007</v>
      </c>
      <c r="W1178" s="4">
        <v>93.9</v>
      </c>
    </row>
    <row r="1179" spans="1:23" ht="15" customHeight="1" x14ac:dyDescent="0.25">
      <c r="A1179">
        <v>933</v>
      </c>
      <c r="B1179" s="1">
        <v>45854</v>
      </c>
      <c r="C1179">
        <v>0</v>
      </c>
      <c r="D1179" t="s">
        <v>48</v>
      </c>
      <c r="E1179">
        <v>7</v>
      </c>
      <c r="F1179" t="s">
        <v>38</v>
      </c>
      <c r="G1179" t="s">
        <v>33</v>
      </c>
      <c r="H1179" t="s">
        <v>50</v>
      </c>
      <c r="I1179" t="s">
        <v>22</v>
      </c>
      <c r="J1179" t="s">
        <v>12</v>
      </c>
      <c r="K1179" s="2">
        <v>21000</v>
      </c>
      <c r="L1179" s="3">
        <v>22.8</v>
      </c>
      <c r="M1179" s="3"/>
      <c r="N1179" s="3">
        <v>0</v>
      </c>
      <c r="O1179" s="2">
        <v>220</v>
      </c>
      <c r="P1179">
        <v>0</v>
      </c>
      <c r="Q1179" t="s">
        <v>14</v>
      </c>
      <c r="R1179" s="4">
        <v>161.96</v>
      </c>
      <c r="S1179" s="4">
        <v>0</v>
      </c>
      <c r="T1179" t="s">
        <v>31</v>
      </c>
      <c r="U1179" s="4">
        <v>15.87</v>
      </c>
      <c r="V1179" s="4">
        <v>7.7119999999999997</v>
      </c>
      <c r="W1179" s="4">
        <v>161.96</v>
      </c>
    </row>
    <row r="1180" spans="1:23" ht="15" customHeight="1" x14ac:dyDescent="0.25">
      <c r="A1180">
        <v>1669</v>
      </c>
      <c r="B1180" s="1">
        <v>45854</v>
      </c>
      <c r="C1180">
        <v>0</v>
      </c>
      <c r="D1180" t="s">
        <v>48</v>
      </c>
      <c r="E1180">
        <v>7</v>
      </c>
      <c r="F1180" t="s">
        <v>38</v>
      </c>
      <c r="G1180" t="s">
        <v>33</v>
      </c>
      <c r="H1180" t="s">
        <v>49</v>
      </c>
      <c r="I1180" t="s">
        <v>27</v>
      </c>
      <c r="J1180" t="s">
        <v>18</v>
      </c>
      <c r="K1180" s="2">
        <v>26000</v>
      </c>
      <c r="L1180" s="3">
        <v>22.5</v>
      </c>
      <c r="M1180" s="3">
        <v>69.900000000000006</v>
      </c>
      <c r="N1180" s="3">
        <v>0</v>
      </c>
      <c r="O1180" s="2">
        <v>34</v>
      </c>
      <c r="P1180">
        <v>0</v>
      </c>
      <c r="Q1180" t="s">
        <v>14</v>
      </c>
      <c r="R1180" s="4">
        <v>102.07</v>
      </c>
      <c r="S1180" s="4">
        <v>0</v>
      </c>
      <c r="T1180" t="s">
        <v>31</v>
      </c>
      <c r="U1180" s="4"/>
      <c r="V1180" s="4">
        <v>3.9260000000000002</v>
      </c>
      <c r="W1180" s="4">
        <v>102.07</v>
      </c>
    </row>
    <row r="1181" spans="1:23" ht="15" customHeight="1" x14ac:dyDescent="0.25">
      <c r="A1181">
        <v>1301</v>
      </c>
      <c r="B1181" s="1">
        <v>45854</v>
      </c>
      <c r="C1181">
        <v>0</v>
      </c>
      <c r="D1181" t="s">
        <v>48</v>
      </c>
      <c r="E1181">
        <v>7</v>
      </c>
      <c r="F1181" t="s">
        <v>38</v>
      </c>
      <c r="G1181" t="s">
        <v>33</v>
      </c>
      <c r="H1181" t="s">
        <v>51</v>
      </c>
      <c r="I1181" t="s">
        <v>25</v>
      </c>
      <c r="J1181" t="s">
        <v>15</v>
      </c>
      <c r="K1181" s="2">
        <v>17400</v>
      </c>
      <c r="L1181" s="3">
        <v>25.4</v>
      </c>
      <c r="M1181" s="3">
        <v>71.8</v>
      </c>
      <c r="N1181" s="3">
        <v>0</v>
      </c>
      <c r="O1181" s="2">
        <v>23</v>
      </c>
      <c r="P1181">
        <v>0</v>
      </c>
      <c r="Q1181" t="s">
        <v>14</v>
      </c>
      <c r="R1181" s="4">
        <v>48.2</v>
      </c>
      <c r="S1181" s="4">
        <v>0</v>
      </c>
      <c r="T1181" t="s">
        <v>31</v>
      </c>
      <c r="U1181" s="4">
        <v>4.67</v>
      </c>
      <c r="V1181" s="4">
        <v>2.77</v>
      </c>
      <c r="W1181" s="4">
        <v>48.2</v>
      </c>
    </row>
    <row r="1182" spans="1:23" ht="15" customHeight="1" x14ac:dyDescent="0.25">
      <c r="A1182">
        <v>565</v>
      </c>
      <c r="B1182" s="1">
        <v>45854</v>
      </c>
      <c r="C1182">
        <v>0</v>
      </c>
      <c r="D1182" t="s">
        <v>48</v>
      </c>
      <c r="E1182">
        <v>7</v>
      </c>
      <c r="F1182" t="s">
        <v>38</v>
      </c>
      <c r="G1182" t="s">
        <v>33</v>
      </c>
      <c r="H1182" t="s">
        <v>54</v>
      </c>
      <c r="I1182" t="s">
        <v>16</v>
      </c>
      <c r="J1182" t="s">
        <v>24</v>
      </c>
      <c r="K1182" s="2">
        <v>8600</v>
      </c>
      <c r="L1182" s="3">
        <v>15.1</v>
      </c>
      <c r="M1182" s="3">
        <v>86.7</v>
      </c>
      <c r="N1182" s="3">
        <v>0</v>
      </c>
      <c r="O1182" s="2">
        <v>0</v>
      </c>
      <c r="P1182">
        <v>0</v>
      </c>
      <c r="Q1182" t="s">
        <v>14</v>
      </c>
      <c r="R1182" s="4">
        <v>11.42</v>
      </c>
      <c r="S1182" s="4">
        <v>0</v>
      </c>
      <c r="T1182" t="s">
        <v>31</v>
      </c>
      <c r="U1182" s="4">
        <v>1.1299999999999999</v>
      </c>
      <c r="V1182" s="4">
        <v>1.3280000000000001</v>
      </c>
      <c r="W1182" s="4">
        <v>11.42</v>
      </c>
    </row>
    <row r="1183" spans="1:23" ht="15" customHeight="1" x14ac:dyDescent="0.25">
      <c r="A1183">
        <v>197</v>
      </c>
      <c r="B1183" s="1">
        <v>45854</v>
      </c>
      <c r="C1183">
        <v>0</v>
      </c>
      <c r="D1183" t="s">
        <v>48</v>
      </c>
      <c r="E1183">
        <v>7</v>
      </c>
      <c r="F1183" t="s">
        <v>38</v>
      </c>
      <c r="G1183" t="s">
        <v>33</v>
      </c>
      <c r="H1183" t="s">
        <v>53</v>
      </c>
      <c r="I1183" t="s">
        <v>19</v>
      </c>
      <c r="J1183" t="s">
        <v>26</v>
      </c>
      <c r="K1183" s="2">
        <v>12500</v>
      </c>
      <c r="L1183" s="3">
        <v>18.399999999999999</v>
      </c>
      <c r="M1183" s="3">
        <v>64.599999999999994</v>
      </c>
      <c r="N1183" s="3">
        <v>0</v>
      </c>
      <c r="O1183" s="2">
        <v>49</v>
      </c>
      <c r="P1183">
        <v>0</v>
      </c>
      <c r="Q1183" t="s">
        <v>14</v>
      </c>
      <c r="R1183" s="4">
        <v>25.66</v>
      </c>
      <c r="S1183" s="4">
        <v>0</v>
      </c>
      <c r="T1183" t="s">
        <v>31</v>
      </c>
      <c r="U1183" s="4">
        <v>2.4900000000000002</v>
      </c>
      <c r="V1183" s="4">
        <v>2.0529999999999999</v>
      </c>
      <c r="W1183" s="4">
        <v>25.66</v>
      </c>
    </row>
    <row r="1184" spans="1:23" ht="15" customHeight="1" x14ac:dyDescent="0.25">
      <c r="A1184">
        <v>566</v>
      </c>
      <c r="B1184" s="1">
        <v>45854.333333333343</v>
      </c>
      <c r="C1184">
        <v>8</v>
      </c>
      <c r="D1184" t="s">
        <v>48</v>
      </c>
      <c r="E1184">
        <v>7</v>
      </c>
      <c r="F1184" t="s">
        <v>38</v>
      </c>
      <c r="G1184" t="s">
        <v>33</v>
      </c>
      <c r="H1184" t="s">
        <v>54</v>
      </c>
      <c r="I1184" t="s">
        <v>16</v>
      </c>
      <c r="J1184" t="s">
        <v>24</v>
      </c>
      <c r="K1184" s="2">
        <v>8600</v>
      </c>
      <c r="L1184" s="3">
        <v>23.2</v>
      </c>
      <c r="M1184" s="3">
        <v>92.1</v>
      </c>
      <c r="N1184" s="3">
        <v>350.1</v>
      </c>
      <c r="O1184" s="2">
        <v>22</v>
      </c>
      <c r="P1184">
        <v>0</v>
      </c>
      <c r="Q1184" t="s">
        <v>14</v>
      </c>
      <c r="R1184" s="4">
        <v>8.74</v>
      </c>
      <c r="S1184" s="4">
        <v>24.74</v>
      </c>
      <c r="T1184" t="s">
        <v>34</v>
      </c>
      <c r="U1184" s="4"/>
      <c r="V1184" s="4">
        <v>1.016</v>
      </c>
      <c r="W1184" s="4">
        <v>0</v>
      </c>
    </row>
    <row r="1185" spans="1:23" ht="15" customHeight="1" x14ac:dyDescent="0.25">
      <c r="A1185">
        <v>198</v>
      </c>
      <c r="B1185" s="1">
        <v>45854.333333333343</v>
      </c>
      <c r="C1185">
        <v>8</v>
      </c>
      <c r="D1185" t="s">
        <v>48</v>
      </c>
      <c r="E1185">
        <v>7</v>
      </c>
      <c r="F1185" t="s">
        <v>38</v>
      </c>
      <c r="G1185" t="s">
        <v>33</v>
      </c>
      <c r="H1185" t="s">
        <v>53</v>
      </c>
      <c r="I1185" t="s">
        <v>19</v>
      </c>
      <c r="J1185" t="s">
        <v>26</v>
      </c>
      <c r="K1185" s="2">
        <v>12500</v>
      </c>
      <c r="L1185" s="3">
        <v>26.1</v>
      </c>
      <c r="M1185" s="3">
        <v>48.9</v>
      </c>
      <c r="N1185" s="3">
        <v>384.5</v>
      </c>
      <c r="O1185" s="2">
        <v>315</v>
      </c>
      <c r="P1185">
        <v>1</v>
      </c>
      <c r="Q1185" t="s">
        <v>20</v>
      </c>
      <c r="R1185" s="4">
        <v>73.290000000000006</v>
      </c>
      <c r="S1185" s="4">
        <v>54.35</v>
      </c>
      <c r="T1185" t="s">
        <v>34</v>
      </c>
      <c r="U1185" s="4">
        <v>3.01</v>
      </c>
      <c r="V1185" s="4">
        <v>5.8630000000000004</v>
      </c>
      <c r="W1185" s="4">
        <v>18.940000000000001</v>
      </c>
    </row>
    <row r="1186" spans="1:23" ht="15" customHeight="1" x14ac:dyDescent="0.25">
      <c r="A1186">
        <v>1302</v>
      </c>
      <c r="B1186" s="1">
        <v>45854.333333333343</v>
      </c>
      <c r="C1186">
        <v>8</v>
      </c>
      <c r="D1186" t="s">
        <v>48</v>
      </c>
      <c r="E1186">
        <v>7</v>
      </c>
      <c r="F1186" t="s">
        <v>38</v>
      </c>
      <c r="G1186" t="s">
        <v>33</v>
      </c>
      <c r="H1186" t="s">
        <v>51</v>
      </c>
      <c r="I1186" t="s">
        <v>25</v>
      </c>
      <c r="J1186" t="s">
        <v>15</v>
      </c>
      <c r="K1186" s="2">
        <v>17400</v>
      </c>
      <c r="L1186" s="3">
        <v>26</v>
      </c>
      <c r="M1186" s="3">
        <v>61.3</v>
      </c>
      <c r="N1186" s="3">
        <v>456.9</v>
      </c>
      <c r="O1186" s="2">
        <v>76</v>
      </c>
      <c r="P1186">
        <v>0</v>
      </c>
      <c r="Q1186" t="s">
        <v>14</v>
      </c>
      <c r="R1186" s="4">
        <v>35.68</v>
      </c>
      <c r="S1186" s="4">
        <v>61.85</v>
      </c>
      <c r="T1186" t="s">
        <v>34</v>
      </c>
      <c r="U1186" s="4">
        <v>-1.65</v>
      </c>
      <c r="V1186" s="4">
        <v>2.0510000000000002</v>
      </c>
      <c r="W1186" s="4">
        <v>0</v>
      </c>
    </row>
    <row r="1187" spans="1:23" ht="15" customHeight="1" x14ac:dyDescent="0.25">
      <c r="A1187">
        <v>934</v>
      </c>
      <c r="B1187" s="1">
        <v>45854.333333333343</v>
      </c>
      <c r="C1187">
        <v>8</v>
      </c>
      <c r="D1187" t="s">
        <v>48</v>
      </c>
      <c r="E1187">
        <v>7</v>
      </c>
      <c r="F1187" t="s">
        <v>38</v>
      </c>
      <c r="G1187" t="s">
        <v>33</v>
      </c>
      <c r="H1187" t="s">
        <v>50</v>
      </c>
      <c r="I1187" t="s">
        <v>22</v>
      </c>
      <c r="J1187" t="s">
        <v>12</v>
      </c>
      <c r="K1187" s="2">
        <v>21000</v>
      </c>
      <c r="L1187" s="3">
        <v>25.5</v>
      </c>
      <c r="M1187" s="3">
        <v>45.4</v>
      </c>
      <c r="N1187" s="3">
        <v>417.1</v>
      </c>
      <c r="O1187" s="2">
        <v>380</v>
      </c>
      <c r="P1187">
        <v>1</v>
      </c>
      <c r="Q1187" t="s">
        <v>20</v>
      </c>
      <c r="R1187" s="4">
        <v>181.01</v>
      </c>
      <c r="S1187" s="4">
        <v>85.8</v>
      </c>
      <c r="T1187" t="s">
        <v>34</v>
      </c>
      <c r="U1187" s="4">
        <v>15.24</v>
      </c>
      <c r="V1187" s="4">
        <v>8.6199999999999992</v>
      </c>
      <c r="W1187" s="4">
        <v>95.21</v>
      </c>
    </row>
    <row r="1188" spans="1:23" ht="15" customHeight="1" x14ac:dyDescent="0.25">
      <c r="A1188">
        <v>2038</v>
      </c>
      <c r="B1188" s="1">
        <v>45854.333333333343</v>
      </c>
      <c r="C1188">
        <v>8</v>
      </c>
      <c r="D1188" t="s">
        <v>48</v>
      </c>
      <c r="E1188">
        <v>7</v>
      </c>
      <c r="F1188" t="s">
        <v>38</v>
      </c>
      <c r="G1188" t="s">
        <v>33</v>
      </c>
      <c r="H1188" t="s">
        <v>52</v>
      </c>
      <c r="I1188" t="s">
        <v>13</v>
      </c>
      <c r="J1188" t="s">
        <v>21</v>
      </c>
      <c r="K1188" s="2">
        <v>9800</v>
      </c>
      <c r="L1188" s="3">
        <v>24</v>
      </c>
      <c r="M1188" s="3">
        <v>65.2</v>
      </c>
      <c r="N1188" s="3">
        <v>412</v>
      </c>
      <c r="O1188" s="2">
        <v>58</v>
      </c>
      <c r="P1188">
        <v>1</v>
      </c>
      <c r="Q1188" t="s">
        <v>23</v>
      </c>
      <c r="R1188" s="4">
        <v>17.649999999999999</v>
      </c>
      <c r="S1188" s="4">
        <v>0</v>
      </c>
      <c r="T1188" t="s">
        <v>34</v>
      </c>
      <c r="U1188" s="4">
        <v>2.76</v>
      </c>
      <c r="V1188" s="4">
        <v>1.8009999999999999</v>
      </c>
      <c r="W1188" s="4">
        <v>17.649999999999999</v>
      </c>
    </row>
    <row r="1189" spans="1:23" ht="15" customHeight="1" x14ac:dyDescent="0.25">
      <c r="A1189">
        <v>1670</v>
      </c>
      <c r="B1189" s="1">
        <v>45854.333333333343</v>
      </c>
      <c r="C1189">
        <v>8</v>
      </c>
      <c r="D1189" t="s">
        <v>48</v>
      </c>
      <c r="E1189">
        <v>7</v>
      </c>
      <c r="F1189" t="s">
        <v>38</v>
      </c>
      <c r="G1189" t="s">
        <v>33</v>
      </c>
      <c r="H1189" t="s">
        <v>49</v>
      </c>
      <c r="I1189" t="s">
        <v>27</v>
      </c>
      <c r="J1189" t="s">
        <v>18</v>
      </c>
      <c r="K1189" s="2">
        <v>26000</v>
      </c>
      <c r="L1189" s="3">
        <v>23.3</v>
      </c>
      <c r="M1189" s="3">
        <v>53.3</v>
      </c>
      <c r="N1189" s="3"/>
      <c r="O1189" s="2">
        <v>166</v>
      </c>
      <c r="P1189">
        <v>1</v>
      </c>
      <c r="Q1189" t="s">
        <v>23</v>
      </c>
      <c r="R1189" s="4">
        <v>152.86000000000001</v>
      </c>
      <c r="S1189" s="4">
        <v>104.56</v>
      </c>
      <c r="T1189" t="s">
        <v>34</v>
      </c>
      <c r="U1189" s="4">
        <v>7.54</v>
      </c>
      <c r="V1189" s="4">
        <v>5.8789999999999996</v>
      </c>
      <c r="W1189" s="4">
        <v>48.3</v>
      </c>
    </row>
    <row r="1190" spans="1:23" ht="15" customHeight="1" x14ac:dyDescent="0.25">
      <c r="A1190">
        <v>935</v>
      </c>
      <c r="B1190" s="1">
        <v>45854.583333333343</v>
      </c>
      <c r="C1190">
        <v>14</v>
      </c>
      <c r="D1190" t="s">
        <v>48</v>
      </c>
      <c r="E1190">
        <v>7</v>
      </c>
      <c r="F1190" t="s">
        <v>38</v>
      </c>
      <c r="G1190" t="s">
        <v>33</v>
      </c>
      <c r="H1190" t="s">
        <v>50</v>
      </c>
      <c r="I1190" t="s">
        <v>22</v>
      </c>
      <c r="J1190" t="s">
        <v>12</v>
      </c>
      <c r="K1190" s="2">
        <v>21000</v>
      </c>
      <c r="L1190" s="3"/>
      <c r="M1190" s="3">
        <v>35.6</v>
      </c>
      <c r="N1190" s="3">
        <v>852.4</v>
      </c>
      <c r="O1190" s="2">
        <v>380</v>
      </c>
      <c r="P1190">
        <v>1</v>
      </c>
      <c r="Q1190" t="s">
        <v>20</v>
      </c>
      <c r="R1190" s="4">
        <v>235.28</v>
      </c>
      <c r="S1190" s="4">
        <v>161.77000000000001</v>
      </c>
      <c r="T1190" t="s">
        <v>34</v>
      </c>
      <c r="U1190" s="4">
        <v>11.76</v>
      </c>
      <c r="V1190" s="4">
        <v>11.204000000000001</v>
      </c>
      <c r="W1190" s="4">
        <v>73.510000000000005</v>
      </c>
    </row>
    <row r="1191" spans="1:23" ht="15" customHeight="1" x14ac:dyDescent="0.25">
      <c r="A1191">
        <v>199</v>
      </c>
      <c r="B1191" s="1">
        <v>45854.583333333343</v>
      </c>
      <c r="C1191">
        <v>14</v>
      </c>
      <c r="D1191" t="s">
        <v>48</v>
      </c>
      <c r="E1191">
        <v>7</v>
      </c>
      <c r="F1191" t="s">
        <v>38</v>
      </c>
      <c r="G1191" t="s">
        <v>33</v>
      </c>
      <c r="H1191" t="s">
        <v>53</v>
      </c>
      <c r="I1191" t="s">
        <v>19</v>
      </c>
      <c r="J1191" t="s">
        <v>26</v>
      </c>
      <c r="K1191" s="2">
        <v>12500</v>
      </c>
      <c r="L1191" s="3">
        <v>34.200000000000003</v>
      </c>
      <c r="M1191" s="3">
        <v>42.5</v>
      </c>
      <c r="N1191" s="3">
        <v>719.9</v>
      </c>
      <c r="O1191" s="2">
        <v>560</v>
      </c>
      <c r="P1191">
        <v>1</v>
      </c>
      <c r="Q1191" t="s">
        <v>20</v>
      </c>
      <c r="R1191" s="4">
        <v>114.93</v>
      </c>
      <c r="S1191" s="4">
        <v>111.49</v>
      </c>
      <c r="T1191" t="s">
        <v>34</v>
      </c>
      <c r="U1191" s="4">
        <v>0.53</v>
      </c>
      <c r="V1191" s="4">
        <v>9.1940000000000008</v>
      </c>
      <c r="W1191" s="4">
        <v>3.44</v>
      </c>
    </row>
    <row r="1192" spans="1:23" ht="15" customHeight="1" x14ac:dyDescent="0.25">
      <c r="A1192">
        <v>567</v>
      </c>
      <c r="B1192" s="1">
        <v>45854.583333333343</v>
      </c>
      <c r="C1192">
        <v>14</v>
      </c>
      <c r="D1192" t="s">
        <v>48</v>
      </c>
      <c r="E1192">
        <v>7</v>
      </c>
      <c r="F1192" t="s">
        <v>38</v>
      </c>
      <c r="G1192" t="s">
        <v>33</v>
      </c>
      <c r="H1192" t="s">
        <v>54</v>
      </c>
      <c r="I1192" t="s">
        <v>16</v>
      </c>
      <c r="J1192" t="s">
        <v>24</v>
      </c>
      <c r="K1192" s="2">
        <v>8600</v>
      </c>
      <c r="L1192" s="3">
        <v>25.1</v>
      </c>
      <c r="M1192" s="3">
        <v>74</v>
      </c>
      <c r="N1192" s="3">
        <v>779.7</v>
      </c>
      <c r="O1192" s="2">
        <v>41</v>
      </c>
      <c r="P1192">
        <v>0</v>
      </c>
      <c r="Q1192" t="s">
        <v>14</v>
      </c>
      <c r="R1192" s="4">
        <v>10.11</v>
      </c>
      <c r="S1192" s="4">
        <v>63.22</v>
      </c>
      <c r="T1192" t="s">
        <v>34</v>
      </c>
      <c r="U1192" s="4">
        <v>-3.3</v>
      </c>
      <c r="V1192" s="4">
        <v>1.1759999999999999</v>
      </c>
      <c r="W1192" s="4">
        <v>0</v>
      </c>
    </row>
    <row r="1193" spans="1:23" ht="15" customHeight="1" x14ac:dyDescent="0.25">
      <c r="A1193">
        <v>1671</v>
      </c>
      <c r="B1193" s="1">
        <v>45854.583333333343</v>
      </c>
      <c r="C1193">
        <v>14</v>
      </c>
      <c r="D1193" t="s">
        <v>48</v>
      </c>
      <c r="E1193">
        <v>7</v>
      </c>
      <c r="F1193" t="s">
        <v>38</v>
      </c>
      <c r="G1193" t="s">
        <v>33</v>
      </c>
      <c r="H1193" t="s">
        <v>49</v>
      </c>
      <c r="I1193" t="s">
        <v>27</v>
      </c>
      <c r="J1193" t="s">
        <v>18</v>
      </c>
      <c r="K1193" s="2">
        <v>26000</v>
      </c>
      <c r="L1193" s="3">
        <v>32.4</v>
      </c>
      <c r="M1193" s="3">
        <v>40.5</v>
      </c>
      <c r="N1193" s="3">
        <v>901</v>
      </c>
      <c r="O1193" s="2">
        <v>149</v>
      </c>
      <c r="P1193">
        <v>1</v>
      </c>
      <c r="Q1193" t="s">
        <v>20</v>
      </c>
      <c r="R1193" s="4">
        <v>189.13</v>
      </c>
      <c r="S1193" s="4">
        <v>234.86</v>
      </c>
      <c r="T1193" t="s">
        <v>34</v>
      </c>
      <c r="U1193" s="4">
        <v>-2.79</v>
      </c>
      <c r="V1193" s="4">
        <v>7.274</v>
      </c>
      <c r="W1193" s="4">
        <v>0</v>
      </c>
    </row>
    <row r="1194" spans="1:23" ht="15" customHeight="1" x14ac:dyDescent="0.25">
      <c r="A1194">
        <v>2039</v>
      </c>
      <c r="B1194" s="1">
        <v>45854.583333333343</v>
      </c>
      <c r="C1194">
        <v>14</v>
      </c>
      <c r="D1194" t="s">
        <v>48</v>
      </c>
      <c r="E1194">
        <v>7</v>
      </c>
      <c r="F1194" t="s">
        <v>38</v>
      </c>
      <c r="G1194" t="s">
        <v>33</v>
      </c>
      <c r="H1194" t="s">
        <v>52</v>
      </c>
      <c r="I1194" t="s">
        <v>13</v>
      </c>
      <c r="J1194" t="s">
        <v>21</v>
      </c>
      <c r="K1194" s="2">
        <v>9800</v>
      </c>
      <c r="L1194" s="3">
        <v>24.5</v>
      </c>
      <c r="M1194" s="3">
        <v>75.2</v>
      </c>
      <c r="N1194" s="3">
        <v>749.3</v>
      </c>
      <c r="O1194" s="2">
        <v>66</v>
      </c>
      <c r="P1194">
        <v>1</v>
      </c>
      <c r="Q1194" t="s">
        <v>20</v>
      </c>
      <c r="R1194" s="4">
        <v>21.44</v>
      </c>
      <c r="S1194" s="4">
        <v>0</v>
      </c>
      <c r="T1194" t="s">
        <v>34</v>
      </c>
      <c r="U1194" s="4">
        <v>3.25</v>
      </c>
      <c r="V1194" s="4">
        <v>2.1880000000000002</v>
      </c>
      <c r="W1194" s="4">
        <v>21.44</v>
      </c>
    </row>
    <row r="1195" spans="1:23" ht="15" customHeight="1" x14ac:dyDescent="0.25">
      <c r="A1195">
        <v>1303</v>
      </c>
      <c r="B1195" s="1">
        <v>45854.583333333343</v>
      </c>
      <c r="C1195">
        <v>14</v>
      </c>
      <c r="D1195" t="s">
        <v>48</v>
      </c>
      <c r="E1195">
        <v>7</v>
      </c>
      <c r="F1195" t="s">
        <v>38</v>
      </c>
      <c r="G1195" t="s">
        <v>33</v>
      </c>
      <c r="H1195" t="s">
        <v>51</v>
      </c>
      <c r="I1195" t="s">
        <v>25</v>
      </c>
      <c r="J1195" t="s">
        <v>15</v>
      </c>
      <c r="K1195" s="2">
        <v>17400</v>
      </c>
      <c r="L1195" s="3">
        <v>29.7</v>
      </c>
      <c r="M1195" s="3">
        <v>58.9</v>
      </c>
      <c r="N1195" s="3">
        <v>954</v>
      </c>
      <c r="O1195" s="2">
        <v>1293</v>
      </c>
      <c r="P1195">
        <v>1</v>
      </c>
      <c r="Q1195" t="s">
        <v>20</v>
      </c>
      <c r="R1195" s="4">
        <v>215.19</v>
      </c>
      <c r="S1195" s="4">
        <v>120.89</v>
      </c>
      <c r="T1195" t="s">
        <v>34</v>
      </c>
      <c r="U1195" s="4">
        <v>14.57</v>
      </c>
      <c r="V1195" s="4">
        <v>12.367000000000001</v>
      </c>
      <c r="W1195" s="4">
        <v>94.3</v>
      </c>
    </row>
    <row r="1196" spans="1:23" ht="15" customHeight="1" x14ac:dyDescent="0.25">
      <c r="A1196">
        <v>1672</v>
      </c>
      <c r="B1196" s="1">
        <v>45854.833333333343</v>
      </c>
      <c r="C1196">
        <v>20</v>
      </c>
      <c r="D1196" t="s">
        <v>48</v>
      </c>
      <c r="E1196">
        <v>7</v>
      </c>
      <c r="F1196" t="s">
        <v>38</v>
      </c>
      <c r="G1196" t="s">
        <v>33</v>
      </c>
      <c r="H1196" t="s">
        <v>49</v>
      </c>
      <c r="I1196" t="s">
        <v>27</v>
      </c>
      <c r="J1196" t="s">
        <v>18</v>
      </c>
      <c r="K1196" s="2">
        <v>26000</v>
      </c>
      <c r="L1196" s="3">
        <v>28.3</v>
      </c>
      <c r="M1196" s="3">
        <v>51.1</v>
      </c>
      <c r="N1196" s="3">
        <v>72</v>
      </c>
      <c r="O1196" s="2">
        <v>168</v>
      </c>
      <c r="P1196">
        <v>1</v>
      </c>
      <c r="Q1196" t="s">
        <v>20</v>
      </c>
      <c r="R1196" s="4">
        <v>271.58</v>
      </c>
      <c r="S1196" s="4">
        <v>20.38</v>
      </c>
      <c r="T1196" t="s">
        <v>37</v>
      </c>
      <c r="U1196" s="4">
        <v>59.41</v>
      </c>
      <c r="V1196" s="4">
        <v>10.445</v>
      </c>
      <c r="W1196" s="4">
        <v>251.2</v>
      </c>
    </row>
    <row r="1197" spans="1:23" ht="15" customHeight="1" x14ac:dyDescent="0.25">
      <c r="A1197">
        <v>1304</v>
      </c>
      <c r="B1197" s="1">
        <v>45854.833333333343</v>
      </c>
      <c r="C1197">
        <v>20</v>
      </c>
      <c r="D1197" t="s">
        <v>48</v>
      </c>
      <c r="E1197">
        <v>7</v>
      </c>
      <c r="F1197" t="s">
        <v>38</v>
      </c>
      <c r="G1197" t="s">
        <v>33</v>
      </c>
      <c r="H1197" t="s">
        <v>51</v>
      </c>
      <c r="I1197" t="s">
        <v>25</v>
      </c>
      <c r="J1197" t="s">
        <v>15</v>
      </c>
      <c r="K1197" s="2">
        <v>17400</v>
      </c>
      <c r="L1197" s="3">
        <v>25.3</v>
      </c>
      <c r="M1197" s="3">
        <v>61.2</v>
      </c>
      <c r="N1197" s="3">
        <v>73.599999999999994</v>
      </c>
      <c r="O1197" s="2">
        <v>1449</v>
      </c>
      <c r="P1197">
        <v>1</v>
      </c>
      <c r="Q1197" t="s">
        <v>20</v>
      </c>
      <c r="R1197" s="4"/>
      <c r="S1197" s="4">
        <v>9.61</v>
      </c>
      <c r="T1197" t="s">
        <v>37</v>
      </c>
      <c r="U1197" s="4">
        <v>65.86</v>
      </c>
      <c r="V1197" s="4"/>
      <c r="W1197" s="4"/>
    </row>
    <row r="1198" spans="1:23" ht="15" customHeight="1" x14ac:dyDescent="0.25">
      <c r="A1198">
        <v>568</v>
      </c>
      <c r="B1198" s="1">
        <v>45854.833333333343</v>
      </c>
      <c r="C1198">
        <v>20</v>
      </c>
      <c r="D1198" t="s">
        <v>48</v>
      </c>
      <c r="E1198">
        <v>7</v>
      </c>
      <c r="F1198" t="s">
        <v>38</v>
      </c>
      <c r="G1198" t="s">
        <v>33</v>
      </c>
      <c r="H1198" t="s">
        <v>54</v>
      </c>
      <c r="I1198" t="s">
        <v>16</v>
      </c>
      <c r="J1198" t="s">
        <v>24</v>
      </c>
      <c r="K1198" s="2">
        <v>8600</v>
      </c>
      <c r="L1198" s="3">
        <v>23.4</v>
      </c>
      <c r="M1198" s="3">
        <v>82.7</v>
      </c>
      <c r="N1198" s="3">
        <v>50.2</v>
      </c>
      <c r="O1198" s="2">
        <v>0</v>
      </c>
      <c r="P1198">
        <v>0</v>
      </c>
      <c r="Q1198" t="s">
        <v>14</v>
      </c>
      <c r="R1198" s="4">
        <v>13.01</v>
      </c>
      <c r="S1198" s="4">
        <v>3.48</v>
      </c>
      <c r="T1198" t="s">
        <v>37</v>
      </c>
      <c r="U1198" s="4">
        <v>2.2400000000000002</v>
      </c>
      <c r="V1198" s="4">
        <v>1.5129999999999999</v>
      </c>
      <c r="W1198" s="4">
        <v>9.5299999999999994</v>
      </c>
    </row>
    <row r="1199" spans="1:23" ht="15" customHeight="1" x14ac:dyDescent="0.25">
      <c r="A1199">
        <v>200</v>
      </c>
      <c r="B1199" s="1">
        <v>45854.833333333343</v>
      </c>
      <c r="C1199">
        <v>20</v>
      </c>
      <c r="D1199" t="s">
        <v>48</v>
      </c>
      <c r="E1199">
        <v>7</v>
      </c>
      <c r="F1199" t="s">
        <v>38</v>
      </c>
      <c r="G1199" t="s">
        <v>33</v>
      </c>
      <c r="H1199" t="s">
        <v>53</v>
      </c>
      <c r="I1199" t="s">
        <v>19</v>
      </c>
      <c r="J1199" t="s">
        <v>26</v>
      </c>
      <c r="K1199" s="2">
        <v>12500</v>
      </c>
      <c r="L1199" s="3">
        <v>25.8</v>
      </c>
      <c r="M1199" s="3">
        <v>61.6</v>
      </c>
      <c r="N1199" s="3">
        <v>68.900000000000006</v>
      </c>
      <c r="O1199" s="2">
        <v>70</v>
      </c>
      <c r="P1199">
        <v>1</v>
      </c>
      <c r="Q1199" t="s">
        <v>20</v>
      </c>
      <c r="R1199" s="4">
        <v>44.63</v>
      </c>
      <c r="S1199" s="4">
        <v>11.19</v>
      </c>
      <c r="T1199" t="s">
        <v>37</v>
      </c>
      <c r="U1199" s="4">
        <v>7.89</v>
      </c>
      <c r="V1199" s="4">
        <v>3.57</v>
      </c>
      <c r="W1199" s="4">
        <v>33.44</v>
      </c>
    </row>
    <row r="1200" spans="1:23" ht="15" customHeight="1" x14ac:dyDescent="0.25">
      <c r="A1200">
        <v>936</v>
      </c>
      <c r="B1200" s="1">
        <v>45854.833333333343</v>
      </c>
      <c r="C1200">
        <v>20</v>
      </c>
      <c r="D1200" t="s">
        <v>48</v>
      </c>
      <c r="E1200">
        <v>7</v>
      </c>
      <c r="F1200" t="s">
        <v>38</v>
      </c>
      <c r="G1200" t="s">
        <v>33</v>
      </c>
      <c r="H1200" t="s">
        <v>50</v>
      </c>
      <c r="I1200" t="s">
        <v>22</v>
      </c>
      <c r="J1200" t="s">
        <v>12</v>
      </c>
      <c r="K1200" s="2">
        <v>21000</v>
      </c>
      <c r="L1200" s="3">
        <v>29.5</v>
      </c>
      <c r="M1200" s="3">
        <v>44</v>
      </c>
      <c r="N1200" s="3">
        <v>53.5</v>
      </c>
      <c r="O1200" s="2">
        <v>407</v>
      </c>
      <c r="P1200">
        <v>1</v>
      </c>
      <c r="Q1200" t="s">
        <v>20</v>
      </c>
      <c r="R1200" s="4">
        <v>287.83999999999997</v>
      </c>
      <c r="S1200" s="4">
        <v>10.27</v>
      </c>
      <c r="T1200" t="s">
        <v>37</v>
      </c>
      <c r="U1200" s="4">
        <v>67.31</v>
      </c>
      <c r="V1200" s="4">
        <v>13.707000000000001</v>
      </c>
      <c r="W1200" s="4">
        <v>277.57</v>
      </c>
    </row>
    <row r="1201" spans="1:23" ht="15" customHeight="1" x14ac:dyDescent="0.25">
      <c r="A1201">
        <v>2040</v>
      </c>
      <c r="B1201" s="1">
        <v>45854.833333333343</v>
      </c>
      <c r="C1201">
        <v>20</v>
      </c>
      <c r="D1201" t="s">
        <v>48</v>
      </c>
      <c r="E1201">
        <v>7</v>
      </c>
      <c r="F1201" t="s">
        <v>38</v>
      </c>
      <c r="G1201" t="s">
        <v>33</v>
      </c>
      <c r="H1201" t="s">
        <v>52</v>
      </c>
      <c r="I1201" t="s">
        <v>13</v>
      </c>
      <c r="J1201" t="s">
        <v>21</v>
      </c>
      <c r="K1201" s="2">
        <v>9800</v>
      </c>
      <c r="L1201" s="3">
        <v>26.3</v>
      </c>
      <c r="M1201" s="3">
        <v>66.2</v>
      </c>
      <c r="N1201" s="3">
        <v>36.5</v>
      </c>
      <c r="O1201" s="2">
        <v>304</v>
      </c>
      <c r="P1201">
        <v>1</v>
      </c>
      <c r="Q1201" t="s">
        <v>20</v>
      </c>
      <c r="R1201" s="4">
        <v>95.99</v>
      </c>
      <c r="S1201" s="4">
        <v>0</v>
      </c>
      <c r="T1201" t="s">
        <v>37</v>
      </c>
      <c r="U1201" s="4">
        <v>22.83</v>
      </c>
      <c r="V1201" s="4">
        <v>9.7949999999999999</v>
      </c>
      <c r="W1201" s="4">
        <v>95.99</v>
      </c>
    </row>
    <row r="1202" spans="1:23" ht="15" customHeight="1" x14ac:dyDescent="0.25">
      <c r="A1202">
        <v>1673</v>
      </c>
      <c r="B1202" s="1">
        <v>45858</v>
      </c>
      <c r="C1202">
        <v>0</v>
      </c>
      <c r="D1202" t="s">
        <v>55</v>
      </c>
      <c r="E1202">
        <v>7</v>
      </c>
      <c r="F1202" t="s">
        <v>38</v>
      </c>
      <c r="G1202" t="s">
        <v>36</v>
      </c>
      <c r="H1202" t="s">
        <v>49</v>
      </c>
      <c r="I1202" t="s">
        <v>27</v>
      </c>
      <c r="J1202" t="s">
        <v>18</v>
      </c>
      <c r="K1202" s="2">
        <v>26000</v>
      </c>
      <c r="L1202" s="3">
        <v>24.8</v>
      </c>
      <c r="M1202" s="3">
        <v>57.6</v>
      </c>
      <c r="N1202" s="3">
        <v>0</v>
      </c>
      <c r="O1202" s="2">
        <v>20</v>
      </c>
      <c r="P1202">
        <v>1</v>
      </c>
      <c r="Q1202" t="s">
        <v>20</v>
      </c>
      <c r="R1202" s="4"/>
      <c r="S1202" s="4">
        <v>0</v>
      </c>
      <c r="T1202" t="s">
        <v>31</v>
      </c>
      <c r="U1202" s="4">
        <v>8.19</v>
      </c>
      <c r="V1202" s="4"/>
      <c r="W1202" s="4"/>
    </row>
    <row r="1203" spans="1:23" ht="15" customHeight="1" x14ac:dyDescent="0.25">
      <c r="A1203">
        <v>2041</v>
      </c>
      <c r="B1203" s="1">
        <v>45858</v>
      </c>
      <c r="C1203">
        <v>0</v>
      </c>
      <c r="D1203" t="s">
        <v>55</v>
      </c>
      <c r="E1203">
        <v>7</v>
      </c>
      <c r="F1203" t="s">
        <v>38</v>
      </c>
      <c r="G1203" t="s">
        <v>36</v>
      </c>
      <c r="H1203" t="s">
        <v>52</v>
      </c>
      <c r="I1203" t="s">
        <v>13</v>
      </c>
      <c r="J1203" t="s">
        <v>21</v>
      </c>
      <c r="K1203" s="2">
        <v>9800</v>
      </c>
      <c r="L1203" s="3">
        <v>18.600000000000001</v>
      </c>
      <c r="M1203" s="3">
        <v>74</v>
      </c>
      <c r="N1203" s="3">
        <v>0</v>
      </c>
      <c r="O1203" s="2">
        <v>299</v>
      </c>
      <c r="P1203">
        <v>0</v>
      </c>
      <c r="Q1203" t="s">
        <v>14</v>
      </c>
      <c r="R1203" s="4">
        <v>96.02</v>
      </c>
      <c r="S1203" s="4">
        <v>0</v>
      </c>
      <c r="T1203" t="s">
        <v>31</v>
      </c>
      <c r="U1203" s="4">
        <v>9.66</v>
      </c>
      <c r="V1203" s="4">
        <v>9.798</v>
      </c>
      <c r="W1203" s="4">
        <v>96.02</v>
      </c>
    </row>
    <row r="1204" spans="1:23" ht="15" customHeight="1" x14ac:dyDescent="0.25">
      <c r="A1204">
        <v>201</v>
      </c>
      <c r="B1204" s="1">
        <v>45858</v>
      </c>
      <c r="C1204">
        <v>0</v>
      </c>
      <c r="D1204" t="s">
        <v>55</v>
      </c>
      <c r="E1204">
        <v>7</v>
      </c>
      <c r="F1204" t="s">
        <v>38</v>
      </c>
      <c r="G1204" t="s">
        <v>36</v>
      </c>
      <c r="H1204" t="s">
        <v>53</v>
      </c>
      <c r="I1204" t="s">
        <v>19</v>
      </c>
      <c r="J1204" t="s">
        <v>26</v>
      </c>
      <c r="K1204" s="2">
        <v>12500</v>
      </c>
      <c r="L1204" s="3">
        <v>18.5</v>
      </c>
      <c r="M1204" s="3">
        <v>53.8</v>
      </c>
      <c r="N1204" s="3">
        <v>0</v>
      </c>
      <c r="O1204" s="2">
        <v>1</v>
      </c>
      <c r="P1204">
        <v>0</v>
      </c>
      <c r="Q1204" t="s">
        <v>14</v>
      </c>
      <c r="R1204" s="4">
        <v>23.81</v>
      </c>
      <c r="S1204" s="4">
        <v>0</v>
      </c>
      <c r="T1204" t="s">
        <v>31</v>
      </c>
      <c r="U1204" s="4">
        <v>2.36</v>
      </c>
      <c r="V1204" s="4">
        <v>1.905</v>
      </c>
      <c r="W1204" s="4">
        <v>23.81</v>
      </c>
    </row>
    <row r="1205" spans="1:23" ht="15" customHeight="1" x14ac:dyDescent="0.25">
      <c r="A1205">
        <v>569</v>
      </c>
      <c r="B1205" s="1">
        <v>45858</v>
      </c>
      <c r="C1205">
        <v>0</v>
      </c>
      <c r="D1205" t="s">
        <v>55</v>
      </c>
      <c r="E1205">
        <v>7</v>
      </c>
      <c r="F1205" t="s">
        <v>38</v>
      </c>
      <c r="G1205" t="s">
        <v>36</v>
      </c>
      <c r="H1205" t="s">
        <v>54</v>
      </c>
      <c r="I1205" t="s">
        <v>16</v>
      </c>
      <c r="J1205" t="s">
        <v>24</v>
      </c>
      <c r="K1205" s="2">
        <v>8600</v>
      </c>
      <c r="L1205" s="3">
        <v>15.4</v>
      </c>
      <c r="M1205" s="3">
        <v>83.2</v>
      </c>
      <c r="N1205" s="3">
        <v>0</v>
      </c>
      <c r="O1205" s="2">
        <v>68</v>
      </c>
      <c r="P1205">
        <v>0</v>
      </c>
      <c r="Q1205" t="s">
        <v>14</v>
      </c>
      <c r="R1205" s="4">
        <v>16.059999999999999</v>
      </c>
      <c r="S1205" s="4">
        <v>0</v>
      </c>
      <c r="T1205" t="s">
        <v>31</v>
      </c>
      <c r="U1205" s="4">
        <v>1.57</v>
      </c>
      <c r="V1205" s="4">
        <v>1.867</v>
      </c>
      <c r="W1205" s="4">
        <v>16.059999999999999</v>
      </c>
    </row>
    <row r="1206" spans="1:23" ht="15" customHeight="1" x14ac:dyDescent="0.25">
      <c r="A1206">
        <v>937</v>
      </c>
      <c r="B1206" s="1">
        <v>45858</v>
      </c>
      <c r="C1206">
        <v>0</v>
      </c>
      <c r="D1206" t="s">
        <v>55</v>
      </c>
      <c r="E1206">
        <v>7</v>
      </c>
      <c r="F1206" t="s">
        <v>38</v>
      </c>
      <c r="G1206" t="s">
        <v>36</v>
      </c>
      <c r="H1206" t="s">
        <v>50</v>
      </c>
      <c r="I1206" t="s">
        <v>22</v>
      </c>
      <c r="J1206" t="s">
        <v>12</v>
      </c>
      <c r="K1206" s="2">
        <v>21000</v>
      </c>
      <c r="L1206" s="3">
        <v>24</v>
      </c>
      <c r="M1206" s="3">
        <v>58.9</v>
      </c>
      <c r="N1206" s="3">
        <v>0</v>
      </c>
      <c r="O1206" s="2">
        <v>259</v>
      </c>
      <c r="P1206">
        <v>1</v>
      </c>
      <c r="Q1206" t="s">
        <v>23</v>
      </c>
      <c r="R1206" s="4">
        <v>161.46</v>
      </c>
      <c r="S1206" s="4">
        <v>0</v>
      </c>
      <c r="T1206" t="s">
        <v>31</v>
      </c>
      <c r="U1206" s="4">
        <v>15.69</v>
      </c>
      <c r="V1206" s="4">
        <v>7.6890000000000001</v>
      </c>
      <c r="W1206" s="4">
        <v>161.46</v>
      </c>
    </row>
    <row r="1207" spans="1:23" ht="15" customHeight="1" x14ac:dyDescent="0.25">
      <c r="A1207">
        <v>1305</v>
      </c>
      <c r="B1207" s="1">
        <v>45858</v>
      </c>
      <c r="C1207">
        <v>0</v>
      </c>
      <c r="D1207" t="s">
        <v>55</v>
      </c>
      <c r="E1207">
        <v>7</v>
      </c>
      <c r="F1207" t="s">
        <v>38</v>
      </c>
      <c r="G1207" t="s">
        <v>36</v>
      </c>
      <c r="H1207" t="s">
        <v>51</v>
      </c>
      <c r="I1207" t="s">
        <v>25</v>
      </c>
      <c r="J1207" t="s">
        <v>15</v>
      </c>
      <c r="K1207" s="2">
        <v>17400</v>
      </c>
      <c r="L1207" s="3">
        <v>22.2</v>
      </c>
      <c r="M1207" s="3"/>
      <c r="N1207" s="3">
        <v>0</v>
      </c>
      <c r="O1207" s="2">
        <v>85</v>
      </c>
      <c r="P1207">
        <v>0</v>
      </c>
      <c r="Q1207" t="s">
        <v>14</v>
      </c>
      <c r="R1207" s="4">
        <v>52.22</v>
      </c>
      <c r="S1207" s="4">
        <v>0</v>
      </c>
      <c r="T1207" t="s">
        <v>31</v>
      </c>
      <c r="U1207" s="4">
        <v>5.31</v>
      </c>
      <c r="V1207" s="4">
        <v>3.0009999999999999</v>
      </c>
      <c r="W1207" s="4">
        <v>52.22</v>
      </c>
    </row>
    <row r="1208" spans="1:23" ht="15" customHeight="1" x14ac:dyDescent="0.25">
      <c r="A1208">
        <v>2042</v>
      </c>
      <c r="B1208" s="1">
        <v>45858.333333333343</v>
      </c>
      <c r="C1208">
        <v>8</v>
      </c>
      <c r="D1208" t="s">
        <v>55</v>
      </c>
      <c r="E1208">
        <v>7</v>
      </c>
      <c r="F1208" t="s">
        <v>38</v>
      </c>
      <c r="G1208" t="s">
        <v>36</v>
      </c>
      <c r="H1208" t="s">
        <v>52</v>
      </c>
      <c r="I1208" t="s">
        <v>13</v>
      </c>
      <c r="J1208" t="s">
        <v>21</v>
      </c>
      <c r="K1208" s="2">
        <v>9800</v>
      </c>
      <c r="L1208" s="3">
        <v>21.5</v>
      </c>
      <c r="M1208" s="3"/>
      <c r="N1208" s="3">
        <v>356.2</v>
      </c>
      <c r="O1208" s="2">
        <v>107</v>
      </c>
      <c r="P1208">
        <v>0</v>
      </c>
      <c r="Q1208" t="s">
        <v>14</v>
      </c>
      <c r="R1208" s="4">
        <v>25.98</v>
      </c>
      <c r="S1208" s="4">
        <v>0</v>
      </c>
      <c r="T1208" t="s">
        <v>31</v>
      </c>
      <c r="U1208" s="4">
        <v>2.5299999999999998</v>
      </c>
      <c r="V1208" s="4">
        <v>2.6509999999999998</v>
      </c>
      <c r="W1208" s="4">
        <v>25.98</v>
      </c>
    </row>
    <row r="1209" spans="1:23" ht="15" customHeight="1" x14ac:dyDescent="0.25">
      <c r="A1209">
        <v>202</v>
      </c>
      <c r="B1209" s="1">
        <v>45858.333333333343</v>
      </c>
      <c r="C1209">
        <v>8</v>
      </c>
      <c r="D1209" t="s">
        <v>55</v>
      </c>
      <c r="E1209">
        <v>7</v>
      </c>
      <c r="F1209" t="s">
        <v>38</v>
      </c>
      <c r="G1209" t="s">
        <v>36</v>
      </c>
      <c r="H1209" t="s">
        <v>53</v>
      </c>
      <c r="I1209" t="s">
        <v>19</v>
      </c>
      <c r="J1209" t="s">
        <v>26</v>
      </c>
      <c r="K1209" s="2">
        <v>12500</v>
      </c>
      <c r="L1209" s="3">
        <v>22.9</v>
      </c>
      <c r="M1209" s="3">
        <v>57.9</v>
      </c>
      <c r="N1209" s="3">
        <v>409.8</v>
      </c>
      <c r="O1209" s="2">
        <v>0</v>
      </c>
      <c r="P1209">
        <v>0</v>
      </c>
      <c r="Q1209" t="s">
        <v>14</v>
      </c>
      <c r="R1209" s="4">
        <v>15.96</v>
      </c>
      <c r="S1209" s="4">
        <v>66.290000000000006</v>
      </c>
      <c r="T1209" t="s">
        <v>31</v>
      </c>
      <c r="U1209" s="4">
        <v>-1.99</v>
      </c>
      <c r="V1209" s="4">
        <v>1.2769999999999999</v>
      </c>
      <c r="W1209" s="4">
        <v>0</v>
      </c>
    </row>
    <row r="1210" spans="1:23" ht="15" customHeight="1" x14ac:dyDescent="0.25">
      <c r="A1210">
        <v>938</v>
      </c>
      <c r="B1210" s="1">
        <v>45858.333333333343</v>
      </c>
      <c r="C1210">
        <v>8</v>
      </c>
      <c r="D1210" t="s">
        <v>55</v>
      </c>
      <c r="E1210">
        <v>7</v>
      </c>
      <c r="F1210" t="s">
        <v>38</v>
      </c>
      <c r="G1210" t="s">
        <v>36</v>
      </c>
      <c r="H1210" t="s">
        <v>50</v>
      </c>
      <c r="I1210" t="s">
        <v>22</v>
      </c>
      <c r="J1210" t="s">
        <v>12</v>
      </c>
      <c r="K1210" s="2">
        <v>21000</v>
      </c>
      <c r="L1210" s="3">
        <v>26.5</v>
      </c>
      <c r="M1210" s="3">
        <v>51.8</v>
      </c>
      <c r="N1210" s="3">
        <v>410.3</v>
      </c>
      <c r="O1210" s="2">
        <v>424</v>
      </c>
      <c r="P1210">
        <v>1</v>
      </c>
      <c r="Q1210" t="s">
        <v>20</v>
      </c>
      <c r="R1210" s="4">
        <v>208</v>
      </c>
      <c r="S1210" s="4">
        <v>82.61</v>
      </c>
      <c r="T1210" t="s">
        <v>31</v>
      </c>
      <c r="U1210" s="4">
        <v>12.29</v>
      </c>
      <c r="V1210" s="4">
        <v>9.9049999999999994</v>
      </c>
      <c r="W1210" s="4">
        <v>125.39</v>
      </c>
    </row>
    <row r="1211" spans="1:23" ht="15" customHeight="1" x14ac:dyDescent="0.25">
      <c r="A1211">
        <v>1674</v>
      </c>
      <c r="B1211" s="1">
        <v>45858.333333333343</v>
      </c>
      <c r="C1211">
        <v>8</v>
      </c>
      <c r="D1211" t="s">
        <v>55</v>
      </c>
      <c r="E1211">
        <v>7</v>
      </c>
      <c r="F1211" t="s">
        <v>38</v>
      </c>
      <c r="G1211" t="s">
        <v>36</v>
      </c>
      <c r="H1211" t="s">
        <v>49</v>
      </c>
      <c r="I1211" t="s">
        <v>27</v>
      </c>
      <c r="J1211" t="s">
        <v>18</v>
      </c>
      <c r="K1211" s="2">
        <v>26000</v>
      </c>
      <c r="L1211" s="3">
        <v>26.3</v>
      </c>
      <c r="M1211" s="3">
        <v>45.5</v>
      </c>
      <c r="N1211" s="3">
        <v>438.5</v>
      </c>
      <c r="O1211" s="2">
        <v>80</v>
      </c>
      <c r="P1211">
        <v>1</v>
      </c>
      <c r="Q1211" t="s">
        <v>20</v>
      </c>
      <c r="R1211" s="4">
        <v>93.4</v>
      </c>
      <c r="S1211" s="4">
        <v>120.27</v>
      </c>
      <c r="T1211" t="s">
        <v>31</v>
      </c>
      <c r="U1211" s="4">
        <v>-1.04</v>
      </c>
      <c r="V1211" s="4">
        <v>3.5920000000000001</v>
      </c>
      <c r="W1211" s="4">
        <v>0</v>
      </c>
    </row>
    <row r="1212" spans="1:23" ht="15" customHeight="1" x14ac:dyDescent="0.25">
      <c r="A1212">
        <v>1306</v>
      </c>
      <c r="B1212" s="1">
        <v>45858.333333333343</v>
      </c>
      <c r="C1212">
        <v>8</v>
      </c>
      <c r="D1212" t="s">
        <v>55</v>
      </c>
      <c r="E1212">
        <v>7</v>
      </c>
      <c r="F1212" t="s">
        <v>38</v>
      </c>
      <c r="G1212" t="s">
        <v>36</v>
      </c>
      <c r="H1212" t="s">
        <v>51</v>
      </c>
      <c r="I1212" t="s">
        <v>25</v>
      </c>
      <c r="J1212" t="s">
        <v>15</v>
      </c>
      <c r="K1212" s="2">
        <v>17400</v>
      </c>
      <c r="L1212" s="3">
        <v>25.8</v>
      </c>
      <c r="M1212" s="3">
        <v>47.9</v>
      </c>
      <c r="N1212" s="3">
        <v>452.8</v>
      </c>
      <c r="O1212" s="2">
        <v>3</v>
      </c>
      <c r="P1212">
        <v>1</v>
      </c>
      <c r="Q1212" t="s">
        <v>20</v>
      </c>
      <c r="R1212" s="4">
        <v>44.43</v>
      </c>
      <c r="S1212" s="4">
        <v>54.1</v>
      </c>
      <c r="T1212" t="s">
        <v>31</v>
      </c>
      <c r="U1212" s="4">
        <v>-0.39</v>
      </c>
      <c r="V1212" s="4">
        <v>2.5529999999999999</v>
      </c>
      <c r="W1212" s="4">
        <v>0</v>
      </c>
    </row>
    <row r="1213" spans="1:23" ht="15" customHeight="1" x14ac:dyDescent="0.25">
      <c r="A1213">
        <v>570</v>
      </c>
      <c r="B1213" s="1">
        <v>45858.333333333343</v>
      </c>
      <c r="C1213">
        <v>8</v>
      </c>
      <c r="D1213" t="s">
        <v>55</v>
      </c>
      <c r="E1213">
        <v>7</v>
      </c>
      <c r="F1213" t="s">
        <v>38</v>
      </c>
      <c r="G1213" t="s">
        <v>36</v>
      </c>
      <c r="H1213" t="s">
        <v>54</v>
      </c>
      <c r="I1213" t="s">
        <v>16</v>
      </c>
      <c r="J1213" t="s">
        <v>24</v>
      </c>
      <c r="K1213" s="2">
        <v>8600</v>
      </c>
      <c r="L1213" s="3">
        <v>19.600000000000001</v>
      </c>
      <c r="M1213" s="3">
        <v>74.8</v>
      </c>
      <c r="N1213" s="3">
        <v>301.8</v>
      </c>
      <c r="O1213" s="2">
        <v>10</v>
      </c>
      <c r="P1213">
        <v>0</v>
      </c>
      <c r="Q1213" t="s">
        <v>14</v>
      </c>
      <c r="R1213" s="4">
        <v>8.65</v>
      </c>
      <c r="S1213" s="4">
        <v>22.51</v>
      </c>
      <c r="T1213" t="s">
        <v>31</v>
      </c>
      <c r="U1213" s="4">
        <v>-0.54</v>
      </c>
      <c r="V1213" s="4">
        <v>1.006</v>
      </c>
      <c r="W1213" s="4">
        <v>0</v>
      </c>
    </row>
    <row r="1214" spans="1:23" ht="15" customHeight="1" x14ac:dyDescent="0.25">
      <c r="A1214">
        <v>939</v>
      </c>
      <c r="B1214" s="1">
        <v>45858.583333333343</v>
      </c>
      <c r="C1214">
        <v>14</v>
      </c>
      <c r="D1214" t="s">
        <v>55</v>
      </c>
      <c r="E1214">
        <v>7</v>
      </c>
      <c r="F1214" t="s">
        <v>38</v>
      </c>
      <c r="G1214" t="s">
        <v>36</v>
      </c>
      <c r="H1214" t="s">
        <v>50</v>
      </c>
      <c r="I1214" t="s">
        <v>22</v>
      </c>
      <c r="J1214" t="s">
        <v>12</v>
      </c>
      <c r="K1214" s="2">
        <v>21000</v>
      </c>
      <c r="L1214" s="3">
        <v>34.799999999999997</v>
      </c>
      <c r="M1214" s="3">
        <v>41.7</v>
      </c>
      <c r="N1214" s="3">
        <v>905.3</v>
      </c>
      <c r="O1214" s="2">
        <v>384</v>
      </c>
      <c r="P1214">
        <v>1</v>
      </c>
      <c r="Q1214" t="s">
        <v>20</v>
      </c>
      <c r="R1214" s="4">
        <v>214.31</v>
      </c>
      <c r="S1214" s="4">
        <v>177.14</v>
      </c>
      <c r="T1214" t="s">
        <v>31</v>
      </c>
      <c r="U1214" s="4">
        <v>3.67</v>
      </c>
      <c r="V1214" s="4">
        <v>10.205</v>
      </c>
      <c r="W1214" s="4">
        <v>37.17</v>
      </c>
    </row>
    <row r="1215" spans="1:23" ht="15" customHeight="1" x14ac:dyDescent="0.25">
      <c r="A1215">
        <v>2043</v>
      </c>
      <c r="B1215" s="1">
        <v>45858.583333333343</v>
      </c>
      <c r="C1215">
        <v>14</v>
      </c>
      <c r="D1215" t="s">
        <v>55</v>
      </c>
      <c r="E1215">
        <v>7</v>
      </c>
      <c r="F1215" t="s">
        <v>38</v>
      </c>
      <c r="G1215" t="s">
        <v>36</v>
      </c>
      <c r="H1215" t="s">
        <v>52</v>
      </c>
      <c r="I1215" t="s">
        <v>13</v>
      </c>
      <c r="J1215" t="s">
        <v>21</v>
      </c>
      <c r="K1215" s="2">
        <v>9800</v>
      </c>
      <c r="L1215" s="3">
        <v>24.7</v>
      </c>
      <c r="M1215" s="3"/>
      <c r="N1215" s="3">
        <v>715.7</v>
      </c>
      <c r="O1215" s="2">
        <v>134</v>
      </c>
      <c r="P1215">
        <v>1</v>
      </c>
      <c r="Q1215" t="s">
        <v>20</v>
      </c>
      <c r="R1215" s="4">
        <v>28.91</v>
      </c>
      <c r="S1215" s="4">
        <v>0</v>
      </c>
      <c r="T1215" t="s">
        <v>31</v>
      </c>
      <c r="U1215" s="4">
        <v>2.82</v>
      </c>
      <c r="V1215" s="4">
        <v>2.95</v>
      </c>
      <c r="W1215" s="4">
        <v>28.91</v>
      </c>
    </row>
    <row r="1216" spans="1:23" ht="15" customHeight="1" x14ac:dyDescent="0.25">
      <c r="A1216">
        <v>571</v>
      </c>
      <c r="B1216" s="1">
        <v>45858.583333333343</v>
      </c>
      <c r="C1216">
        <v>14</v>
      </c>
      <c r="D1216" t="s">
        <v>55</v>
      </c>
      <c r="E1216">
        <v>7</v>
      </c>
      <c r="F1216" t="s">
        <v>38</v>
      </c>
      <c r="G1216" t="s">
        <v>36</v>
      </c>
      <c r="H1216" t="s">
        <v>54</v>
      </c>
      <c r="I1216" t="s">
        <v>16</v>
      </c>
      <c r="J1216" t="s">
        <v>24</v>
      </c>
      <c r="K1216" s="2">
        <v>8600</v>
      </c>
      <c r="L1216" s="3">
        <v>24.9</v>
      </c>
      <c r="M1216" s="3">
        <v>67.3</v>
      </c>
      <c r="N1216" s="3">
        <v>736.9</v>
      </c>
      <c r="O1216" s="2">
        <v>0</v>
      </c>
      <c r="P1216">
        <v>0</v>
      </c>
      <c r="Q1216" t="s">
        <v>14</v>
      </c>
      <c r="R1216" s="4">
        <v>8.43</v>
      </c>
      <c r="S1216" s="4">
        <v>54.51</v>
      </c>
      <c r="T1216" t="s">
        <v>31</v>
      </c>
      <c r="U1216" s="4">
        <v>-1.78</v>
      </c>
      <c r="V1216" s="4">
        <v>0.98</v>
      </c>
      <c r="W1216" s="4">
        <v>0</v>
      </c>
    </row>
    <row r="1217" spans="1:23" ht="15" customHeight="1" x14ac:dyDescent="0.25">
      <c r="A1217">
        <v>1307</v>
      </c>
      <c r="B1217" s="1">
        <v>45858.583333333343</v>
      </c>
      <c r="C1217">
        <v>14</v>
      </c>
      <c r="D1217" t="s">
        <v>55</v>
      </c>
      <c r="E1217">
        <v>7</v>
      </c>
      <c r="F1217" t="s">
        <v>38</v>
      </c>
      <c r="G1217" t="s">
        <v>36</v>
      </c>
      <c r="H1217" t="s">
        <v>51</v>
      </c>
      <c r="I1217" t="s">
        <v>25</v>
      </c>
      <c r="J1217" t="s">
        <v>15</v>
      </c>
      <c r="K1217" s="2">
        <v>17400</v>
      </c>
      <c r="L1217" s="3">
        <v>27.7</v>
      </c>
      <c r="M1217" s="3">
        <v>64.099999999999994</v>
      </c>
      <c r="N1217" s="3">
        <v>799.2</v>
      </c>
      <c r="O1217" s="2">
        <v>1526</v>
      </c>
      <c r="P1217">
        <v>1</v>
      </c>
      <c r="Q1217" t="s">
        <v>20</v>
      </c>
      <c r="R1217" s="4">
        <v>259.89</v>
      </c>
      <c r="S1217" s="4">
        <v>98.58</v>
      </c>
      <c r="T1217" t="s">
        <v>31</v>
      </c>
      <c r="U1217" s="4">
        <v>16.16</v>
      </c>
      <c r="V1217" s="4">
        <v>14.936</v>
      </c>
      <c r="W1217" s="4">
        <v>161.31</v>
      </c>
    </row>
    <row r="1218" spans="1:23" ht="15" customHeight="1" x14ac:dyDescent="0.25">
      <c r="A1218">
        <v>203</v>
      </c>
      <c r="B1218" s="1">
        <v>45858.583333333343</v>
      </c>
      <c r="C1218">
        <v>14</v>
      </c>
      <c r="D1218" t="s">
        <v>55</v>
      </c>
      <c r="E1218">
        <v>7</v>
      </c>
      <c r="F1218" t="s">
        <v>38</v>
      </c>
      <c r="G1218" t="s">
        <v>36</v>
      </c>
      <c r="H1218" t="s">
        <v>53</v>
      </c>
      <c r="I1218" t="s">
        <v>19</v>
      </c>
      <c r="J1218" t="s">
        <v>26</v>
      </c>
      <c r="K1218" s="2">
        <v>12500</v>
      </c>
      <c r="L1218" s="3">
        <v>31.8</v>
      </c>
      <c r="M1218" s="3">
        <v>45.6</v>
      </c>
      <c r="N1218" s="3">
        <v>895.6</v>
      </c>
      <c r="O1218" s="2">
        <v>6</v>
      </c>
      <c r="P1218">
        <v>0</v>
      </c>
      <c r="Q1218" t="s">
        <v>14</v>
      </c>
      <c r="R1218" s="4">
        <v>17.489999999999998</v>
      </c>
      <c r="S1218" s="4">
        <v>120.68</v>
      </c>
      <c r="T1218" t="s">
        <v>31</v>
      </c>
      <c r="U1218" s="4"/>
      <c r="V1218" s="4">
        <v>1.399</v>
      </c>
      <c r="W1218" s="4">
        <v>0</v>
      </c>
    </row>
    <row r="1219" spans="1:23" ht="15" customHeight="1" x14ac:dyDescent="0.25">
      <c r="A1219">
        <v>1675</v>
      </c>
      <c r="B1219" s="1">
        <v>45858.583333333343</v>
      </c>
      <c r="C1219">
        <v>14</v>
      </c>
      <c r="D1219" t="s">
        <v>55</v>
      </c>
      <c r="E1219">
        <v>7</v>
      </c>
      <c r="F1219" t="s">
        <v>38</v>
      </c>
      <c r="G1219" t="s">
        <v>36</v>
      </c>
      <c r="H1219" t="s">
        <v>49</v>
      </c>
      <c r="I1219" t="s">
        <v>27</v>
      </c>
      <c r="J1219" t="s">
        <v>18</v>
      </c>
      <c r="K1219" s="2">
        <v>26000</v>
      </c>
      <c r="L1219" s="3">
        <v>31.7</v>
      </c>
      <c r="M1219" s="3">
        <v>45.8</v>
      </c>
      <c r="N1219" s="3">
        <v>832.8</v>
      </c>
      <c r="O1219" s="2">
        <v>82</v>
      </c>
      <c r="P1219">
        <v>1</v>
      </c>
      <c r="Q1219" t="s">
        <v>20</v>
      </c>
      <c r="R1219" s="4"/>
      <c r="S1219" s="4">
        <v>196.79</v>
      </c>
      <c r="T1219" t="s">
        <v>31</v>
      </c>
      <c r="U1219" s="4">
        <v>-3.09</v>
      </c>
      <c r="V1219" s="4"/>
      <c r="W1219" s="4"/>
    </row>
    <row r="1220" spans="1:23" ht="15" customHeight="1" x14ac:dyDescent="0.25">
      <c r="A1220">
        <v>940</v>
      </c>
      <c r="B1220" s="1">
        <v>45858.833333333343</v>
      </c>
      <c r="C1220">
        <v>20</v>
      </c>
      <c r="D1220" t="s">
        <v>55</v>
      </c>
      <c r="E1220">
        <v>7</v>
      </c>
      <c r="F1220" t="s">
        <v>38</v>
      </c>
      <c r="G1220" t="s">
        <v>36</v>
      </c>
      <c r="H1220" t="s">
        <v>50</v>
      </c>
      <c r="I1220" t="s">
        <v>22</v>
      </c>
      <c r="J1220" t="s">
        <v>12</v>
      </c>
      <c r="K1220" s="2">
        <v>21000</v>
      </c>
      <c r="L1220" s="3">
        <v>28.2</v>
      </c>
      <c r="M1220" s="3">
        <v>39.299999999999997</v>
      </c>
      <c r="N1220" s="3">
        <v>26.3</v>
      </c>
      <c r="O1220" s="2">
        <v>380</v>
      </c>
      <c r="P1220">
        <v>1</v>
      </c>
      <c r="Q1220" t="s">
        <v>20</v>
      </c>
      <c r="R1220" s="4">
        <v>320.55</v>
      </c>
      <c r="S1220" s="4">
        <v>5.41</v>
      </c>
      <c r="T1220" t="s">
        <v>31</v>
      </c>
      <c r="U1220" s="4">
        <v>30.54</v>
      </c>
      <c r="V1220" s="4">
        <v>15.263999999999999</v>
      </c>
      <c r="W1220" s="4">
        <v>315.14</v>
      </c>
    </row>
    <row r="1221" spans="1:23" ht="15" customHeight="1" x14ac:dyDescent="0.25">
      <c r="A1221">
        <v>572</v>
      </c>
      <c r="B1221" s="1">
        <v>45858.833333333343</v>
      </c>
      <c r="C1221">
        <v>20</v>
      </c>
      <c r="D1221" t="s">
        <v>55</v>
      </c>
      <c r="E1221">
        <v>7</v>
      </c>
      <c r="F1221" t="s">
        <v>38</v>
      </c>
      <c r="G1221" t="s">
        <v>36</v>
      </c>
      <c r="H1221" t="s">
        <v>54</v>
      </c>
      <c r="I1221" t="s">
        <v>16</v>
      </c>
      <c r="J1221" t="s">
        <v>24</v>
      </c>
      <c r="K1221" s="2">
        <v>8600</v>
      </c>
      <c r="L1221" s="3">
        <v>22.5</v>
      </c>
      <c r="M1221" s="3">
        <v>71.7</v>
      </c>
      <c r="N1221" s="3">
        <v>52.7</v>
      </c>
      <c r="O1221" s="2">
        <v>2</v>
      </c>
      <c r="P1221">
        <v>0</v>
      </c>
      <c r="Q1221" t="s">
        <v>14</v>
      </c>
      <c r="R1221" s="4">
        <v>13.21</v>
      </c>
      <c r="S1221" s="4">
        <v>3.64</v>
      </c>
      <c r="T1221" t="s">
        <v>31</v>
      </c>
      <c r="U1221" s="4">
        <v>0.97</v>
      </c>
      <c r="V1221" s="4">
        <v>1.536</v>
      </c>
      <c r="W1221" s="4">
        <v>9.57</v>
      </c>
    </row>
    <row r="1222" spans="1:23" ht="15" customHeight="1" x14ac:dyDescent="0.25">
      <c r="A1222">
        <v>1676</v>
      </c>
      <c r="B1222" s="1">
        <v>45858.833333333343</v>
      </c>
      <c r="C1222">
        <v>20</v>
      </c>
      <c r="D1222" t="s">
        <v>55</v>
      </c>
      <c r="E1222">
        <v>7</v>
      </c>
      <c r="F1222" t="s">
        <v>38</v>
      </c>
      <c r="G1222" t="s">
        <v>36</v>
      </c>
      <c r="H1222" t="s">
        <v>49</v>
      </c>
      <c r="I1222" t="s">
        <v>27</v>
      </c>
      <c r="J1222" t="s">
        <v>18</v>
      </c>
      <c r="K1222" s="2">
        <v>26000</v>
      </c>
      <c r="L1222" s="3">
        <v>28.6</v>
      </c>
      <c r="M1222" s="3">
        <v>42</v>
      </c>
      <c r="N1222" s="3">
        <v>67</v>
      </c>
      <c r="O1222" s="2">
        <v>71</v>
      </c>
      <c r="P1222">
        <v>1</v>
      </c>
      <c r="Q1222" t="s">
        <v>20</v>
      </c>
      <c r="R1222" s="4">
        <v>152.77000000000001</v>
      </c>
      <c r="S1222" s="4">
        <v>18.86</v>
      </c>
      <c r="T1222" t="s">
        <v>31</v>
      </c>
      <c r="U1222" s="4">
        <v>13.71</v>
      </c>
      <c r="V1222" s="4">
        <v>5.8760000000000003</v>
      </c>
      <c r="W1222" s="4">
        <v>133.91</v>
      </c>
    </row>
    <row r="1223" spans="1:23" ht="15" customHeight="1" x14ac:dyDescent="0.25">
      <c r="A1223">
        <v>2044</v>
      </c>
      <c r="B1223" s="1">
        <v>45858.833333333343</v>
      </c>
      <c r="C1223">
        <v>20</v>
      </c>
      <c r="D1223" t="s">
        <v>55</v>
      </c>
      <c r="E1223">
        <v>7</v>
      </c>
      <c r="F1223" t="s">
        <v>38</v>
      </c>
      <c r="G1223" t="s">
        <v>36</v>
      </c>
      <c r="H1223" t="s">
        <v>52</v>
      </c>
      <c r="I1223" t="s">
        <v>13</v>
      </c>
      <c r="J1223" t="s">
        <v>21</v>
      </c>
      <c r="K1223" s="2">
        <v>9800</v>
      </c>
      <c r="L1223" s="3">
        <v>23.4</v>
      </c>
      <c r="M1223" s="3">
        <v>76.400000000000006</v>
      </c>
      <c r="N1223" s="3">
        <v>73.3</v>
      </c>
      <c r="O1223" s="2"/>
      <c r="P1223">
        <v>1</v>
      </c>
      <c r="Q1223" t="s">
        <v>23</v>
      </c>
      <c r="R1223" s="4">
        <v>96.22</v>
      </c>
      <c r="S1223" s="4">
        <v>0</v>
      </c>
      <c r="T1223" t="s">
        <v>31</v>
      </c>
      <c r="U1223" s="4">
        <v>9.7100000000000009</v>
      </c>
      <c r="V1223" s="4">
        <v>9.8179999999999996</v>
      </c>
      <c r="W1223" s="4">
        <v>96.22</v>
      </c>
    </row>
    <row r="1224" spans="1:23" ht="15" customHeight="1" x14ac:dyDescent="0.25">
      <c r="A1224">
        <v>1308</v>
      </c>
      <c r="B1224" s="1">
        <v>45858.833333333343</v>
      </c>
      <c r="C1224">
        <v>20</v>
      </c>
      <c r="D1224" t="s">
        <v>55</v>
      </c>
      <c r="E1224">
        <v>7</v>
      </c>
      <c r="F1224" t="s">
        <v>38</v>
      </c>
      <c r="G1224" t="s">
        <v>36</v>
      </c>
      <c r="H1224" t="s">
        <v>51</v>
      </c>
      <c r="I1224" t="s">
        <v>25</v>
      </c>
      <c r="J1224" t="s">
        <v>15</v>
      </c>
      <c r="K1224" s="2">
        <v>17400</v>
      </c>
      <c r="L1224" s="3">
        <v>25.2</v>
      </c>
      <c r="M1224" s="3">
        <v>59.2</v>
      </c>
      <c r="N1224" s="3">
        <v>44.9</v>
      </c>
      <c r="O1224" s="2">
        <v>1455</v>
      </c>
      <c r="P1224">
        <v>1</v>
      </c>
      <c r="Q1224" t="s">
        <v>20</v>
      </c>
      <c r="R1224" s="4">
        <v>338.44</v>
      </c>
      <c r="S1224" s="4">
        <v>5.95</v>
      </c>
      <c r="T1224" t="s">
        <v>31</v>
      </c>
      <c r="U1224" s="4">
        <v>32.65</v>
      </c>
      <c r="V1224" s="4">
        <v>19.451000000000001</v>
      </c>
      <c r="W1224" s="4">
        <v>332.49</v>
      </c>
    </row>
    <row r="1225" spans="1:23" ht="15" customHeight="1" x14ac:dyDescent="0.25">
      <c r="A1225">
        <v>204</v>
      </c>
      <c r="B1225" s="1">
        <v>45858.833333333343</v>
      </c>
      <c r="C1225">
        <v>20</v>
      </c>
      <c r="D1225" t="s">
        <v>55</v>
      </c>
      <c r="E1225">
        <v>7</v>
      </c>
      <c r="F1225" t="s">
        <v>38</v>
      </c>
      <c r="G1225" t="s">
        <v>36</v>
      </c>
      <c r="H1225" t="s">
        <v>53</v>
      </c>
      <c r="I1225" t="s">
        <v>19</v>
      </c>
      <c r="J1225" t="s">
        <v>26</v>
      </c>
      <c r="K1225" s="2">
        <v>12500</v>
      </c>
      <c r="L1225" s="3">
        <v>23.2</v>
      </c>
      <c r="M1225" s="3">
        <v>47.9</v>
      </c>
      <c r="N1225" s="3">
        <v>1.3</v>
      </c>
      <c r="O1225" s="2">
        <v>21</v>
      </c>
      <c r="P1225">
        <v>0</v>
      </c>
      <c r="Q1225" t="s">
        <v>14</v>
      </c>
      <c r="R1225" s="4">
        <v>26.56</v>
      </c>
      <c r="S1225" s="4">
        <v>0.22</v>
      </c>
      <c r="T1225" t="s">
        <v>31</v>
      </c>
      <c r="U1225" s="4">
        <v>2.5499999999999998</v>
      </c>
      <c r="V1225" s="4">
        <v>2.125</v>
      </c>
      <c r="W1225" s="4">
        <v>26.34</v>
      </c>
    </row>
    <row r="1226" spans="1:23" ht="15" customHeight="1" x14ac:dyDescent="0.25">
      <c r="A1226">
        <v>1677</v>
      </c>
      <c r="B1226" s="1">
        <v>45862</v>
      </c>
      <c r="C1226">
        <v>0</v>
      </c>
      <c r="D1226" t="s">
        <v>56</v>
      </c>
      <c r="E1226">
        <v>7</v>
      </c>
      <c r="F1226" t="s">
        <v>38</v>
      </c>
      <c r="G1226" t="s">
        <v>33</v>
      </c>
      <c r="H1226" t="s">
        <v>49</v>
      </c>
      <c r="I1226" t="s">
        <v>27</v>
      </c>
      <c r="J1226" t="s">
        <v>18</v>
      </c>
      <c r="K1226" s="2">
        <v>26000</v>
      </c>
      <c r="L1226" s="3">
        <v>21.8</v>
      </c>
      <c r="M1226" s="3">
        <v>58.6</v>
      </c>
      <c r="N1226" s="3">
        <v>0</v>
      </c>
      <c r="O1226" s="2">
        <v>64</v>
      </c>
      <c r="P1226">
        <v>0</v>
      </c>
      <c r="Q1226" t="s">
        <v>14</v>
      </c>
      <c r="R1226" s="4">
        <v>112.44</v>
      </c>
      <c r="S1226" s="4">
        <v>0</v>
      </c>
      <c r="T1226" t="s">
        <v>31</v>
      </c>
      <c r="U1226" s="4">
        <v>11.14</v>
      </c>
      <c r="V1226" s="4">
        <v>4.3250000000000002</v>
      </c>
      <c r="W1226" s="4">
        <v>112.44</v>
      </c>
    </row>
    <row r="1227" spans="1:23" ht="15" customHeight="1" x14ac:dyDescent="0.25">
      <c r="A1227">
        <v>941</v>
      </c>
      <c r="B1227" s="1">
        <v>45862</v>
      </c>
      <c r="C1227">
        <v>0</v>
      </c>
      <c r="D1227" t="s">
        <v>56</v>
      </c>
      <c r="E1227">
        <v>7</v>
      </c>
      <c r="F1227" t="s">
        <v>38</v>
      </c>
      <c r="G1227" t="s">
        <v>33</v>
      </c>
      <c r="H1227" t="s">
        <v>50</v>
      </c>
      <c r="I1227" t="s">
        <v>22</v>
      </c>
      <c r="J1227" t="s">
        <v>12</v>
      </c>
      <c r="K1227" s="2">
        <v>21000</v>
      </c>
      <c r="L1227" s="3">
        <v>22.4</v>
      </c>
      <c r="M1227" s="3">
        <v>49.1</v>
      </c>
      <c r="N1227" s="3">
        <v>0</v>
      </c>
      <c r="O1227" s="2">
        <v>216</v>
      </c>
      <c r="P1227">
        <v>0</v>
      </c>
      <c r="Q1227" t="s">
        <v>14</v>
      </c>
      <c r="R1227" s="4">
        <v>169.67</v>
      </c>
      <c r="S1227" s="4">
        <v>0</v>
      </c>
      <c r="T1227" t="s">
        <v>31</v>
      </c>
      <c r="U1227" s="4">
        <v>17.32</v>
      </c>
      <c r="V1227" s="4">
        <v>8.08</v>
      </c>
      <c r="W1227" s="4">
        <v>169.67</v>
      </c>
    </row>
    <row r="1228" spans="1:23" ht="15" customHeight="1" x14ac:dyDescent="0.25">
      <c r="A1228">
        <v>2045</v>
      </c>
      <c r="B1228" s="1">
        <v>45862</v>
      </c>
      <c r="C1228">
        <v>0</v>
      </c>
      <c r="D1228" t="s">
        <v>56</v>
      </c>
      <c r="E1228">
        <v>7</v>
      </c>
      <c r="F1228" t="s">
        <v>38</v>
      </c>
      <c r="G1228" t="s">
        <v>33</v>
      </c>
      <c r="H1228" t="s">
        <v>52</v>
      </c>
      <c r="I1228" t="s">
        <v>13</v>
      </c>
      <c r="J1228" t="s">
        <v>21</v>
      </c>
      <c r="K1228" s="2">
        <v>9800</v>
      </c>
      <c r="L1228" s="3">
        <v>22.4</v>
      </c>
      <c r="M1228" s="3">
        <v>77.3</v>
      </c>
      <c r="N1228" s="3">
        <v>0</v>
      </c>
      <c r="O1228" s="2">
        <v>282</v>
      </c>
      <c r="P1228">
        <v>0</v>
      </c>
      <c r="Q1228" t="s">
        <v>14</v>
      </c>
      <c r="R1228" s="4">
        <v>100.21</v>
      </c>
      <c r="S1228" s="4">
        <v>0</v>
      </c>
      <c r="T1228" t="s">
        <v>31</v>
      </c>
      <c r="U1228" s="4">
        <v>9.68</v>
      </c>
      <c r="V1228" s="4">
        <v>10.226000000000001</v>
      </c>
      <c r="W1228" s="4">
        <v>100.21</v>
      </c>
    </row>
    <row r="1229" spans="1:23" ht="15" customHeight="1" x14ac:dyDescent="0.25">
      <c r="A1229">
        <v>205</v>
      </c>
      <c r="B1229" s="1">
        <v>45862</v>
      </c>
      <c r="C1229">
        <v>0</v>
      </c>
      <c r="D1229" t="s">
        <v>56</v>
      </c>
      <c r="E1229">
        <v>7</v>
      </c>
      <c r="F1229" t="s">
        <v>38</v>
      </c>
      <c r="G1229" t="s">
        <v>33</v>
      </c>
      <c r="H1229" t="s">
        <v>53</v>
      </c>
      <c r="I1229" t="s">
        <v>19</v>
      </c>
      <c r="J1229" t="s">
        <v>26</v>
      </c>
      <c r="K1229" s="2">
        <v>12500</v>
      </c>
      <c r="L1229" s="3">
        <v>20.399999999999999</v>
      </c>
      <c r="M1229" s="3">
        <v>55.1</v>
      </c>
      <c r="N1229" s="3">
        <v>0</v>
      </c>
      <c r="O1229" s="2">
        <v>52</v>
      </c>
      <c r="P1229">
        <v>0</v>
      </c>
      <c r="Q1229" t="s">
        <v>14</v>
      </c>
      <c r="R1229" s="4">
        <v>25.85</v>
      </c>
      <c r="S1229" s="4">
        <v>0</v>
      </c>
      <c r="T1229" t="s">
        <v>31</v>
      </c>
      <c r="U1229" s="4">
        <v>2.46</v>
      </c>
      <c r="V1229" s="4">
        <v>2.0680000000000001</v>
      </c>
      <c r="W1229" s="4">
        <v>25.85</v>
      </c>
    </row>
    <row r="1230" spans="1:23" ht="15" customHeight="1" x14ac:dyDescent="0.25">
      <c r="A1230">
        <v>1309</v>
      </c>
      <c r="B1230" s="1">
        <v>45862</v>
      </c>
      <c r="C1230">
        <v>0</v>
      </c>
      <c r="D1230" t="s">
        <v>56</v>
      </c>
      <c r="E1230">
        <v>7</v>
      </c>
      <c r="F1230" t="s">
        <v>38</v>
      </c>
      <c r="G1230" t="s">
        <v>33</v>
      </c>
      <c r="H1230" t="s">
        <v>51</v>
      </c>
      <c r="I1230" t="s">
        <v>25</v>
      </c>
      <c r="J1230" t="s">
        <v>15</v>
      </c>
      <c r="K1230" s="2">
        <v>17400</v>
      </c>
      <c r="L1230" s="3">
        <v>22.8</v>
      </c>
      <c r="M1230" s="3">
        <v>58.6</v>
      </c>
      <c r="N1230" s="3">
        <v>0</v>
      </c>
      <c r="O1230" s="2">
        <v>0</v>
      </c>
      <c r="P1230">
        <v>0</v>
      </c>
      <c r="Q1230" t="s">
        <v>14</v>
      </c>
      <c r="R1230" s="4">
        <v>43.4</v>
      </c>
      <c r="S1230" s="4">
        <v>0</v>
      </c>
      <c r="T1230" t="s">
        <v>31</v>
      </c>
      <c r="U1230" s="4">
        <v>4.09</v>
      </c>
      <c r="V1230" s="4">
        <v>2.4940000000000002</v>
      </c>
      <c r="W1230" s="4">
        <v>43.4</v>
      </c>
    </row>
    <row r="1231" spans="1:23" ht="15" customHeight="1" x14ac:dyDescent="0.25">
      <c r="A1231">
        <v>573</v>
      </c>
      <c r="B1231" s="1">
        <v>45862</v>
      </c>
      <c r="C1231">
        <v>0</v>
      </c>
      <c r="D1231" t="s">
        <v>56</v>
      </c>
      <c r="E1231">
        <v>7</v>
      </c>
      <c r="F1231" t="s">
        <v>38</v>
      </c>
      <c r="G1231" t="s">
        <v>33</v>
      </c>
      <c r="H1231" t="s">
        <v>54</v>
      </c>
      <c r="I1231" t="s">
        <v>16</v>
      </c>
      <c r="J1231" t="s">
        <v>24</v>
      </c>
      <c r="K1231" s="2">
        <v>8600</v>
      </c>
      <c r="L1231" s="3">
        <v>21.7</v>
      </c>
      <c r="M1231" s="3">
        <v>83.5</v>
      </c>
      <c r="N1231" s="3">
        <v>0</v>
      </c>
      <c r="O1231" s="2">
        <v>26</v>
      </c>
      <c r="P1231">
        <v>0</v>
      </c>
      <c r="Q1231" t="s">
        <v>14</v>
      </c>
      <c r="R1231" s="4">
        <v>13.67</v>
      </c>
      <c r="S1231" s="4">
        <v>0</v>
      </c>
      <c r="T1231" t="s">
        <v>31</v>
      </c>
      <c r="U1231" s="4">
        <v>1.33</v>
      </c>
      <c r="V1231" s="4">
        <v>1.59</v>
      </c>
      <c r="W1231" s="4">
        <v>13.67</v>
      </c>
    </row>
    <row r="1232" spans="1:23" ht="15" customHeight="1" x14ac:dyDescent="0.25">
      <c r="A1232">
        <v>1310</v>
      </c>
      <c r="B1232" s="1">
        <v>45862.333333333343</v>
      </c>
      <c r="C1232">
        <v>8</v>
      </c>
      <c r="D1232" t="s">
        <v>56</v>
      </c>
      <c r="E1232">
        <v>7</v>
      </c>
      <c r="F1232" t="s">
        <v>38</v>
      </c>
      <c r="G1232" t="s">
        <v>33</v>
      </c>
      <c r="H1232" t="s">
        <v>51</v>
      </c>
      <c r="I1232" t="s">
        <v>25</v>
      </c>
      <c r="J1232" t="s">
        <v>15</v>
      </c>
      <c r="K1232" s="2">
        <v>17400</v>
      </c>
      <c r="L1232" s="3">
        <v>24.5</v>
      </c>
      <c r="M1232" s="3">
        <v>68.099999999999994</v>
      </c>
      <c r="N1232" s="3">
        <v>360.9</v>
      </c>
      <c r="O1232" s="2">
        <v>0</v>
      </c>
      <c r="P1232">
        <v>0</v>
      </c>
      <c r="Q1232" t="s">
        <v>14</v>
      </c>
      <c r="R1232" s="4">
        <v>33.130000000000003</v>
      </c>
      <c r="S1232" s="4">
        <v>43.94</v>
      </c>
      <c r="T1232" t="s">
        <v>34</v>
      </c>
      <c r="U1232" s="4">
        <v>-0.69</v>
      </c>
      <c r="V1232" s="4">
        <v>1.9039999999999999</v>
      </c>
      <c r="W1232" s="4">
        <v>0</v>
      </c>
    </row>
    <row r="1233" spans="1:23" ht="15" customHeight="1" x14ac:dyDescent="0.25">
      <c r="A1233">
        <v>206</v>
      </c>
      <c r="B1233" s="1">
        <v>45862.333333333343</v>
      </c>
      <c r="C1233">
        <v>8</v>
      </c>
      <c r="D1233" t="s">
        <v>56</v>
      </c>
      <c r="E1233">
        <v>7</v>
      </c>
      <c r="F1233" t="s">
        <v>38</v>
      </c>
      <c r="G1233" t="s">
        <v>33</v>
      </c>
      <c r="H1233" t="s">
        <v>53</v>
      </c>
      <c r="I1233" t="s">
        <v>19</v>
      </c>
      <c r="J1233" t="s">
        <v>26</v>
      </c>
      <c r="K1233" s="2">
        <v>12500</v>
      </c>
      <c r="L1233" s="3">
        <v>25.7</v>
      </c>
      <c r="M1233" s="3">
        <v>42.1</v>
      </c>
      <c r="N1233" s="3">
        <v>464.6</v>
      </c>
      <c r="O1233" s="2">
        <v>343</v>
      </c>
      <c r="P1233">
        <v>1</v>
      </c>
      <c r="Q1233" t="s">
        <v>20</v>
      </c>
      <c r="R1233" s="4">
        <v>69.83</v>
      </c>
      <c r="S1233" s="4">
        <v>70.849999999999994</v>
      </c>
      <c r="T1233" t="s">
        <v>34</v>
      </c>
      <c r="U1233" s="4">
        <v>-7.0000000000000007E-2</v>
      </c>
      <c r="V1233" s="4">
        <v>5.5860000000000003</v>
      </c>
      <c r="W1233" s="4">
        <v>0</v>
      </c>
    </row>
    <row r="1234" spans="1:23" ht="15" customHeight="1" x14ac:dyDescent="0.25">
      <c r="A1234">
        <v>2046</v>
      </c>
      <c r="B1234" s="1">
        <v>45862.333333333343</v>
      </c>
      <c r="C1234">
        <v>8</v>
      </c>
      <c r="D1234" t="s">
        <v>56</v>
      </c>
      <c r="E1234">
        <v>7</v>
      </c>
      <c r="F1234" t="s">
        <v>38</v>
      </c>
      <c r="G1234" t="s">
        <v>33</v>
      </c>
      <c r="H1234" t="s">
        <v>52</v>
      </c>
      <c r="I1234" t="s">
        <v>13</v>
      </c>
      <c r="J1234" t="s">
        <v>21</v>
      </c>
      <c r="K1234" s="2">
        <v>9800</v>
      </c>
      <c r="L1234" s="3">
        <v>23.5</v>
      </c>
      <c r="M1234" s="3">
        <v>64.7</v>
      </c>
      <c r="N1234" s="3">
        <v>407.9</v>
      </c>
      <c r="O1234" s="2">
        <v>62</v>
      </c>
      <c r="P1234">
        <v>1</v>
      </c>
      <c r="Q1234" t="s">
        <v>23</v>
      </c>
      <c r="R1234" s="4">
        <v>19.02</v>
      </c>
      <c r="S1234" s="4">
        <v>0</v>
      </c>
      <c r="T1234" t="s">
        <v>34</v>
      </c>
      <c r="U1234" s="4">
        <v>3.07</v>
      </c>
      <c r="V1234" s="4">
        <v>1.9410000000000001</v>
      </c>
      <c r="W1234" s="4">
        <v>19.02</v>
      </c>
    </row>
    <row r="1235" spans="1:23" ht="15" customHeight="1" x14ac:dyDescent="0.25">
      <c r="A1235">
        <v>574</v>
      </c>
      <c r="B1235" s="1">
        <v>45862.333333333343</v>
      </c>
      <c r="C1235">
        <v>8</v>
      </c>
      <c r="D1235" t="s">
        <v>56</v>
      </c>
      <c r="E1235">
        <v>7</v>
      </c>
      <c r="F1235" t="s">
        <v>38</v>
      </c>
      <c r="G1235" t="s">
        <v>33</v>
      </c>
      <c r="H1235" t="s">
        <v>54</v>
      </c>
      <c r="I1235" t="s">
        <v>16</v>
      </c>
      <c r="J1235" t="s">
        <v>24</v>
      </c>
      <c r="K1235" s="2">
        <v>8600</v>
      </c>
      <c r="L1235" s="3">
        <v>21.2</v>
      </c>
      <c r="M1235" s="3">
        <v>77.7</v>
      </c>
      <c r="N1235" s="3">
        <v>344.9</v>
      </c>
      <c r="O1235" s="2">
        <v>0</v>
      </c>
      <c r="P1235">
        <v>0</v>
      </c>
      <c r="Q1235" t="s">
        <v>14</v>
      </c>
      <c r="R1235" s="4">
        <v>6.99</v>
      </c>
      <c r="S1235" s="4">
        <v>25.68</v>
      </c>
      <c r="T1235" t="s">
        <v>34</v>
      </c>
      <c r="U1235" s="4">
        <v>-1.19</v>
      </c>
      <c r="V1235" s="4">
        <v>0.81299999999999994</v>
      </c>
      <c r="W1235" s="4">
        <v>0</v>
      </c>
    </row>
    <row r="1236" spans="1:23" ht="15" customHeight="1" x14ac:dyDescent="0.25">
      <c r="A1236">
        <v>942</v>
      </c>
      <c r="B1236" s="1">
        <v>45862.333333333343</v>
      </c>
      <c r="C1236">
        <v>8</v>
      </c>
      <c r="D1236" t="s">
        <v>56</v>
      </c>
      <c r="E1236">
        <v>7</v>
      </c>
      <c r="F1236" t="s">
        <v>38</v>
      </c>
      <c r="G1236" t="s">
        <v>33</v>
      </c>
      <c r="H1236" t="s">
        <v>50</v>
      </c>
      <c r="I1236" t="s">
        <v>22</v>
      </c>
      <c r="J1236" t="s">
        <v>12</v>
      </c>
      <c r="K1236" s="2">
        <v>21000</v>
      </c>
      <c r="L1236" s="3">
        <v>26.7</v>
      </c>
      <c r="M1236" s="3">
        <v>48.8</v>
      </c>
      <c r="N1236" s="3">
        <v>457.8</v>
      </c>
      <c r="O1236" s="2">
        <v>416</v>
      </c>
      <c r="P1236">
        <v>1</v>
      </c>
      <c r="Q1236" t="s">
        <v>20</v>
      </c>
      <c r="R1236" s="4">
        <v>198.2</v>
      </c>
      <c r="S1236" s="4">
        <v>93.76</v>
      </c>
      <c r="T1236" t="s">
        <v>34</v>
      </c>
      <c r="U1236" s="4">
        <v>17.309999999999999</v>
      </c>
      <c r="V1236" s="4">
        <v>9.4380000000000006</v>
      </c>
      <c r="W1236" s="4">
        <v>104.44</v>
      </c>
    </row>
    <row r="1237" spans="1:23" ht="15" customHeight="1" x14ac:dyDescent="0.25">
      <c r="A1237">
        <v>1678</v>
      </c>
      <c r="B1237" s="1">
        <v>45862.333333333343</v>
      </c>
      <c r="C1237">
        <v>8</v>
      </c>
      <c r="D1237" t="s">
        <v>56</v>
      </c>
      <c r="E1237">
        <v>7</v>
      </c>
      <c r="F1237" t="s">
        <v>38</v>
      </c>
      <c r="G1237" t="s">
        <v>33</v>
      </c>
      <c r="H1237" t="s">
        <v>49</v>
      </c>
      <c r="I1237" t="s">
        <v>27</v>
      </c>
      <c r="J1237" t="s">
        <v>18</v>
      </c>
      <c r="K1237" s="2">
        <v>26000</v>
      </c>
      <c r="L1237" s="3">
        <v>25</v>
      </c>
      <c r="M1237" s="3">
        <v>58.9</v>
      </c>
      <c r="N1237" s="3">
        <v>355.7</v>
      </c>
      <c r="O1237" s="2">
        <v>160</v>
      </c>
      <c r="P1237">
        <v>1</v>
      </c>
      <c r="Q1237" t="s">
        <v>20</v>
      </c>
      <c r="R1237" s="4">
        <v>167.39</v>
      </c>
      <c r="S1237" s="4">
        <v>88.32</v>
      </c>
      <c r="T1237" t="s">
        <v>34</v>
      </c>
      <c r="U1237" s="4">
        <v>12.19</v>
      </c>
      <c r="V1237" s="4">
        <v>6.4379999999999997</v>
      </c>
      <c r="W1237" s="4">
        <v>79.069999999999993</v>
      </c>
    </row>
    <row r="1238" spans="1:23" ht="15" customHeight="1" x14ac:dyDescent="0.25">
      <c r="A1238">
        <v>2047</v>
      </c>
      <c r="B1238" s="1">
        <v>45862.583333333343</v>
      </c>
      <c r="C1238">
        <v>14</v>
      </c>
      <c r="D1238" t="s">
        <v>56</v>
      </c>
      <c r="E1238">
        <v>7</v>
      </c>
      <c r="F1238" t="s">
        <v>38</v>
      </c>
      <c r="G1238" t="s">
        <v>33</v>
      </c>
      <c r="H1238" t="s">
        <v>52</v>
      </c>
      <c r="I1238" t="s">
        <v>13</v>
      </c>
      <c r="J1238" t="s">
        <v>21</v>
      </c>
      <c r="K1238" s="2">
        <v>9800</v>
      </c>
      <c r="L1238" s="3">
        <v>28.2</v>
      </c>
      <c r="M1238" s="3">
        <v>66.099999999999994</v>
      </c>
      <c r="N1238" s="3">
        <v>850.6</v>
      </c>
      <c r="O1238" s="2">
        <v>78</v>
      </c>
      <c r="P1238">
        <v>1</v>
      </c>
      <c r="Q1238" t="s">
        <v>20</v>
      </c>
      <c r="R1238" s="4">
        <v>24.62</v>
      </c>
      <c r="S1238" s="4">
        <v>0</v>
      </c>
      <c r="T1238" t="s">
        <v>34</v>
      </c>
      <c r="U1238" s="4">
        <v>3.99</v>
      </c>
      <c r="V1238" s="4">
        <v>2.512</v>
      </c>
      <c r="W1238" s="4">
        <v>24.62</v>
      </c>
    </row>
    <row r="1239" spans="1:23" ht="15" customHeight="1" x14ac:dyDescent="0.25">
      <c r="A1239">
        <v>207</v>
      </c>
      <c r="B1239" s="1">
        <v>45862.583333333343</v>
      </c>
      <c r="C1239">
        <v>14</v>
      </c>
      <c r="D1239" t="s">
        <v>56</v>
      </c>
      <c r="E1239">
        <v>7</v>
      </c>
      <c r="F1239" t="s">
        <v>38</v>
      </c>
      <c r="G1239" t="s">
        <v>33</v>
      </c>
      <c r="H1239" t="s">
        <v>53</v>
      </c>
      <c r="I1239" t="s">
        <v>19</v>
      </c>
      <c r="J1239" t="s">
        <v>26</v>
      </c>
      <c r="K1239" s="2">
        <v>12500</v>
      </c>
      <c r="L1239" s="3">
        <v>30.8</v>
      </c>
      <c r="M1239" s="3">
        <v>41.4</v>
      </c>
      <c r="N1239" s="3">
        <v>877</v>
      </c>
      <c r="O1239" s="2">
        <v>591</v>
      </c>
      <c r="P1239">
        <v>1</v>
      </c>
      <c r="Q1239" t="s">
        <v>20</v>
      </c>
      <c r="R1239" s="4">
        <v>106.05</v>
      </c>
      <c r="S1239" s="4">
        <v>126.66</v>
      </c>
      <c r="T1239" t="s">
        <v>34</v>
      </c>
      <c r="U1239" s="4">
        <v>-1.31</v>
      </c>
      <c r="V1239" s="4">
        <v>8.484</v>
      </c>
      <c r="W1239" s="4">
        <v>0</v>
      </c>
    </row>
    <row r="1240" spans="1:23" ht="15" customHeight="1" x14ac:dyDescent="0.25">
      <c r="A1240">
        <v>1311</v>
      </c>
      <c r="B1240" s="1">
        <v>45862.583333333343</v>
      </c>
      <c r="C1240">
        <v>14</v>
      </c>
      <c r="D1240" t="s">
        <v>56</v>
      </c>
      <c r="E1240">
        <v>7</v>
      </c>
      <c r="F1240" t="s">
        <v>38</v>
      </c>
      <c r="G1240" t="s">
        <v>33</v>
      </c>
      <c r="H1240" t="s">
        <v>51</v>
      </c>
      <c r="I1240" t="s">
        <v>25</v>
      </c>
      <c r="J1240" t="s">
        <v>15</v>
      </c>
      <c r="K1240" s="2">
        <v>17400</v>
      </c>
      <c r="L1240" s="3">
        <v>32.6</v>
      </c>
      <c r="M1240" s="3">
        <v>53.1</v>
      </c>
      <c r="N1240" s="3">
        <v>808.9</v>
      </c>
      <c r="O1240" s="2">
        <v>1369</v>
      </c>
      <c r="P1240">
        <v>1</v>
      </c>
      <c r="Q1240" t="s">
        <v>20</v>
      </c>
      <c r="R1240" s="4">
        <v>227.48</v>
      </c>
      <c r="S1240" s="4">
        <v>105.34</v>
      </c>
      <c r="T1240" t="s">
        <v>34</v>
      </c>
      <c r="U1240" s="4">
        <v>19.11</v>
      </c>
      <c r="V1240" s="4">
        <v>13.074</v>
      </c>
      <c r="W1240" s="4">
        <v>122.14</v>
      </c>
    </row>
    <row r="1241" spans="1:23" ht="15" customHeight="1" x14ac:dyDescent="0.25">
      <c r="A1241">
        <v>575</v>
      </c>
      <c r="B1241" s="1">
        <v>45862.583333333343</v>
      </c>
      <c r="C1241">
        <v>14</v>
      </c>
      <c r="D1241" t="s">
        <v>56</v>
      </c>
      <c r="E1241">
        <v>7</v>
      </c>
      <c r="F1241" t="s">
        <v>38</v>
      </c>
      <c r="G1241" t="s">
        <v>33</v>
      </c>
      <c r="H1241" t="s">
        <v>54</v>
      </c>
      <c r="I1241" t="s">
        <v>16</v>
      </c>
      <c r="J1241" t="s">
        <v>24</v>
      </c>
      <c r="K1241" s="2">
        <v>8600</v>
      </c>
      <c r="L1241" s="3">
        <v>24.9</v>
      </c>
      <c r="M1241" s="3">
        <v>68.2</v>
      </c>
      <c r="N1241" s="3">
        <v>721</v>
      </c>
      <c r="O1241" s="2">
        <v>97</v>
      </c>
      <c r="P1241">
        <v>0</v>
      </c>
      <c r="Q1241" t="s">
        <v>14</v>
      </c>
      <c r="R1241" s="4">
        <v>13.18</v>
      </c>
      <c r="S1241" s="4">
        <v>57.98</v>
      </c>
      <c r="T1241" t="s">
        <v>34</v>
      </c>
      <c r="U1241" s="4">
        <v>-2.75</v>
      </c>
      <c r="V1241" s="4">
        <v>1.5329999999999999</v>
      </c>
      <c r="W1241" s="4">
        <v>0</v>
      </c>
    </row>
    <row r="1242" spans="1:23" ht="15" customHeight="1" x14ac:dyDescent="0.25">
      <c r="A1242">
        <v>943</v>
      </c>
      <c r="B1242" s="1">
        <v>45862.583333333343</v>
      </c>
      <c r="C1242">
        <v>14</v>
      </c>
      <c r="D1242" t="s">
        <v>56</v>
      </c>
      <c r="E1242">
        <v>7</v>
      </c>
      <c r="F1242" t="s">
        <v>38</v>
      </c>
      <c r="G1242" t="s">
        <v>33</v>
      </c>
      <c r="H1242" t="s">
        <v>50</v>
      </c>
      <c r="I1242" t="s">
        <v>22</v>
      </c>
      <c r="J1242" t="s">
        <v>12</v>
      </c>
      <c r="K1242" s="2">
        <v>21000</v>
      </c>
      <c r="L1242" s="3">
        <v>35.5</v>
      </c>
      <c r="M1242" s="3">
        <v>47.4</v>
      </c>
      <c r="N1242" s="3">
        <v>912.8</v>
      </c>
      <c r="O1242" s="2">
        <v>392</v>
      </c>
      <c r="P1242">
        <v>1</v>
      </c>
      <c r="Q1242" t="s">
        <v>20</v>
      </c>
      <c r="R1242" s="4">
        <v>248.28</v>
      </c>
      <c r="S1242" s="4">
        <v>174.17</v>
      </c>
      <c r="T1242" t="s">
        <v>34</v>
      </c>
      <c r="U1242" s="4">
        <v>11.72</v>
      </c>
      <c r="V1242" s="4">
        <v>11.823</v>
      </c>
      <c r="W1242" s="4">
        <v>74.11</v>
      </c>
    </row>
    <row r="1243" spans="1:23" ht="15" customHeight="1" x14ac:dyDescent="0.25">
      <c r="A1243">
        <v>1679</v>
      </c>
      <c r="B1243" s="1">
        <v>45862.583333333343</v>
      </c>
      <c r="C1243">
        <v>14</v>
      </c>
      <c r="D1243" t="s">
        <v>56</v>
      </c>
      <c r="E1243">
        <v>7</v>
      </c>
      <c r="F1243" t="s">
        <v>38</v>
      </c>
      <c r="G1243" t="s">
        <v>33</v>
      </c>
      <c r="H1243" t="s">
        <v>49</v>
      </c>
      <c r="I1243" t="s">
        <v>27</v>
      </c>
      <c r="J1243" t="s">
        <v>18</v>
      </c>
      <c r="K1243" s="2">
        <v>26000</v>
      </c>
      <c r="L1243" s="3">
        <v>31.9</v>
      </c>
      <c r="M1243" s="3">
        <v>62.3</v>
      </c>
      <c r="N1243" s="3">
        <v>675.3</v>
      </c>
      <c r="O1243" s="2">
        <v>162</v>
      </c>
      <c r="P1243">
        <v>1</v>
      </c>
      <c r="Q1243" t="s">
        <v>20</v>
      </c>
      <c r="R1243" s="4">
        <v>189.46</v>
      </c>
      <c r="S1243" s="4">
        <v>181.75</v>
      </c>
      <c r="T1243" t="s">
        <v>34</v>
      </c>
      <c r="U1243" s="4">
        <v>1.22</v>
      </c>
      <c r="V1243" s="4">
        <v>7.2869999999999999</v>
      </c>
      <c r="W1243" s="4">
        <v>7.71</v>
      </c>
    </row>
    <row r="1244" spans="1:23" ht="15" customHeight="1" x14ac:dyDescent="0.25">
      <c r="A1244">
        <v>1680</v>
      </c>
      <c r="B1244" s="1">
        <v>45862.833333333343</v>
      </c>
      <c r="C1244">
        <v>20</v>
      </c>
      <c r="D1244" t="s">
        <v>56</v>
      </c>
      <c r="E1244">
        <v>7</v>
      </c>
      <c r="F1244" t="s">
        <v>38</v>
      </c>
      <c r="G1244" t="s">
        <v>33</v>
      </c>
      <c r="H1244" t="s">
        <v>49</v>
      </c>
      <c r="I1244" t="s">
        <v>27</v>
      </c>
      <c r="J1244" t="s">
        <v>18</v>
      </c>
      <c r="K1244" s="2">
        <v>26000</v>
      </c>
      <c r="L1244" s="3">
        <v>25.2</v>
      </c>
      <c r="M1244" s="3">
        <v>41.9</v>
      </c>
      <c r="N1244" s="3">
        <v>76.599999999999994</v>
      </c>
      <c r="O1244" s="2">
        <v>150</v>
      </c>
      <c r="P1244">
        <v>1</v>
      </c>
      <c r="Q1244" t="s">
        <v>20</v>
      </c>
      <c r="R1244" s="4">
        <v>248.48</v>
      </c>
      <c r="S1244" s="4">
        <v>21.1</v>
      </c>
      <c r="T1244" t="s">
        <v>37</v>
      </c>
      <c r="U1244" s="4">
        <v>57</v>
      </c>
      <c r="V1244" s="4">
        <v>9.5570000000000004</v>
      </c>
      <c r="W1244" s="4">
        <v>227.38</v>
      </c>
    </row>
    <row r="1245" spans="1:23" ht="15" customHeight="1" x14ac:dyDescent="0.25">
      <c r="A1245">
        <v>1312</v>
      </c>
      <c r="B1245" s="1">
        <v>45862.833333333343</v>
      </c>
      <c r="C1245">
        <v>20</v>
      </c>
      <c r="D1245" t="s">
        <v>56</v>
      </c>
      <c r="E1245">
        <v>7</v>
      </c>
      <c r="F1245" t="s">
        <v>38</v>
      </c>
      <c r="G1245" t="s">
        <v>33</v>
      </c>
      <c r="H1245" t="s">
        <v>51</v>
      </c>
      <c r="I1245" t="s">
        <v>25</v>
      </c>
      <c r="J1245" t="s">
        <v>15</v>
      </c>
      <c r="K1245" s="2">
        <v>17400</v>
      </c>
      <c r="L1245" s="3">
        <v>25.3</v>
      </c>
      <c r="M1245" s="3"/>
      <c r="N1245" s="3">
        <v>14.8</v>
      </c>
      <c r="O1245" s="2">
        <v>1319</v>
      </c>
      <c r="P1245">
        <v>1</v>
      </c>
      <c r="Q1245" t="s">
        <v>20</v>
      </c>
      <c r="R1245" s="4">
        <v>286.08</v>
      </c>
      <c r="S1245" s="4">
        <v>1.85</v>
      </c>
      <c r="T1245" t="s">
        <v>37</v>
      </c>
      <c r="U1245" s="4">
        <v>71.569999999999993</v>
      </c>
      <c r="V1245" s="4">
        <v>16.440999999999999</v>
      </c>
      <c r="W1245" s="4">
        <v>284.23</v>
      </c>
    </row>
    <row r="1246" spans="1:23" ht="15" customHeight="1" x14ac:dyDescent="0.25">
      <c r="A1246">
        <v>576</v>
      </c>
      <c r="B1246" s="1">
        <v>45862.833333333343</v>
      </c>
      <c r="C1246">
        <v>20</v>
      </c>
      <c r="D1246" t="s">
        <v>56</v>
      </c>
      <c r="E1246">
        <v>7</v>
      </c>
      <c r="F1246" t="s">
        <v>38</v>
      </c>
      <c r="G1246" t="s">
        <v>33</v>
      </c>
      <c r="H1246" t="s">
        <v>54</v>
      </c>
      <c r="I1246" t="s">
        <v>16</v>
      </c>
      <c r="J1246" t="s">
        <v>24</v>
      </c>
      <c r="K1246" s="2">
        <v>8600</v>
      </c>
      <c r="L1246" s="3">
        <v>22.1</v>
      </c>
      <c r="M1246" s="3">
        <v>83.2</v>
      </c>
      <c r="N1246" s="3">
        <v>40.6</v>
      </c>
      <c r="O1246" s="2">
        <v>0</v>
      </c>
      <c r="P1246">
        <v>0</v>
      </c>
      <c r="Q1246" t="s">
        <v>14</v>
      </c>
      <c r="R1246" s="4">
        <v>12.49</v>
      </c>
      <c r="S1246" s="4">
        <v>3.03</v>
      </c>
      <c r="T1246" t="s">
        <v>37</v>
      </c>
      <c r="U1246" s="4">
        <v>2.2400000000000002</v>
      </c>
      <c r="V1246" s="4">
        <v>1.452</v>
      </c>
      <c r="W1246" s="4">
        <v>9.4600000000000009</v>
      </c>
    </row>
    <row r="1247" spans="1:23" ht="15" customHeight="1" x14ac:dyDescent="0.25">
      <c r="A1247">
        <v>944</v>
      </c>
      <c r="B1247" s="1">
        <v>45862.833333333343</v>
      </c>
      <c r="C1247">
        <v>20</v>
      </c>
      <c r="D1247" t="s">
        <v>56</v>
      </c>
      <c r="E1247">
        <v>7</v>
      </c>
      <c r="F1247" t="s">
        <v>38</v>
      </c>
      <c r="G1247" t="s">
        <v>33</v>
      </c>
      <c r="H1247" t="s">
        <v>50</v>
      </c>
      <c r="I1247" t="s">
        <v>22</v>
      </c>
      <c r="J1247" t="s">
        <v>12</v>
      </c>
      <c r="K1247" s="2">
        <v>21000</v>
      </c>
      <c r="L1247" s="3">
        <v>31.1</v>
      </c>
      <c r="M1247" s="3">
        <v>51.8</v>
      </c>
      <c r="N1247" s="3">
        <v>40.9</v>
      </c>
      <c r="O1247" s="2">
        <v>388</v>
      </c>
      <c r="P1247">
        <v>1</v>
      </c>
      <c r="Q1247" t="s">
        <v>20</v>
      </c>
      <c r="R1247" s="4">
        <v>299.73</v>
      </c>
      <c r="S1247" s="4">
        <v>7.29</v>
      </c>
      <c r="T1247" t="s">
        <v>37</v>
      </c>
      <c r="U1247" s="4">
        <v>69.78</v>
      </c>
      <c r="V1247" s="4">
        <v>14.273</v>
      </c>
      <c r="W1247" s="4">
        <v>292.44</v>
      </c>
    </row>
    <row r="1248" spans="1:23" ht="15" customHeight="1" x14ac:dyDescent="0.25">
      <c r="A1248">
        <v>2048</v>
      </c>
      <c r="B1248" s="1">
        <v>45862.833333333343</v>
      </c>
      <c r="C1248">
        <v>20</v>
      </c>
      <c r="D1248" t="s">
        <v>56</v>
      </c>
      <c r="E1248">
        <v>7</v>
      </c>
      <c r="F1248" t="s">
        <v>38</v>
      </c>
      <c r="G1248" t="s">
        <v>33</v>
      </c>
      <c r="H1248" t="s">
        <v>52</v>
      </c>
      <c r="I1248" t="s">
        <v>13</v>
      </c>
      <c r="J1248" t="s">
        <v>21</v>
      </c>
      <c r="K1248" s="2">
        <v>9800</v>
      </c>
      <c r="L1248" s="3">
        <v>26.8</v>
      </c>
      <c r="M1248" s="3">
        <v>54</v>
      </c>
      <c r="N1248" s="3">
        <v>46.6</v>
      </c>
      <c r="O1248" s="2">
        <v>316</v>
      </c>
      <c r="P1248">
        <v>1</v>
      </c>
      <c r="Q1248" t="s">
        <v>20</v>
      </c>
      <c r="R1248" s="4">
        <v>103.08</v>
      </c>
      <c r="S1248" s="4">
        <v>0</v>
      </c>
      <c r="T1248" t="s">
        <v>37</v>
      </c>
      <c r="U1248" s="4">
        <v>25.09</v>
      </c>
      <c r="V1248" s="4">
        <v>10.518000000000001</v>
      </c>
      <c r="W1248" s="4">
        <v>103.08</v>
      </c>
    </row>
    <row r="1249" spans="1:23" ht="15" customHeight="1" x14ac:dyDescent="0.25">
      <c r="A1249">
        <v>208</v>
      </c>
      <c r="B1249" s="1">
        <v>45862.833333333343</v>
      </c>
      <c r="C1249">
        <v>20</v>
      </c>
      <c r="D1249" t="s">
        <v>56</v>
      </c>
      <c r="E1249">
        <v>7</v>
      </c>
      <c r="F1249" t="s">
        <v>38</v>
      </c>
      <c r="G1249" t="s">
        <v>33</v>
      </c>
      <c r="H1249" t="s">
        <v>53</v>
      </c>
      <c r="I1249" t="s">
        <v>19</v>
      </c>
      <c r="J1249" t="s">
        <v>26</v>
      </c>
      <c r="K1249" s="2">
        <v>12500</v>
      </c>
      <c r="L1249" s="3">
        <v>26.6</v>
      </c>
      <c r="M1249" s="3">
        <v>48</v>
      </c>
      <c r="N1249" s="3">
        <v>28.7</v>
      </c>
      <c r="O1249" s="2">
        <v>149</v>
      </c>
      <c r="P1249">
        <v>1</v>
      </c>
      <c r="Q1249" t="s">
        <v>20</v>
      </c>
      <c r="R1249" s="4">
        <v>50.19</v>
      </c>
      <c r="S1249" s="4">
        <v>4.03</v>
      </c>
      <c r="T1249" t="s">
        <v>37</v>
      </c>
      <c r="U1249" s="4">
        <v>11.24</v>
      </c>
      <c r="V1249" s="4">
        <v>4.0149999999999997</v>
      </c>
      <c r="W1249" s="4">
        <v>46.16</v>
      </c>
    </row>
    <row r="1250" spans="1:23" ht="15" customHeight="1" x14ac:dyDescent="0.25">
      <c r="A1250">
        <v>945</v>
      </c>
      <c r="B1250" s="1">
        <v>45866</v>
      </c>
      <c r="C1250">
        <v>0</v>
      </c>
      <c r="D1250" t="s">
        <v>57</v>
      </c>
      <c r="E1250">
        <v>7</v>
      </c>
      <c r="F1250" t="s">
        <v>38</v>
      </c>
      <c r="G1250" t="s">
        <v>33</v>
      </c>
      <c r="H1250" t="s">
        <v>50</v>
      </c>
      <c r="I1250" t="s">
        <v>22</v>
      </c>
      <c r="J1250" t="s">
        <v>12</v>
      </c>
      <c r="K1250" s="2">
        <v>21000</v>
      </c>
      <c r="L1250" s="3">
        <v>22.8</v>
      </c>
      <c r="M1250" s="3">
        <v>49</v>
      </c>
      <c r="N1250" s="3">
        <v>0</v>
      </c>
      <c r="O1250" s="2">
        <v>182</v>
      </c>
      <c r="P1250">
        <v>0</v>
      </c>
      <c r="Q1250" t="s">
        <v>14</v>
      </c>
      <c r="R1250" s="4">
        <v>169.81</v>
      </c>
      <c r="S1250" s="4">
        <v>0</v>
      </c>
      <c r="T1250" t="s">
        <v>31</v>
      </c>
      <c r="U1250" s="4">
        <v>17.2</v>
      </c>
      <c r="V1250" s="4">
        <v>8.0860000000000003</v>
      </c>
      <c r="W1250" s="4">
        <v>169.81</v>
      </c>
    </row>
    <row r="1251" spans="1:23" ht="15" customHeight="1" x14ac:dyDescent="0.25">
      <c r="A1251">
        <v>2049</v>
      </c>
      <c r="B1251" s="1">
        <v>45866</v>
      </c>
      <c r="C1251">
        <v>0</v>
      </c>
      <c r="D1251" t="s">
        <v>57</v>
      </c>
      <c r="E1251">
        <v>7</v>
      </c>
      <c r="F1251" t="s">
        <v>38</v>
      </c>
      <c r="G1251" t="s">
        <v>33</v>
      </c>
      <c r="H1251" t="s">
        <v>52</v>
      </c>
      <c r="I1251" t="s">
        <v>13</v>
      </c>
      <c r="J1251" t="s">
        <v>21</v>
      </c>
      <c r="K1251" s="2">
        <v>9800</v>
      </c>
      <c r="L1251" s="3">
        <v>19.3</v>
      </c>
      <c r="M1251" s="3">
        <v>77.7</v>
      </c>
      <c r="N1251" s="3">
        <v>0</v>
      </c>
      <c r="O1251" s="2">
        <v>270</v>
      </c>
      <c r="P1251">
        <v>0</v>
      </c>
      <c r="Q1251" t="s">
        <v>14</v>
      </c>
      <c r="R1251" s="4">
        <v>94.57</v>
      </c>
      <c r="S1251" s="4">
        <v>0</v>
      </c>
      <c r="T1251" t="s">
        <v>31</v>
      </c>
      <c r="U1251" s="4">
        <v>9.43</v>
      </c>
      <c r="V1251" s="4">
        <v>9.65</v>
      </c>
      <c r="W1251" s="4">
        <v>94.57</v>
      </c>
    </row>
    <row r="1252" spans="1:23" ht="15" customHeight="1" x14ac:dyDescent="0.25">
      <c r="A1252">
        <v>1681</v>
      </c>
      <c r="B1252" s="1">
        <v>45866</v>
      </c>
      <c r="C1252">
        <v>0</v>
      </c>
      <c r="D1252" t="s">
        <v>57</v>
      </c>
      <c r="E1252">
        <v>7</v>
      </c>
      <c r="F1252" t="s">
        <v>38</v>
      </c>
      <c r="G1252" t="s">
        <v>33</v>
      </c>
      <c r="H1252" t="s">
        <v>49</v>
      </c>
      <c r="I1252" t="s">
        <v>27</v>
      </c>
      <c r="J1252" t="s">
        <v>18</v>
      </c>
      <c r="K1252" s="2">
        <v>26000</v>
      </c>
      <c r="L1252" s="3">
        <v>20.100000000000001</v>
      </c>
      <c r="M1252" s="3">
        <v>60.2</v>
      </c>
      <c r="N1252" s="3">
        <v>0</v>
      </c>
      <c r="O1252" s="2">
        <v>51</v>
      </c>
      <c r="P1252">
        <v>0</v>
      </c>
      <c r="Q1252" t="s">
        <v>14</v>
      </c>
      <c r="R1252" s="4">
        <v>107.04</v>
      </c>
      <c r="S1252" s="4">
        <v>0</v>
      </c>
      <c r="T1252" t="s">
        <v>31</v>
      </c>
      <c r="U1252" s="4">
        <v>10.39</v>
      </c>
      <c r="V1252" s="4">
        <v>4.117</v>
      </c>
      <c r="W1252" s="4">
        <v>107.04</v>
      </c>
    </row>
    <row r="1253" spans="1:23" ht="15" customHeight="1" x14ac:dyDescent="0.25">
      <c r="A1253">
        <v>1313</v>
      </c>
      <c r="B1253" s="1">
        <v>45866</v>
      </c>
      <c r="C1253">
        <v>0</v>
      </c>
      <c r="D1253" t="s">
        <v>57</v>
      </c>
      <c r="E1253">
        <v>7</v>
      </c>
      <c r="F1253" t="s">
        <v>38</v>
      </c>
      <c r="G1253" t="s">
        <v>33</v>
      </c>
      <c r="H1253" t="s">
        <v>51</v>
      </c>
      <c r="I1253" t="s">
        <v>25</v>
      </c>
      <c r="J1253" t="s">
        <v>15</v>
      </c>
      <c r="K1253" s="2">
        <v>17400</v>
      </c>
      <c r="L1253" s="3">
        <v>24.9</v>
      </c>
      <c r="M1253" s="3">
        <v>72.8</v>
      </c>
      <c r="N1253" s="3">
        <v>0</v>
      </c>
      <c r="O1253" s="2">
        <v>16</v>
      </c>
      <c r="P1253">
        <v>0</v>
      </c>
      <c r="Q1253" t="s">
        <v>14</v>
      </c>
      <c r="R1253" s="4">
        <v>47.23</v>
      </c>
      <c r="S1253" s="4">
        <v>0</v>
      </c>
      <c r="T1253" t="s">
        <v>31</v>
      </c>
      <c r="U1253" s="4">
        <v>4.71</v>
      </c>
      <c r="V1253" s="4">
        <v>2.714</v>
      </c>
      <c r="W1253" s="4">
        <v>47.23</v>
      </c>
    </row>
    <row r="1254" spans="1:23" ht="15" customHeight="1" x14ac:dyDescent="0.25">
      <c r="A1254">
        <v>577</v>
      </c>
      <c r="B1254" s="1">
        <v>45866</v>
      </c>
      <c r="C1254">
        <v>0</v>
      </c>
      <c r="D1254" t="s">
        <v>57</v>
      </c>
      <c r="E1254">
        <v>7</v>
      </c>
      <c r="F1254" t="s">
        <v>38</v>
      </c>
      <c r="G1254" t="s">
        <v>33</v>
      </c>
      <c r="H1254" t="s">
        <v>54</v>
      </c>
      <c r="I1254" t="s">
        <v>16</v>
      </c>
      <c r="J1254" t="s">
        <v>24</v>
      </c>
      <c r="K1254" s="2">
        <v>8600</v>
      </c>
      <c r="L1254" s="3">
        <v>16.100000000000001</v>
      </c>
      <c r="M1254" s="3">
        <v>88.8</v>
      </c>
      <c r="N1254" s="3">
        <v>0</v>
      </c>
      <c r="O1254" s="2">
        <v>0</v>
      </c>
      <c r="P1254">
        <v>0</v>
      </c>
      <c r="Q1254" t="s">
        <v>14</v>
      </c>
      <c r="R1254" s="4">
        <v>12.28</v>
      </c>
      <c r="S1254" s="4">
        <v>0</v>
      </c>
      <c r="T1254" t="s">
        <v>31</v>
      </c>
      <c r="U1254" s="4">
        <v>1.26</v>
      </c>
      <c r="V1254" s="4">
        <v>1.4279999999999999</v>
      </c>
      <c r="W1254" s="4">
        <v>12.28</v>
      </c>
    </row>
    <row r="1255" spans="1:23" ht="15" customHeight="1" x14ac:dyDescent="0.25">
      <c r="A1255">
        <v>209</v>
      </c>
      <c r="B1255" s="1">
        <v>45866</v>
      </c>
      <c r="C1255">
        <v>0</v>
      </c>
      <c r="D1255" t="s">
        <v>57</v>
      </c>
      <c r="E1255">
        <v>7</v>
      </c>
      <c r="F1255" t="s">
        <v>38</v>
      </c>
      <c r="G1255" t="s">
        <v>33</v>
      </c>
      <c r="H1255" t="s">
        <v>53</v>
      </c>
      <c r="I1255" t="s">
        <v>19</v>
      </c>
      <c r="J1255" t="s">
        <v>26</v>
      </c>
      <c r="K1255" s="2">
        <v>12500</v>
      </c>
      <c r="L1255" s="3">
        <v>22.2</v>
      </c>
      <c r="M1255" s="3"/>
      <c r="N1255" s="3">
        <v>0</v>
      </c>
      <c r="O1255" s="2">
        <v>19</v>
      </c>
      <c r="P1255">
        <v>0</v>
      </c>
      <c r="Q1255" t="s">
        <v>14</v>
      </c>
      <c r="R1255" s="4">
        <v>22.12</v>
      </c>
      <c r="S1255" s="4">
        <v>0</v>
      </c>
      <c r="T1255" t="s">
        <v>31</v>
      </c>
      <c r="U1255" s="4">
        <v>2.23</v>
      </c>
      <c r="V1255" s="4">
        <v>1.77</v>
      </c>
      <c r="W1255" s="4">
        <v>22.12</v>
      </c>
    </row>
    <row r="1256" spans="1:23" ht="15" customHeight="1" x14ac:dyDescent="0.25">
      <c r="A1256">
        <v>946</v>
      </c>
      <c r="B1256" s="1">
        <v>45866.333333333343</v>
      </c>
      <c r="C1256">
        <v>8</v>
      </c>
      <c r="D1256" t="s">
        <v>57</v>
      </c>
      <c r="E1256">
        <v>7</v>
      </c>
      <c r="F1256" t="s">
        <v>38</v>
      </c>
      <c r="G1256" t="s">
        <v>33</v>
      </c>
      <c r="H1256" t="s">
        <v>50</v>
      </c>
      <c r="I1256" t="s">
        <v>22</v>
      </c>
      <c r="J1256" t="s">
        <v>12</v>
      </c>
      <c r="K1256" s="2">
        <v>21000</v>
      </c>
      <c r="L1256" s="3">
        <v>27.6</v>
      </c>
      <c r="M1256" s="3">
        <v>48.9</v>
      </c>
      <c r="N1256" s="3">
        <v>436.2</v>
      </c>
      <c r="O1256" s="2"/>
      <c r="P1256">
        <v>1</v>
      </c>
      <c r="Q1256" t="s">
        <v>20</v>
      </c>
      <c r="R1256" s="4">
        <v>202.21</v>
      </c>
      <c r="S1256" s="4">
        <v>90.19</v>
      </c>
      <c r="T1256" t="s">
        <v>34</v>
      </c>
      <c r="U1256" s="4">
        <v>18.45</v>
      </c>
      <c r="V1256" s="4">
        <v>9.6289999999999996</v>
      </c>
      <c r="W1256" s="4">
        <v>112.02</v>
      </c>
    </row>
    <row r="1257" spans="1:23" ht="15" customHeight="1" x14ac:dyDescent="0.25">
      <c r="A1257">
        <v>210</v>
      </c>
      <c r="B1257" s="1">
        <v>45866.333333333343</v>
      </c>
      <c r="C1257">
        <v>8</v>
      </c>
      <c r="D1257" t="s">
        <v>57</v>
      </c>
      <c r="E1257">
        <v>7</v>
      </c>
      <c r="F1257" t="s">
        <v>38</v>
      </c>
      <c r="G1257" t="s">
        <v>33</v>
      </c>
      <c r="H1257" t="s">
        <v>53</v>
      </c>
      <c r="I1257" t="s">
        <v>19</v>
      </c>
      <c r="J1257" t="s">
        <v>26</v>
      </c>
      <c r="K1257" s="2">
        <v>12500</v>
      </c>
      <c r="L1257" s="3">
        <v>21.7</v>
      </c>
      <c r="M1257" s="3">
        <v>59.2</v>
      </c>
      <c r="N1257" s="3">
        <v>391.8</v>
      </c>
      <c r="O1257" s="2">
        <v>333</v>
      </c>
      <c r="P1257">
        <v>0</v>
      </c>
      <c r="Q1257" t="s">
        <v>14</v>
      </c>
      <c r="R1257" s="4">
        <v>64.010000000000005</v>
      </c>
      <c r="S1257" s="4">
        <v>60.24</v>
      </c>
      <c r="T1257" t="s">
        <v>34</v>
      </c>
      <c r="U1257" s="4">
        <v>0.6</v>
      </c>
      <c r="V1257" s="4">
        <v>5.1210000000000004</v>
      </c>
      <c r="W1257" s="4">
        <v>3.77</v>
      </c>
    </row>
    <row r="1258" spans="1:23" ht="15" customHeight="1" x14ac:dyDescent="0.25">
      <c r="A1258">
        <v>578</v>
      </c>
      <c r="B1258" s="1">
        <v>45866.333333333343</v>
      </c>
      <c r="C1258">
        <v>8</v>
      </c>
      <c r="D1258" t="s">
        <v>57</v>
      </c>
      <c r="E1258">
        <v>7</v>
      </c>
      <c r="F1258" t="s">
        <v>38</v>
      </c>
      <c r="G1258" t="s">
        <v>33</v>
      </c>
      <c r="H1258" t="s">
        <v>54</v>
      </c>
      <c r="I1258" t="s">
        <v>16</v>
      </c>
      <c r="J1258" t="s">
        <v>24</v>
      </c>
      <c r="K1258" s="2">
        <v>8600</v>
      </c>
      <c r="L1258" s="3">
        <v>18.2</v>
      </c>
      <c r="M1258" s="3">
        <v>65.900000000000006</v>
      </c>
      <c r="N1258" s="3">
        <v>389.7</v>
      </c>
      <c r="O1258" s="2">
        <v>0</v>
      </c>
      <c r="P1258">
        <v>0</v>
      </c>
      <c r="Q1258" t="s">
        <v>14</v>
      </c>
      <c r="R1258" s="4">
        <v>7.54</v>
      </c>
      <c r="S1258" s="4">
        <v>29.55</v>
      </c>
      <c r="T1258" t="s">
        <v>34</v>
      </c>
      <c r="U1258" s="4">
        <v>-1.37</v>
      </c>
      <c r="V1258" s="4">
        <v>0.877</v>
      </c>
      <c r="W1258" s="4">
        <v>0</v>
      </c>
    </row>
    <row r="1259" spans="1:23" ht="15" customHeight="1" x14ac:dyDescent="0.25">
      <c r="A1259">
        <v>1682</v>
      </c>
      <c r="B1259" s="1">
        <v>45866.333333333343</v>
      </c>
      <c r="C1259">
        <v>8</v>
      </c>
      <c r="D1259" t="s">
        <v>57</v>
      </c>
      <c r="E1259">
        <v>7</v>
      </c>
      <c r="F1259" t="s">
        <v>38</v>
      </c>
      <c r="G1259" t="s">
        <v>33</v>
      </c>
      <c r="H1259" t="s">
        <v>49</v>
      </c>
      <c r="I1259" t="s">
        <v>27</v>
      </c>
      <c r="J1259" t="s">
        <v>18</v>
      </c>
      <c r="K1259" s="2">
        <v>26000</v>
      </c>
      <c r="L1259" s="3">
        <v>20.2</v>
      </c>
      <c r="M1259" s="3">
        <v>50.8</v>
      </c>
      <c r="N1259" s="3">
        <v>420.5</v>
      </c>
      <c r="O1259" s="2">
        <v>170</v>
      </c>
      <c r="P1259">
        <v>0</v>
      </c>
      <c r="Q1259" t="s">
        <v>14</v>
      </c>
      <c r="R1259" s="4">
        <v>144.84</v>
      </c>
      <c r="S1259" s="4">
        <v>110.85</v>
      </c>
      <c r="T1259" t="s">
        <v>34</v>
      </c>
      <c r="U1259" s="4">
        <v>5.46</v>
      </c>
      <c r="V1259" s="4">
        <v>5.5709999999999997</v>
      </c>
      <c r="W1259" s="4">
        <v>33.99</v>
      </c>
    </row>
    <row r="1260" spans="1:23" ht="15" customHeight="1" x14ac:dyDescent="0.25">
      <c r="A1260">
        <v>1314</v>
      </c>
      <c r="B1260" s="1">
        <v>45866.333333333343</v>
      </c>
      <c r="C1260">
        <v>8</v>
      </c>
      <c r="D1260" t="s">
        <v>57</v>
      </c>
      <c r="E1260">
        <v>7</v>
      </c>
      <c r="F1260" t="s">
        <v>38</v>
      </c>
      <c r="G1260" t="s">
        <v>33</v>
      </c>
      <c r="H1260" t="s">
        <v>51</v>
      </c>
      <c r="I1260" t="s">
        <v>25</v>
      </c>
      <c r="J1260" t="s">
        <v>15</v>
      </c>
      <c r="K1260" s="2">
        <v>17400</v>
      </c>
      <c r="L1260" s="3">
        <v>25.1</v>
      </c>
      <c r="M1260" s="3">
        <v>50</v>
      </c>
      <c r="N1260" s="3">
        <v>427</v>
      </c>
      <c r="O1260" s="2">
        <v>93</v>
      </c>
      <c r="P1260">
        <v>0</v>
      </c>
      <c r="Q1260" t="s">
        <v>14</v>
      </c>
      <c r="R1260" s="4">
        <v>38.04</v>
      </c>
      <c r="S1260" s="4">
        <v>54.56</v>
      </c>
      <c r="T1260" t="s">
        <v>34</v>
      </c>
      <c r="U1260" s="4">
        <v>-1.06</v>
      </c>
      <c r="V1260" s="4">
        <v>2.1859999999999999</v>
      </c>
      <c r="W1260" s="4">
        <v>0</v>
      </c>
    </row>
    <row r="1261" spans="1:23" ht="15" customHeight="1" x14ac:dyDescent="0.25">
      <c r="A1261">
        <v>2050</v>
      </c>
      <c r="B1261" s="1">
        <v>45866.333333333343</v>
      </c>
      <c r="C1261">
        <v>8</v>
      </c>
      <c r="D1261" t="s">
        <v>57</v>
      </c>
      <c r="E1261">
        <v>7</v>
      </c>
      <c r="F1261" t="s">
        <v>38</v>
      </c>
      <c r="G1261" t="s">
        <v>33</v>
      </c>
      <c r="H1261" t="s">
        <v>52</v>
      </c>
      <c r="I1261" t="s">
        <v>13</v>
      </c>
      <c r="J1261" t="s">
        <v>21</v>
      </c>
      <c r="K1261" s="2">
        <v>9800</v>
      </c>
      <c r="L1261" s="3">
        <v>17.5</v>
      </c>
      <c r="M1261" s="3">
        <v>73.099999999999994</v>
      </c>
      <c r="N1261" s="3">
        <v>376.9</v>
      </c>
      <c r="O1261" s="2">
        <v>42</v>
      </c>
      <c r="P1261">
        <v>0</v>
      </c>
      <c r="Q1261" t="s">
        <v>14</v>
      </c>
      <c r="R1261" s="4">
        <v>15.96</v>
      </c>
      <c r="S1261" s="4">
        <v>0</v>
      </c>
      <c r="T1261" t="s">
        <v>34</v>
      </c>
      <c r="U1261" s="4">
        <v>2.46</v>
      </c>
      <c r="V1261" s="4">
        <v>1.629</v>
      </c>
      <c r="W1261" s="4">
        <v>15.96</v>
      </c>
    </row>
    <row r="1262" spans="1:23" ht="15" customHeight="1" x14ac:dyDescent="0.25">
      <c r="A1262">
        <v>211</v>
      </c>
      <c r="B1262" s="1">
        <v>45866.583333333343</v>
      </c>
      <c r="C1262">
        <v>14</v>
      </c>
      <c r="D1262" t="s">
        <v>57</v>
      </c>
      <c r="E1262">
        <v>7</v>
      </c>
      <c r="F1262" t="s">
        <v>38</v>
      </c>
      <c r="G1262" t="s">
        <v>33</v>
      </c>
      <c r="H1262" t="s">
        <v>53</v>
      </c>
      <c r="I1262" t="s">
        <v>19</v>
      </c>
      <c r="J1262" t="s">
        <v>26</v>
      </c>
      <c r="K1262" s="2">
        <v>12500</v>
      </c>
      <c r="L1262" s="3">
        <v>30.2</v>
      </c>
      <c r="M1262" s="3">
        <v>44.9</v>
      </c>
      <c r="N1262" s="3">
        <v>847.9</v>
      </c>
      <c r="O1262" s="2">
        <v>573</v>
      </c>
      <c r="P1262">
        <v>1</v>
      </c>
      <c r="Q1262" t="s">
        <v>20</v>
      </c>
      <c r="R1262" s="4">
        <v>106.01</v>
      </c>
      <c r="S1262" s="4">
        <v>125.7</v>
      </c>
      <c r="T1262" t="s">
        <v>34</v>
      </c>
      <c r="U1262" s="4">
        <v>-1.24</v>
      </c>
      <c r="V1262" s="4">
        <v>8.4809999999999999</v>
      </c>
      <c r="W1262" s="4">
        <v>0</v>
      </c>
    </row>
    <row r="1263" spans="1:23" ht="15" customHeight="1" x14ac:dyDescent="0.25">
      <c r="A1263">
        <v>1315</v>
      </c>
      <c r="B1263" s="1">
        <v>45866.583333333343</v>
      </c>
      <c r="C1263">
        <v>14</v>
      </c>
      <c r="D1263" t="s">
        <v>57</v>
      </c>
      <c r="E1263">
        <v>7</v>
      </c>
      <c r="F1263" t="s">
        <v>38</v>
      </c>
      <c r="G1263" t="s">
        <v>33</v>
      </c>
      <c r="H1263" t="s">
        <v>51</v>
      </c>
      <c r="I1263" t="s">
        <v>25</v>
      </c>
      <c r="J1263" t="s">
        <v>15</v>
      </c>
      <c r="K1263" s="2">
        <v>17400</v>
      </c>
      <c r="L1263" s="3">
        <v>29.8</v>
      </c>
      <c r="M1263" s="3">
        <v>68.599999999999994</v>
      </c>
      <c r="N1263" s="3">
        <v>783.3</v>
      </c>
      <c r="O1263" s="2">
        <v>1275</v>
      </c>
      <c r="P1263">
        <v>1</v>
      </c>
      <c r="Q1263" t="s">
        <v>20</v>
      </c>
      <c r="R1263" s="4">
        <v>215.31</v>
      </c>
      <c r="S1263" s="4">
        <v>95.62</v>
      </c>
      <c r="T1263" t="s">
        <v>34</v>
      </c>
      <c r="U1263" s="4">
        <v>19.309999999999999</v>
      </c>
      <c r="V1263" s="4">
        <v>12.374000000000001</v>
      </c>
      <c r="W1263" s="4">
        <v>119.69</v>
      </c>
    </row>
    <row r="1264" spans="1:23" ht="15" customHeight="1" x14ac:dyDescent="0.25">
      <c r="A1264">
        <v>579</v>
      </c>
      <c r="B1264" s="1">
        <v>45866.583333333343</v>
      </c>
      <c r="C1264">
        <v>14</v>
      </c>
      <c r="D1264" t="s">
        <v>57</v>
      </c>
      <c r="E1264">
        <v>7</v>
      </c>
      <c r="F1264" t="s">
        <v>38</v>
      </c>
      <c r="G1264" t="s">
        <v>33</v>
      </c>
      <c r="H1264" t="s">
        <v>54</v>
      </c>
      <c r="I1264" t="s">
        <v>16</v>
      </c>
      <c r="J1264" t="s">
        <v>24</v>
      </c>
      <c r="K1264" s="2">
        <v>8600</v>
      </c>
      <c r="L1264" s="3">
        <v>25</v>
      </c>
      <c r="M1264" s="3">
        <v>68.5</v>
      </c>
      <c r="N1264" s="3">
        <v>709.2</v>
      </c>
      <c r="O1264" s="2">
        <v>41</v>
      </c>
      <c r="P1264">
        <v>0</v>
      </c>
      <c r="Q1264" t="s">
        <v>14</v>
      </c>
      <c r="R1264" s="4">
        <v>10</v>
      </c>
      <c r="S1264" s="4">
        <v>58.19</v>
      </c>
      <c r="T1264" t="s">
        <v>34</v>
      </c>
      <c r="U1264" s="4">
        <v>-3.13</v>
      </c>
      <c r="V1264" s="4">
        <v>1.163</v>
      </c>
      <c r="W1264" s="4">
        <v>0</v>
      </c>
    </row>
    <row r="1265" spans="1:23" ht="15" customHeight="1" x14ac:dyDescent="0.25">
      <c r="A1265">
        <v>947</v>
      </c>
      <c r="B1265" s="1">
        <v>45866.583333333343</v>
      </c>
      <c r="C1265">
        <v>14</v>
      </c>
      <c r="D1265" t="s">
        <v>57</v>
      </c>
      <c r="E1265">
        <v>7</v>
      </c>
      <c r="F1265" t="s">
        <v>38</v>
      </c>
      <c r="G1265" t="s">
        <v>33</v>
      </c>
      <c r="H1265" t="s">
        <v>50</v>
      </c>
      <c r="I1265" t="s">
        <v>22</v>
      </c>
      <c r="J1265" t="s">
        <v>12</v>
      </c>
      <c r="K1265" s="2">
        <v>21000</v>
      </c>
      <c r="L1265" s="3"/>
      <c r="M1265" s="3">
        <v>53.4</v>
      </c>
      <c r="N1265" s="3">
        <v>841.3</v>
      </c>
      <c r="O1265" s="2">
        <v>412</v>
      </c>
      <c r="P1265">
        <v>1</v>
      </c>
      <c r="Q1265" t="s">
        <v>20</v>
      </c>
      <c r="R1265" s="4">
        <v>226.6</v>
      </c>
      <c r="S1265" s="4">
        <v>180.62</v>
      </c>
      <c r="T1265" t="s">
        <v>34</v>
      </c>
      <c r="U1265" s="4">
        <v>7.46</v>
      </c>
      <c r="V1265" s="4">
        <v>10.79</v>
      </c>
      <c r="W1265" s="4">
        <v>45.98</v>
      </c>
    </row>
    <row r="1266" spans="1:23" ht="15" customHeight="1" x14ac:dyDescent="0.25">
      <c r="A1266">
        <v>2051</v>
      </c>
      <c r="B1266" s="1">
        <v>45866.583333333343</v>
      </c>
      <c r="C1266">
        <v>14</v>
      </c>
      <c r="D1266" t="s">
        <v>57</v>
      </c>
      <c r="E1266">
        <v>7</v>
      </c>
      <c r="F1266" t="s">
        <v>38</v>
      </c>
      <c r="G1266" t="s">
        <v>33</v>
      </c>
      <c r="H1266" t="s">
        <v>52</v>
      </c>
      <c r="I1266" t="s">
        <v>13</v>
      </c>
      <c r="J1266" t="s">
        <v>21</v>
      </c>
      <c r="K1266" s="2">
        <v>9800</v>
      </c>
      <c r="L1266" s="3">
        <v>24.8</v>
      </c>
      <c r="M1266" s="3">
        <v>78.599999999999994</v>
      </c>
      <c r="N1266" s="3">
        <v>579.4</v>
      </c>
      <c r="O1266" s="2">
        <v>56</v>
      </c>
      <c r="P1266">
        <v>1</v>
      </c>
      <c r="Q1266" t="s">
        <v>20</v>
      </c>
      <c r="R1266" s="4">
        <v>20.76</v>
      </c>
      <c r="S1266" s="4">
        <v>0</v>
      </c>
      <c r="T1266" t="s">
        <v>34</v>
      </c>
      <c r="U1266" s="4">
        <v>3.29</v>
      </c>
      <c r="V1266" s="4">
        <v>2.1179999999999999</v>
      </c>
      <c r="W1266" s="4">
        <v>20.76</v>
      </c>
    </row>
    <row r="1267" spans="1:23" ht="15" customHeight="1" x14ac:dyDescent="0.25">
      <c r="A1267">
        <v>1683</v>
      </c>
      <c r="B1267" s="1">
        <v>45866.583333333343</v>
      </c>
      <c r="C1267">
        <v>14</v>
      </c>
      <c r="D1267" t="s">
        <v>57</v>
      </c>
      <c r="E1267">
        <v>7</v>
      </c>
      <c r="F1267" t="s">
        <v>38</v>
      </c>
      <c r="G1267" t="s">
        <v>33</v>
      </c>
      <c r="H1267" t="s">
        <v>49</v>
      </c>
      <c r="I1267" t="s">
        <v>27</v>
      </c>
      <c r="J1267" t="s">
        <v>18</v>
      </c>
      <c r="K1267" s="2">
        <v>26000</v>
      </c>
      <c r="L1267" s="3"/>
      <c r="M1267" s="3">
        <v>47.9</v>
      </c>
      <c r="N1267" s="3">
        <v>932.2</v>
      </c>
      <c r="O1267" s="2">
        <v>155</v>
      </c>
      <c r="P1267">
        <v>1</v>
      </c>
      <c r="Q1267" t="s">
        <v>20</v>
      </c>
      <c r="R1267" s="4">
        <v>189.12</v>
      </c>
      <c r="S1267" s="4">
        <v>243.85</v>
      </c>
      <c r="T1267" t="s">
        <v>34</v>
      </c>
      <c r="U1267" s="4">
        <v>-3.59</v>
      </c>
      <c r="V1267" s="4">
        <v>7.274</v>
      </c>
      <c r="W1267" s="4">
        <v>0</v>
      </c>
    </row>
    <row r="1268" spans="1:23" ht="15" customHeight="1" x14ac:dyDescent="0.25">
      <c r="A1268">
        <v>948</v>
      </c>
      <c r="B1268" s="1">
        <v>45866.833333333343</v>
      </c>
      <c r="C1268">
        <v>20</v>
      </c>
      <c r="D1268" t="s">
        <v>57</v>
      </c>
      <c r="E1268">
        <v>7</v>
      </c>
      <c r="F1268" t="s">
        <v>38</v>
      </c>
      <c r="G1268" t="s">
        <v>33</v>
      </c>
      <c r="H1268" t="s">
        <v>50</v>
      </c>
      <c r="I1268" t="s">
        <v>22</v>
      </c>
      <c r="J1268" t="s">
        <v>12</v>
      </c>
      <c r="K1268" s="2">
        <v>21000</v>
      </c>
      <c r="L1268" s="3">
        <v>32.4</v>
      </c>
      <c r="M1268" s="3">
        <v>59.6</v>
      </c>
      <c r="N1268" s="3">
        <v>20.2</v>
      </c>
      <c r="O1268" s="2">
        <v>397</v>
      </c>
      <c r="P1268">
        <v>1</v>
      </c>
      <c r="Q1268" t="s">
        <v>20</v>
      </c>
      <c r="R1268" s="4">
        <v>304.44</v>
      </c>
      <c r="S1268" s="4">
        <v>3.94</v>
      </c>
      <c r="T1268" t="s">
        <v>37</v>
      </c>
      <c r="U1268" s="4">
        <v>75.400000000000006</v>
      </c>
      <c r="V1268" s="4">
        <v>14.497</v>
      </c>
      <c r="W1268" s="4">
        <v>300.5</v>
      </c>
    </row>
    <row r="1269" spans="1:23" ht="15" customHeight="1" x14ac:dyDescent="0.25">
      <c r="A1269">
        <v>212</v>
      </c>
      <c r="B1269" s="1">
        <v>45866.833333333343</v>
      </c>
      <c r="C1269">
        <v>20</v>
      </c>
      <c r="D1269" t="s">
        <v>57</v>
      </c>
      <c r="E1269">
        <v>7</v>
      </c>
      <c r="F1269" t="s">
        <v>38</v>
      </c>
      <c r="G1269" t="s">
        <v>33</v>
      </c>
      <c r="H1269" t="s">
        <v>53</v>
      </c>
      <c r="I1269" t="s">
        <v>19</v>
      </c>
      <c r="J1269" t="s">
        <v>26</v>
      </c>
      <c r="K1269" s="2">
        <v>12500</v>
      </c>
      <c r="L1269" s="3">
        <v>25.5</v>
      </c>
      <c r="M1269" s="3">
        <v>52.7</v>
      </c>
      <c r="N1269" s="3">
        <v>40.200000000000003</v>
      </c>
      <c r="O1269" s="2">
        <v>111</v>
      </c>
      <c r="P1269">
        <v>1</v>
      </c>
      <c r="Q1269" t="s">
        <v>20</v>
      </c>
      <c r="R1269" s="4">
        <v>46.35</v>
      </c>
      <c r="S1269" s="4">
        <v>6.07</v>
      </c>
      <c r="T1269" t="s">
        <v>37</v>
      </c>
      <c r="U1269" s="4">
        <v>9.81</v>
      </c>
      <c r="V1269" s="4">
        <v>3.7080000000000002</v>
      </c>
      <c r="W1269" s="4">
        <v>40.28</v>
      </c>
    </row>
    <row r="1270" spans="1:23" ht="15" customHeight="1" x14ac:dyDescent="0.25">
      <c r="A1270">
        <v>1684</v>
      </c>
      <c r="B1270" s="1">
        <v>45866.833333333343</v>
      </c>
      <c r="C1270">
        <v>20</v>
      </c>
      <c r="D1270" t="s">
        <v>57</v>
      </c>
      <c r="E1270">
        <v>7</v>
      </c>
      <c r="F1270" t="s">
        <v>38</v>
      </c>
      <c r="G1270" t="s">
        <v>33</v>
      </c>
      <c r="H1270" t="s">
        <v>49</v>
      </c>
      <c r="I1270" t="s">
        <v>27</v>
      </c>
      <c r="J1270" t="s">
        <v>18</v>
      </c>
      <c r="K1270" s="2">
        <v>26000</v>
      </c>
      <c r="L1270" s="3">
        <v>27.1</v>
      </c>
      <c r="M1270" s="3">
        <v>64.8</v>
      </c>
      <c r="N1270" s="3">
        <v>19.8</v>
      </c>
      <c r="O1270" s="2">
        <v>152</v>
      </c>
      <c r="P1270">
        <v>1</v>
      </c>
      <c r="Q1270" t="s">
        <v>20</v>
      </c>
      <c r="R1270" s="4">
        <v>242</v>
      </c>
      <c r="S1270" s="4">
        <v>5.34</v>
      </c>
      <c r="T1270" t="s">
        <v>37</v>
      </c>
      <c r="U1270" s="4">
        <v>57.11</v>
      </c>
      <c r="V1270" s="4">
        <v>9.3079999999999998</v>
      </c>
      <c r="W1270" s="4">
        <v>236.66</v>
      </c>
    </row>
    <row r="1271" spans="1:23" ht="15" customHeight="1" x14ac:dyDescent="0.25">
      <c r="A1271">
        <v>1316</v>
      </c>
      <c r="B1271" s="1">
        <v>45866.833333333343</v>
      </c>
      <c r="C1271">
        <v>20</v>
      </c>
      <c r="D1271" t="s">
        <v>57</v>
      </c>
      <c r="E1271">
        <v>7</v>
      </c>
      <c r="F1271" t="s">
        <v>38</v>
      </c>
      <c r="G1271" t="s">
        <v>33</v>
      </c>
      <c r="H1271" t="s">
        <v>51</v>
      </c>
      <c r="I1271" t="s">
        <v>25</v>
      </c>
      <c r="J1271" t="s">
        <v>15</v>
      </c>
      <c r="K1271" s="2">
        <v>17400</v>
      </c>
      <c r="L1271" s="3">
        <v>29.5</v>
      </c>
      <c r="M1271" s="3">
        <v>50.7</v>
      </c>
      <c r="N1271" s="3">
        <v>40.9</v>
      </c>
      <c r="O1271" s="2">
        <v>1380</v>
      </c>
      <c r="P1271">
        <v>1</v>
      </c>
      <c r="Q1271" t="s">
        <v>20</v>
      </c>
      <c r="R1271" s="4">
        <v>292.74</v>
      </c>
      <c r="S1271" s="4">
        <v>4.99</v>
      </c>
      <c r="T1271" t="s">
        <v>37</v>
      </c>
      <c r="U1271" s="4">
        <v>67.790000000000006</v>
      </c>
      <c r="V1271" s="4">
        <v>16.824000000000002</v>
      </c>
      <c r="W1271" s="4">
        <v>287.75</v>
      </c>
    </row>
    <row r="1272" spans="1:23" ht="15" customHeight="1" x14ac:dyDescent="0.25">
      <c r="A1272">
        <v>2052</v>
      </c>
      <c r="B1272" s="1">
        <v>45866.833333333343</v>
      </c>
      <c r="C1272">
        <v>20</v>
      </c>
      <c r="D1272" t="s">
        <v>57</v>
      </c>
      <c r="E1272">
        <v>7</v>
      </c>
      <c r="F1272" t="s">
        <v>38</v>
      </c>
      <c r="G1272" t="s">
        <v>33</v>
      </c>
      <c r="H1272" t="s">
        <v>52</v>
      </c>
      <c r="I1272" t="s">
        <v>13</v>
      </c>
      <c r="J1272" t="s">
        <v>21</v>
      </c>
      <c r="K1272" s="2">
        <v>9800</v>
      </c>
      <c r="L1272" s="3">
        <v>19.899999999999999</v>
      </c>
      <c r="M1272" s="3">
        <v>73.5</v>
      </c>
      <c r="N1272" s="3">
        <v>11.6</v>
      </c>
      <c r="O1272" s="2">
        <v>299</v>
      </c>
      <c r="P1272">
        <v>0</v>
      </c>
      <c r="Q1272" t="s">
        <v>14</v>
      </c>
      <c r="R1272" s="4">
        <v>99.97</v>
      </c>
      <c r="S1272" s="4">
        <v>0</v>
      </c>
      <c r="T1272" t="s">
        <v>37</v>
      </c>
      <c r="U1272" s="4">
        <v>24.45</v>
      </c>
      <c r="V1272" s="4">
        <v>10.201000000000001</v>
      </c>
      <c r="W1272" s="4">
        <v>99.97</v>
      </c>
    </row>
    <row r="1273" spans="1:23" ht="15" customHeight="1" x14ac:dyDescent="0.25">
      <c r="A1273">
        <v>580</v>
      </c>
      <c r="B1273" s="1">
        <v>45866.833333333343</v>
      </c>
      <c r="C1273">
        <v>20</v>
      </c>
      <c r="D1273" t="s">
        <v>57</v>
      </c>
      <c r="E1273">
        <v>7</v>
      </c>
      <c r="F1273" t="s">
        <v>38</v>
      </c>
      <c r="G1273" t="s">
        <v>33</v>
      </c>
      <c r="H1273" t="s">
        <v>54</v>
      </c>
      <c r="I1273" t="s">
        <v>16</v>
      </c>
      <c r="J1273" t="s">
        <v>24</v>
      </c>
      <c r="K1273" s="2">
        <v>8600</v>
      </c>
      <c r="L1273" s="3">
        <v>20.399999999999999</v>
      </c>
      <c r="M1273" s="3">
        <v>84.7</v>
      </c>
      <c r="N1273" s="3">
        <v>55.8</v>
      </c>
      <c r="O1273" s="2">
        <v>66</v>
      </c>
      <c r="P1273">
        <v>0</v>
      </c>
      <c r="Q1273" t="s">
        <v>14</v>
      </c>
      <c r="R1273" s="4">
        <v>15.46</v>
      </c>
      <c r="S1273" s="4">
        <v>3.97</v>
      </c>
      <c r="T1273" t="s">
        <v>37</v>
      </c>
      <c r="U1273" s="4">
        <v>2.84</v>
      </c>
      <c r="V1273" s="4">
        <v>1.798</v>
      </c>
      <c r="W1273" s="4">
        <v>11.49</v>
      </c>
    </row>
    <row r="1274" spans="1:23" ht="15" customHeight="1" x14ac:dyDescent="0.25">
      <c r="A1274">
        <v>1685</v>
      </c>
      <c r="B1274" s="1">
        <v>45870</v>
      </c>
      <c r="C1274">
        <v>0</v>
      </c>
      <c r="D1274" t="s">
        <v>58</v>
      </c>
      <c r="E1274">
        <v>8</v>
      </c>
      <c r="F1274" t="s">
        <v>38</v>
      </c>
      <c r="G1274" t="s">
        <v>33</v>
      </c>
      <c r="H1274" t="s">
        <v>49</v>
      </c>
      <c r="I1274" t="s">
        <v>27</v>
      </c>
      <c r="J1274" t="s">
        <v>18</v>
      </c>
      <c r="K1274" s="2">
        <v>26000</v>
      </c>
      <c r="L1274" s="3">
        <v>18.8</v>
      </c>
      <c r="M1274" s="3">
        <v>52.2</v>
      </c>
      <c r="N1274" s="3">
        <v>0</v>
      </c>
      <c r="O1274" s="2">
        <v>50</v>
      </c>
      <c r="P1274">
        <v>0</v>
      </c>
      <c r="Q1274" t="s">
        <v>14</v>
      </c>
      <c r="R1274" s="4">
        <v>113.75</v>
      </c>
      <c r="S1274" s="4">
        <v>0</v>
      </c>
      <c r="T1274" t="s">
        <v>31</v>
      </c>
      <c r="U1274" s="4">
        <v>11.53</v>
      </c>
      <c r="V1274" s="4">
        <v>4.375</v>
      </c>
      <c r="W1274" s="4">
        <v>113.75</v>
      </c>
    </row>
    <row r="1275" spans="1:23" ht="15" customHeight="1" x14ac:dyDescent="0.25">
      <c r="A1275">
        <v>2053</v>
      </c>
      <c r="B1275" s="1">
        <v>45870</v>
      </c>
      <c r="C1275">
        <v>0</v>
      </c>
      <c r="D1275" t="s">
        <v>58</v>
      </c>
      <c r="E1275">
        <v>8</v>
      </c>
      <c r="F1275" t="s">
        <v>38</v>
      </c>
      <c r="G1275" t="s">
        <v>33</v>
      </c>
      <c r="H1275" t="s">
        <v>52</v>
      </c>
      <c r="I1275" t="s">
        <v>13</v>
      </c>
      <c r="J1275" t="s">
        <v>21</v>
      </c>
      <c r="K1275" s="2">
        <v>9800</v>
      </c>
      <c r="L1275" s="3">
        <v>19.3</v>
      </c>
      <c r="M1275" s="3">
        <v>67.3</v>
      </c>
      <c r="N1275" s="3">
        <v>0</v>
      </c>
      <c r="O1275" s="2">
        <v>325</v>
      </c>
      <c r="P1275">
        <v>0</v>
      </c>
      <c r="Q1275" t="s">
        <v>14</v>
      </c>
      <c r="R1275" s="4">
        <v>96.89</v>
      </c>
      <c r="S1275" s="4">
        <v>0</v>
      </c>
      <c r="T1275" t="s">
        <v>31</v>
      </c>
      <c r="U1275" s="4">
        <v>9.57</v>
      </c>
      <c r="V1275" s="4">
        <v>9.8870000000000005</v>
      </c>
      <c r="W1275" s="4">
        <v>96.89</v>
      </c>
    </row>
    <row r="1276" spans="1:23" ht="15" customHeight="1" x14ac:dyDescent="0.25">
      <c r="A1276">
        <v>949</v>
      </c>
      <c r="B1276" s="1">
        <v>45870</v>
      </c>
      <c r="C1276">
        <v>0</v>
      </c>
      <c r="D1276" t="s">
        <v>58</v>
      </c>
      <c r="E1276">
        <v>8</v>
      </c>
      <c r="F1276" t="s">
        <v>38</v>
      </c>
      <c r="G1276" t="s">
        <v>33</v>
      </c>
      <c r="H1276" t="s">
        <v>50</v>
      </c>
      <c r="I1276" t="s">
        <v>22</v>
      </c>
      <c r="J1276" t="s">
        <v>12</v>
      </c>
      <c r="K1276" s="2">
        <v>21000</v>
      </c>
      <c r="L1276" s="3">
        <v>21</v>
      </c>
      <c r="M1276" s="3">
        <v>62.6</v>
      </c>
      <c r="N1276" s="3">
        <v>0</v>
      </c>
      <c r="O1276" s="2">
        <v>241</v>
      </c>
      <c r="P1276">
        <v>0</v>
      </c>
      <c r="Q1276" t="s">
        <v>14</v>
      </c>
      <c r="R1276" s="4">
        <v>180.94</v>
      </c>
      <c r="S1276" s="4">
        <v>0</v>
      </c>
      <c r="T1276" t="s">
        <v>31</v>
      </c>
      <c r="U1276" s="4">
        <v>18.47</v>
      </c>
      <c r="V1276" s="4">
        <v>8.6159999999999997</v>
      </c>
      <c r="W1276" s="4">
        <v>180.94</v>
      </c>
    </row>
    <row r="1277" spans="1:23" ht="15" customHeight="1" x14ac:dyDescent="0.25">
      <c r="A1277">
        <v>213</v>
      </c>
      <c r="B1277" s="1">
        <v>45870</v>
      </c>
      <c r="C1277">
        <v>0</v>
      </c>
      <c r="D1277" t="s">
        <v>58</v>
      </c>
      <c r="E1277">
        <v>8</v>
      </c>
      <c r="F1277" t="s">
        <v>38</v>
      </c>
      <c r="G1277" t="s">
        <v>33</v>
      </c>
      <c r="H1277" t="s">
        <v>53</v>
      </c>
      <c r="I1277" t="s">
        <v>19</v>
      </c>
      <c r="J1277" t="s">
        <v>26</v>
      </c>
      <c r="K1277" s="2">
        <v>12500</v>
      </c>
      <c r="L1277" s="3">
        <v>19.2</v>
      </c>
      <c r="M1277" s="3">
        <v>51.6</v>
      </c>
      <c r="N1277" s="3">
        <v>0</v>
      </c>
      <c r="O1277" s="2">
        <v>0</v>
      </c>
      <c r="P1277">
        <v>0</v>
      </c>
      <c r="Q1277" t="s">
        <v>14</v>
      </c>
      <c r="R1277" s="4">
        <v>21.97</v>
      </c>
      <c r="S1277" s="4">
        <v>0</v>
      </c>
      <c r="T1277" t="s">
        <v>31</v>
      </c>
      <c r="U1277" s="4">
        <v>2.15</v>
      </c>
      <c r="V1277" s="4">
        <v>1.758</v>
      </c>
      <c r="W1277" s="4">
        <v>21.97</v>
      </c>
    </row>
    <row r="1278" spans="1:23" ht="15" customHeight="1" x14ac:dyDescent="0.25">
      <c r="A1278">
        <v>581</v>
      </c>
      <c r="B1278" s="1">
        <v>45870</v>
      </c>
      <c r="C1278">
        <v>0</v>
      </c>
      <c r="D1278" t="s">
        <v>58</v>
      </c>
      <c r="E1278">
        <v>8</v>
      </c>
      <c r="F1278" t="s">
        <v>38</v>
      </c>
      <c r="G1278" t="s">
        <v>33</v>
      </c>
      <c r="H1278" t="s">
        <v>54</v>
      </c>
      <c r="I1278" t="s">
        <v>16</v>
      </c>
      <c r="J1278" t="s">
        <v>24</v>
      </c>
      <c r="K1278" s="2">
        <v>8600</v>
      </c>
      <c r="L1278" s="3">
        <v>14.7</v>
      </c>
      <c r="M1278" s="3">
        <v>94</v>
      </c>
      <c r="N1278" s="3">
        <v>0</v>
      </c>
      <c r="O1278" s="2"/>
      <c r="P1278">
        <v>0</v>
      </c>
      <c r="Q1278" t="s">
        <v>14</v>
      </c>
      <c r="R1278" s="4">
        <v>12.61</v>
      </c>
      <c r="S1278" s="4">
        <v>0</v>
      </c>
      <c r="T1278" t="s">
        <v>31</v>
      </c>
      <c r="U1278" s="4">
        <v>1.23</v>
      </c>
      <c r="V1278" s="4">
        <v>1.466</v>
      </c>
      <c r="W1278" s="4">
        <v>12.61</v>
      </c>
    </row>
    <row r="1279" spans="1:23" ht="15" customHeight="1" x14ac:dyDescent="0.25">
      <c r="A1279">
        <v>1317</v>
      </c>
      <c r="B1279" s="1">
        <v>45870</v>
      </c>
      <c r="C1279">
        <v>0</v>
      </c>
      <c r="D1279" t="s">
        <v>58</v>
      </c>
      <c r="E1279">
        <v>8</v>
      </c>
      <c r="F1279" t="s">
        <v>38</v>
      </c>
      <c r="G1279" t="s">
        <v>33</v>
      </c>
      <c r="H1279" t="s">
        <v>51</v>
      </c>
      <c r="I1279" t="s">
        <v>25</v>
      </c>
      <c r="J1279" t="s">
        <v>15</v>
      </c>
      <c r="K1279" s="2">
        <v>17400</v>
      </c>
      <c r="L1279" s="3">
        <v>21.4</v>
      </c>
      <c r="M1279" s="3">
        <v>71.7</v>
      </c>
      <c r="N1279" s="3">
        <v>0</v>
      </c>
      <c r="O1279" s="2">
        <v>171</v>
      </c>
      <c r="P1279">
        <v>0</v>
      </c>
      <c r="Q1279" t="s">
        <v>14</v>
      </c>
      <c r="R1279" s="4">
        <v>56.76</v>
      </c>
      <c r="S1279" s="4">
        <v>0</v>
      </c>
      <c r="T1279" t="s">
        <v>31</v>
      </c>
      <c r="U1279" s="4">
        <v>5.64</v>
      </c>
      <c r="V1279" s="4">
        <v>3.262</v>
      </c>
      <c r="W1279" s="4">
        <v>56.76</v>
      </c>
    </row>
    <row r="1280" spans="1:23" ht="15" customHeight="1" x14ac:dyDescent="0.25">
      <c r="A1280">
        <v>582</v>
      </c>
      <c r="B1280" s="1">
        <v>45870.333333333343</v>
      </c>
      <c r="C1280">
        <v>8</v>
      </c>
      <c r="D1280" t="s">
        <v>58</v>
      </c>
      <c r="E1280">
        <v>8</v>
      </c>
      <c r="F1280" t="s">
        <v>38</v>
      </c>
      <c r="G1280" t="s">
        <v>33</v>
      </c>
      <c r="H1280" t="s">
        <v>54</v>
      </c>
      <c r="I1280" t="s">
        <v>16</v>
      </c>
      <c r="J1280" t="s">
        <v>24</v>
      </c>
      <c r="K1280" s="2">
        <v>8600</v>
      </c>
      <c r="L1280" s="3">
        <v>22.3</v>
      </c>
      <c r="M1280" s="3">
        <v>90.7</v>
      </c>
      <c r="N1280" s="3">
        <v>180.3</v>
      </c>
      <c r="O1280" s="2">
        <v>40</v>
      </c>
      <c r="P1280">
        <v>0</v>
      </c>
      <c r="Q1280" t="s">
        <v>14</v>
      </c>
      <c r="R1280" s="4">
        <v>9.73</v>
      </c>
      <c r="S1280" s="4">
        <v>14.45</v>
      </c>
      <c r="T1280" t="s">
        <v>34</v>
      </c>
      <c r="U1280" s="4">
        <v>-0.31</v>
      </c>
      <c r="V1280" s="4">
        <v>1.131</v>
      </c>
      <c r="W1280" s="4">
        <v>0</v>
      </c>
    </row>
    <row r="1281" spans="1:23" ht="15" customHeight="1" x14ac:dyDescent="0.25">
      <c r="A1281">
        <v>1318</v>
      </c>
      <c r="B1281" s="1">
        <v>45870.333333333343</v>
      </c>
      <c r="C1281">
        <v>8</v>
      </c>
      <c r="D1281" t="s">
        <v>58</v>
      </c>
      <c r="E1281">
        <v>8</v>
      </c>
      <c r="F1281" t="s">
        <v>38</v>
      </c>
      <c r="G1281" t="s">
        <v>33</v>
      </c>
      <c r="H1281" t="s">
        <v>51</v>
      </c>
      <c r="I1281" t="s">
        <v>25</v>
      </c>
      <c r="J1281" t="s">
        <v>15</v>
      </c>
      <c r="K1281" s="2">
        <v>17400</v>
      </c>
      <c r="L1281" s="3">
        <v>23.7</v>
      </c>
      <c r="M1281" s="3">
        <v>72.7</v>
      </c>
      <c r="N1281" s="3">
        <v>291.2</v>
      </c>
      <c r="O1281" s="2">
        <v>14</v>
      </c>
      <c r="P1281">
        <v>0</v>
      </c>
      <c r="Q1281" t="s">
        <v>14</v>
      </c>
      <c r="R1281" s="4">
        <v>35.479999999999997</v>
      </c>
      <c r="S1281" s="4">
        <v>35.1</v>
      </c>
      <c r="T1281" t="s">
        <v>34</v>
      </c>
      <c r="U1281" s="4">
        <v>0.06</v>
      </c>
      <c r="V1281" s="4">
        <v>2.0390000000000001</v>
      </c>
      <c r="W1281" s="4">
        <v>0.38</v>
      </c>
    </row>
    <row r="1282" spans="1:23" ht="15" customHeight="1" x14ac:dyDescent="0.25">
      <c r="A1282">
        <v>2054</v>
      </c>
      <c r="B1282" s="1">
        <v>45870.333333333343</v>
      </c>
      <c r="C1282">
        <v>8</v>
      </c>
      <c r="D1282" t="s">
        <v>58</v>
      </c>
      <c r="E1282">
        <v>8</v>
      </c>
      <c r="F1282" t="s">
        <v>38</v>
      </c>
      <c r="G1282" t="s">
        <v>33</v>
      </c>
      <c r="H1282" t="s">
        <v>52</v>
      </c>
      <c r="I1282" t="s">
        <v>13</v>
      </c>
      <c r="J1282" t="s">
        <v>21</v>
      </c>
      <c r="K1282" s="2">
        <v>9800</v>
      </c>
      <c r="L1282" s="3">
        <v>22.9</v>
      </c>
      <c r="M1282" s="3">
        <v>83.5</v>
      </c>
      <c r="N1282" s="3">
        <v>348.8</v>
      </c>
      <c r="O1282" s="2">
        <v>79</v>
      </c>
      <c r="P1282">
        <v>0</v>
      </c>
      <c r="Q1282" t="s">
        <v>14</v>
      </c>
      <c r="R1282" s="4">
        <v>21.13</v>
      </c>
      <c r="S1282" s="4">
        <v>0</v>
      </c>
      <c r="T1282" t="s">
        <v>34</v>
      </c>
      <c r="U1282" s="4">
        <v>3.4</v>
      </c>
      <c r="V1282" s="4">
        <v>2.1560000000000001</v>
      </c>
      <c r="W1282" s="4">
        <v>21.13</v>
      </c>
    </row>
    <row r="1283" spans="1:23" ht="15" customHeight="1" x14ac:dyDescent="0.25">
      <c r="A1283">
        <v>214</v>
      </c>
      <c r="B1283" s="1">
        <v>45870.333333333343</v>
      </c>
      <c r="C1283">
        <v>8</v>
      </c>
      <c r="D1283" t="s">
        <v>58</v>
      </c>
      <c r="E1283">
        <v>8</v>
      </c>
      <c r="F1283" t="s">
        <v>38</v>
      </c>
      <c r="G1283" t="s">
        <v>33</v>
      </c>
      <c r="H1283" t="s">
        <v>53</v>
      </c>
      <c r="I1283" t="s">
        <v>19</v>
      </c>
      <c r="J1283" t="s">
        <v>26</v>
      </c>
      <c r="K1283" s="2">
        <v>12500</v>
      </c>
      <c r="L1283" s="3">
        <v>28.1</v>
      </c>
      <c r="M1283" s="3">
        <v>42.1</v>
      </c>
      <c r="N1283" s="3">
        <v>410.1</v>
      </c>
      <c r="O1283" s="2">
        <v>391</v>
      </c>
      <c r="P1283">
        <v>1</v>
      </c>
      <c r="Q1283" t="s">
        <v>20</v>
      </c>
      <c r="R1283" s="4">
        <v>78.05</v>
      </c>
      <c r="S1283" s="4">
        <v>63.65</v>
      </c>
      <c r="T1283" t="s">
        <v>34</v>
      </c>
      <c r="U1283" s="4">
        <v>2.2599999999999998</v>
      </c>
      <c r="V1283" s="4">
        <v>6.2439999999999998</v>
      </c>
      <c r="W1283" s="4">
        <v>14.4</v>
      </c>
    </row>
    <row r="1284" spans="1:23" ht="15" customHeight="1" x14ac:dyDescent="0.25">
      <c r="A1284">
        <v>950</v>
      </c>
      <c r="B1284" s="1">
        <v>45870.333333333343</v>
      </c>
      <c r="C1284">
        <v>8</v>
      </c>
      <c r="D1284" t="s">
        <v>58</v>
      </c>
      <c r="E1284">
        <v>8</v>
      </c>
      <c r="F1284" t="s">
        <v>38</v>
      </c>
      <c r="G1284" t="s">
        <v>33</v>
      </c>
      <c r="H1284" t="s">
        <v>50</v>
      </c>
      <c r="I1284" t="s">
        <v>22</v>
      </c>
      <c r="J1284" t="s">
        <v>12</v>
      </c>
      <c r="K1284" s="2">
        <v>21000</v>
      </c>
      <c r="L1284" s="3">
        <v>31.1</v>
      </c>
      <c r="M1284" s="3">
        <v>39.799999999999997</v>
      </c>
      <c r="N1284" s="3">
        <v>391.6</v>
      </c>
      <c r="O1284" s="2">
        <v>457</v>
      </c>
      <c r="P1284">
        <v>1</v>
      </c>
      <c r="Q1284" t="s">
        <v>20</v>
      </c>
      <c r="R1284" s="4">
        <v>224.79</v>
      </c>
      <c r="S1284" s="4">
        <v>79.95</v>
      </c>
      <c r="T1284" t="s">
        <v>34</v>
      </c>
      <c r="U1284" s="4">
        <v>22.94</v>
      </c>
      <c r="V1284" s="4">
        <v>10.704000000000001</v>
      </c>
      <c r="W1284" s="4">
        <v>144.84</v>
      </c>
    </row>
    <row r="1285" spans="1:23" ht="15" customHeight="1" x14ac:dyDescent="0.25">
      <c r="A1285">
        <v>1686</v>
      </c>
      <c r="B1285" s="1">
        <v>45870.333333333343</v>
      </c>
      <c r="C1285">
        <v>8</v>
      </c>
      <c r="D1285" t="s">
        <v>58</v>
      </c>
      <c r="E1285">
        <v>8</v>
      </c>
      <c r="F1285" t="s">
        <v>38</v>
      </c>
      <c r="G1285" t="s">
        <v>33</v>
      </c>
      <c r="H1285" t="s">
        <v>49</v>
      </c>
      <c r="I1285" t="s">
        <v>27</v>
      </c>
      <c r="J1285" t="s">
        <v>18</v>
      </c>
      <c r="K1285" s="2">
        <v>26000</v>
      </c>
      <c r="L1285" s="3">
        <v>24.2</v>
      </c>
      <c r="M1285" s="3">
        <v>42.4</v>
      </c>
      <c r="N1285" s="3"/>
      <c r="O1285" s="2"/>
      <c r="P1285">
        <v>1</v>
      </c>
      <c r="Q1285" t="s">
        <v>20</v>
      </c>
      <c r="R1285" s="4">
        <v>174.11</v>
      </c>
      <c r="S1285" s="4">
        <v>110.14</v>
      </c>
      <c r="T1285" t="s">
        <v>34</v>
      </c>
      <c r="U1285" s="4">
        <v>10.77</v>
      </c>
      <c r="V1285" s="4">
        <v>6.6970000000000001</v>
      </c>
      <c r="W1285" s="4">
        <v>63.97</v>
      </c>
    </row>
    <row r="1286" spans="1:23" ht="15" customHeight="1" x14ac:dyDescent="0.25">
      <c r="A1286">
        <v>583</v>
      </c>
      <c r="B1286" s="1">
        <v>45870.583333333343</v>
      </c>
      <c r="C1286">
        <v>14</v>
      </c>
      <c r="D1286" t="s">
        <v>58</v>
      </c>
      <c r="E1286">
        <v>8</v>
      </c>
      <c r="F1286" t="s">
        <v>38</v>
      </c>
      <c r="G1286" t="s">
        <v>33</v>
      </c>
      <c r="H1286" t="s">
        <v>54</v>
      </c>
      <c r="I1286" t="s">
        <v>16</v>
      </c>
      <c r="J1286" t="s">
        <v>24</v>
      </c>
      <c r="K1286" s="2">
        <v>8600</v>
      </c>
      <c r="L1286" s="3">
        <v>25.4</v>
      </c>
      <c r="M1286" s="3">
        <v>82.9</v>
      </c>
      <c r="N1286" s="3">
        <v>514.70000000000005</v>
      </c>
      <c r="O1286" s="2">
        <v>0</v>
      </c>
      <c r="P1286">
        <v>0</v>
      </c>
      <c r="Q1286" t="s">
        <v>14</v>
      </c>
      <c r="R1286" s="4">
        <v>7.49</v>
      </c>
      <c r="S1286" s="4">
        <v>39.479999999999997</v>
      </c>
      <c r="T1286" t="s">
        <v>34</v>
      </c>
      <c r="U1286" s="4">
        <v>-2.08</v>
      </c>
      <c r="V1286" s="4">
        <v>0.871</v>
      </c>
      <c r="W1286" s="4">
        <v>0</v>
      </c>
    </row>
    <row r="1287" spans="1:23" ht="15" customHeight="1" x14ac:dyDescent="0.25">
      <c r="A1287">
        <v>1319</v>
      </c>
      <c r="B1287" s="1">
        <v>45870.583333333343</v>
      </c>
      <c r="C1287">
        <v>14</v>
      </c>
      <c r="D1287" t="s">
        <v>58</v>
      </c>
      <c r="E1287">
        <v>8</v>
      </c>
      <c r="F1287" t="s">
        <v>38</v>
      </c>
      <c r="G1287" t="s">
        <v>33</v>
      </c>
      <c r="H1287" t="s">
        <v>51</v>
      </c>
      <c r="I1287" t="s">
        <v>25</v>
      </c>
      <c r="J1287" t="s">
        <v>15</v>
      </c>
      <c r="K1287" s="2">
        <v>17400</v>
      </c>
      <c r="L1287" s="3">
        <v>29.2</v>
      </c>
      <c r="M1287" s="3">
        <v>56.6</v>
      </c>
      <c r="N1287" s="3">
        <v>916.1</v>
      </c>
      <c r="O1287" s="2">
        <v>1322</v>
      </c>
      <c r="P1287">
        <v>1</v>
      </c>
      <c r="Q1287" t="s">
        <v>20</v>
      </c>
      <c r="R1287" s="4">
        <v>210.54</v>
      </c>
      <c r="S1287" s="4">
        <v>116.29</v>
      </c>
      <c r="T1287" t="s">
        <v>34</v>
      </c>
      <c r="U1287" s="4">
        <v>14.58</v>
      </c>
      <c r="V1287" s="4">
        <v>12.1</v>
      </c>
      <c r="W1287" s="4">
        <v>94.25</v>
      </c>
    </row>
    <row r="1288" spans="1:23" ht="15" customHeight="1" x14ac:dyDescent="0.25">
      <c r="A1288">
        <v>215</v>
      </c>
      <c r="B1288" s="1">
        <v>45870.583333333343</v>
      </c>
      <c r="C1288">
        <v>14</v>
      </c>
      <c r="D1288" t="s">
        <v>58</v>
      </c>
      <c r="E1288">
        <v>8</v>
      </c>
      <c r="F1288" t="s">
        <v>38</v>
      </c>
      <c r="G1288" t="s">
        <v>33</v>
      </c>
      <c r="H1288" t="s">
        <v>53</v>
      </c>
      <c r="I1288" t="s">
        <v>19</v>
      </c>
      <c r="J1288" t="s">
        <v>26</v>
      </c>
      <c r="K1288" s="2">
        <v>12500</v>
      </c>
      <c r="L1288" s="3">
        <v>27.6</v>
      </c>
      <c r="M1288" s="3">
        <v>48.4</v>
      </c>
      <c r="N1288" s="3">
        <v>758.2</v>
      </c>
      <c r="O1288" s="2">
        <v>637</v>
      </c>
      <c r="P1288">
        <v>1</v>
      </c>
      <c r="Q1288" t="s">
        <v>20</v>
      </c>
      <c r="R1288" s="4">
        <v>114.39</v>
      </c>
      <c r="S1288" s="4">
        <v>110.48</v>
      </c>
      <c r="T1288" t="s">
        <v>34</v>
      </c>
      <c r="U1288" s="4">
        <v>0.62</v>
      </c>
      <c r="V1288" s="4">
        <v>9.1509999999999998</v>
      </c>
      <c r="W1288" s="4">
        <v>3.91</v>
      </c>
    </row>
    <row r="1289" spans="1:23" ht="15" customHeight="1" x14ac:dyDescent="0.25">
      <c r="A1289">
        <v>1687</v>
      </c>
      <c r="B1289" s="1">
        <v>45870.583333333343</v>
      </c>
      <c r="C1289">
        <v>14</v>
      </c>
      <c r="D1289" t="s">
        <v>58</v>
      </c>
      <c r="E1289">
        <v>8</v>
      </c>
      <c r="F1289" t="s">
        <v>38</v>
      </c>
      <c r="G1289" t="s">
        <v>33</v>
      </c>
      <c r="H1289" t="s">
        <v>49</v>
      </c>
      <c r="I1289" t="s">
        <v>27</v>
      </c>
      <c r="J1289" t="s">
        <v>18</v>
      </c>
      <c r="K1289" s="2">
        <v>26000</v>
      </c>
      <c r="L1289" s="3">
        <v>30.7</v>
      </c>
      <c r="M1289" s="3">
        <v>49.4</v>
      </c>
      <c r="N1289" s="3">
        <v>731.9</v>
      </c>
      <c r="O1289" s="2">
        <v>182</v>
      </c>
      <c r="P1289">
        <v>1</v>
      </c>
      <c r="Q1289" t="s">
        <v>20</v>
      </c>
      <c r="R1289" s="4">
        <v>177.34</v>
      </c>
      <c r="S1289" s="4">
        <v>205.83</v>
      </c>
      <c r="T1289" t="s">
        <v>34</v>
      </c>
      <c r="U1289" s="4">
        <v>-1.86</v>
      </c>
      <c r="V1289" s="4">
        <v>6.8209999999999997</v>
      </c>
      <c r="W1289" s="4">
        <v>0</v>
      </c>
    </row>
    <row r="1290" spans="1:23" ht="15" customHeight="1" x14ac:dyDescent="0.25">
      <c r="A1290">
        <v>2055</v>
      </c>
      <c r="B1290" s="1">
        <v>45870.583333333343</v>
      </c>
      <c r="C1290">
        <v>14</v>
      </c>
      <c r="D1290" t="s">
        <v>58</v>
      </c>
      <c r="E1290">
        <v>8</v>
      </c>
      <c r="F1290" t="s">
        <v>38</v>
      </c>
      <c r="G1290" t="s">
        <v>33</v>
      </c>
      <c r="H1290" t="s">
        <v>52</v>
      </c>
      <c r="I1290" t="s">
        <v>13</v>
      </c>
      <c r="J1290" t="s">
        <v>21</v>
      </c>
      <c r="K1290" s="2">
        <v>9800</v>
      </c>
      <c r="L1290" s="3">
        <v>30.1</v>
      </c>
      <c r="M1290" s="3">
        <v>74.8</v>
      </c>
      <c r="N1290" s="3">
        <v>827.2</v>
      </c>
      <c r="O1290" s="2">
        <v>68</v>
      </c>
      <c r="P1290">
        <v>1</v>
      </c>
      <c r="Q1290" t="s">
        <v>20</v>
      </c>
      <c r="R1290" s="4">
        <v>26.77</v>
      </c>
      <c r="S1290" s="4">
        <v>0</v>
      </c>
      <c r="T1290" t="s">
        <v>34</v>
      </c>
      <c r="U1290" s="4">
        <v>4.1399999999999997</v>
      </c>
      <c r="V1290" s="4">
        <v>2.7320000000000002</v>
      </c>
      <c r="W1290" s="4">
        <v>26.77</v>
      </c>
    </row>
    <row r="1291" spans="1:23" ht="15" customHeight="1" x14ac:dyDescent="0.25">
      <c r="A1291">
        <v>951</v>
      </c>
      <c r="B1291" s="1">
        <v>45870.583333333343</v>
      </c>
      <c r="C1291">
        <v>14</v>
      </c>
      <c r="D1291" t="s">
        <v>58</v>
      </c>
      <c r="E1291">
        <v>8</v>
      </c>
      <c r="F1291" t="s">
        <v>38</v>
      </c>
      <c r="G1291" t="s">
        <v>33</v>
      </c>
      <c r="H1291" t="s">
        <v>50</v>
      </c>
      <c r="I1291" t="s">
        <v>22</v>
      </c>
      <c r="J1291" t="s">
        <v>12</v>
      </c>
      <c r="K1291" s="2">
        <v>21000</v>
      </c>
      <c r="L1291" s="3">
        <v>39.799999999999997</v>
      </c>
      <c r="M1291" s="3">
        <v>46</v>
      </c>
      <c r="N1291" s="3">
        <v>717.9</v>
      </c>
      <c r="O1291" s="2">
        <v>396</v>
      </c>
      <c r="P1291">
        <v>1</v>
      </c>
      <c r="Q1291" t="s">
        <v>20</v>
      </c>
      <c r="R1291" s="4">
        <v>246.49</v>
      </c>
      <c r="S1291" s="4">
        <v>134.05000000000001</v>
      </c>
      <c r="T1291" t="s">
        <v>34</v>
      </c>
      <c r="U1291" s="4">
        <v>18.47</v>
      </c>
      <c r="V1291" s="4">
        <v>11.738</v>
      </c>
      <c r="W1291" s="4">
        <v>112.44</v>
      </c>
    </row>
    <row r="1292" spans="1:23" ht="15" customHeight="1" x14ac:dyDescent="0.25">
      <c r="A1292">
        <v>216</v>
      </c>
      <c r="B1292" s="1">
        <v>45870.833333333343</v>
      </c>
      <c r="C1292">
        <v>20</v>
      </c>
      <c r="D1292" t="s">
        <v>58</v>
      </c>
      <c r="E1292">
        <v>8</v>
      </c>
      <c r="F1292" t="s">
        <v>38</v>
      </c>
      <c r="G1292" t="s">
        <v>33</v>
      </c>
      <c r="H1292" t="s">
        <v>53</v>
      </c>
      <c r="I1292" t="s">
        <v>19</v>
      </c>
      <c r="J1292" t="s">
        <v>26</v>
      </c>
      <c r="K1292" s="2">
        <v>12500</v>
      </c>
      <c r="L1292" s="3">
        <v>28</v>
      </c>
      <c r="M1292" s="3">
        <v>56.5</v>
      </c>
      <c r="N1292" s="3">
        <v>34.200000000000003</v>
      </c>
      <c r="O1292" s="2">
        <v>95</v>
      </c>
      <c r="P1292">
        <v>1</v>
      </c>
      <c r="Q1292" t="s">
        <v>20</v>
      </c>
      <c r="R1292" s="4">
        <v>51.39</v>
      </c>
      <c r="S1292" s="4">
        <v>5.12</v>
      </c>
      <c r="T1292" t="s">
        <v>37</v>
      </c>
      <c r="U1292" s="4">
        <v>11.55</v>
      </c>
      <c r="V1292" s="4">
        <v>4.1109999999999998</v>
      </c>
      <c r="W1292" s="4">
        <v>46.27</v>
      </c>
    </row>
    <row r="1293" spans="1:23" ht="15" customHeight="1" x14ac:dyDescent="0.25">
      <c r="A1293">
        <v>2056</v>
      </c>
      <c r="B1293" s="1">
        <v>45870.833333333343</v>
      </c>
      <c r="C1293">
        <v>20</v>
      </c>
      <c r="D1293" t="s">
        <v>58</v>
      </c>
      <c r="E1293">
        <v>8</v>
      </c>
      <c r="F1293" t="s">
        <v>38</v>
      </c>
      <c r="G1293" t="s">
        <v>33</v>
      </c>
      <c r="H1293" t="s">
        <v>52</v>
      </c>
      <c r="I1293" t="s">
        <v>13</v>
      </c>
      <c r="J1293" t="s">
        <v>21</v>
      </c>
      <c r="K1293" s="2">
        <v>9800</v>
      </c>
      <c r="L1293" s="3">
        <v>25.6</v>
      </c>
      <c r="M1293" s="3">
        <v>68.5</v>
      </c>
      <c r="N1293" s="3">
        <v>0</v>
      </c>
      <c r="O1293" s="2">
        <v>285</v>
      </c>
      <c r="P1293">
        <v>1</v>
      </c>
      <c r="Q1293" t="s">
        <v>20</v>
      </c>
      <c r="R1293" s="4">
        <v>97.08</v>
      </c>
      <c r="S1293" s="4">
        <v>0</v>
      </c>
      <c r="T1293" t="s">
        <v>37</v>
      </c>
      <c r="U1293" s="4">
        <v>24.29</v>
      </c>
      <c r="V1293" s="4">
        <v>9.9060000000000006</v>
      </c>
      <c r="W1293" s="4">
        <v>97.08</v>
      </c>
    </row>
    <row r="1294" spans="1:23" ht="15" customHeight="1" x14ac:dyDescent="0.25">
      <c r="A1294">
        <v>584</v>
      </c>
      <c r="B1294" s="1">
        <v>45870.833333333343</v>
      </c>
      <c r="C1294">
        <v>20</v>
      </c>
      <c r="D1294" t="s">
        <v>58</v>
      </c>
      <c r="E1294">
        <v>8</v>
      </c>
      <c r="F1294" t="s">
        <v>38</v>
      </c>
      <c r="G1294" t="s">
        <v>33</v>
      </c>
      <c r="H1294" t="s">
        <v>54</v>
      </c>
      <c r="I1294" t="s">
        <v>16</v>
      </c>
      <c r="J1294" t="s">
        <v>24</v>
      </c>
      <c r="K1294" s="2">
        <v>8600</v>
      </c>
      <c r="L1294" s="3">
        <v>21.1</v>
      </c>
      <c r="M1294" s="3">
        <v>80.2</v>
      </c>
      <c r="N1294" s="3">
        <v>0</v>
      </c>
      <c r="O1294" s="2">
        <v>0</v>
      </c>
      <c r="P1294">
        <v>0</v>
      </c>
      <c r="Q1294" t="s">
        <v>14</v>
      </c>
      <c r="R1294" s="4">
        <v>11.45</v>
      </c>
      <c r="S1294" s="4">
        <v>0</v>
      </c>
      <c r="T1294" t="s">
        <v>37</v>
      </c>
      <c r="U1294" s="4">
        <v>2.76</v>
      </c>
      <c r="V1294" s="4">
        <v>1.331</v>
      </c>
      <c r="W1294" s="4">
        <v>11.45</v>
      </c>
    </row>
    <row r="1295" spans="1:23" ht="15" customHeight="1" x14ac:dyDescent="0.25">
      <c r="A1295">
        <v>952</v>
      </c>
      <c r="B1295" s="1">
        <v>45870.833333333343</v>
      </c>
      <c r="C1295">
        <v>20</v>
      </c>
      <c r="D1295" t="s">
        <v>58</v>
      </c>
      <c r="E1295">
        <v>8</v>
      </c>
      <c r="F1295" t="s">
        <v>38</v>
      </c>
      <c r="G1295" t="s">
        <v>33</v>
      </c>
      <c r="H1295" t="s">
        <v>50</v>
      </c>
      <c r="I1295" t="s">
        <v>22</v>
      </c>
      <c r="J1295" t="s">
        <v>12</v>
      </c>
      <c r="K1295" s="2">
        <v>21000</v>
      </c>
      <c r="L1295" s="3">
        <v>31.7</v>
      </c>
      <c r="M1295" s="3">
        <v>28.1</v>
      </c>
      <c r="N1295" s="3">
        <v>0</v>
      </c>
      <c r="O1295" s="2">
        <v>403</v>
      </c>
      <c r="P1295">
        <v>1</v>
      </c>
      <c r="Q1295" t="s">
        <v>20</v>
      </c>
      <c r="R1295" s="4">
        <v>293.24</v>
      </c>
      <c r="S1295" s="4">
        <v>0</v>
      </c>
      <c r="T1295" t="s">
        <v>37</v>
      </c>
      <c r="U1295" s="4">
        <v>71.959999999999994</v>
      </c>
      <c r="V1295" s="4">
        <v>13.964</v>
      </c>
      <c r="W1295" s="4">
        <v>293.24</v>
      </c>
    </row>
    <row r="1296" spans="1:23" ht="15" customHeight="1" x14ac:dyDescent="0.25">
      <c r="A1296">
        <v>1320</v>
      </c>
      <c r="B1296" s="1">
        <v>45870.833333333343</v>
      </c>
      <c r="C1296">
        <v>20</v>
      </c>
      <c r="D1296" t="s">
        <v>58</v>
      </c>
      <c r="E1296">
        <v>8</v>
      </c>
      <c r="F1296" t="s">
        <v>38</v>
      </c>
      <c r="G1296" t="s">
        <v>33</v>
      </c>
      <c r="H1296" t="s">
        <v>51</v>
      </c>
      <c r="I1296" t="s">
        <v>25</v>
      </c>
      <c r="J1296" t="s">
        <v>15</v>
      </c>
      <c r="K1296" s="2">
        <v>17400</v>
      </c>
      <c r="L1296" s="3">
        <v>27.7</v>
      </c>
      <c r="M1296" s="3">
        <v>60.9</v>
      </c>
      <c r="N1296" s="3">
        <v>11.4</v>
      </c>
      <c r="O1296" s="2">
        <v>1297</v>
      </c>
      <c r="P1296">
        <v>1</v>
      </c>
      <c r="Q1296" t="s">
        <v>20</v>
      </c>
      <c r="R1296" s="4">
        <v>282.45</v>
      </c>
      <c r="S1296" s="4">
        <v>1.39</v>
      </c>
      <c r="T1296" t="s">
        <v>37</v>
      </c>
      <c r="U1296" s="4">
        <v>69.59</v>
      </c>
      <c r="V1296" s="4">
        <v>16.233000000000001</v>
      </c>
      <c r="W1296" s="4">
        <v>281.06</v>
      </c>
    </row>
    <row r="1297" spans="1:23" ht="15" customHeight="1" x14ac:dyDescent="0.25">
      <c r="A1297">
        <v>1688</v>
      </c>
      <c r="B1297" s="1">
        <v>45870.833333333343</v>
      </c>
      <c r="C1297">
        <v>20</v>
      </c>
      <c r="D1297" t="s">
        <v>58</v>
      </c>
      <c r="E1297">
        <v>8</v>
      </c>
      <c r="F1297" t="s">
        <v>38</v>
      </c>
      <c r="G1297" t="s">
        <v>33</v>
      </c>
      <c r="H1297" t="s">
        <v>49</v>
      </c>
      <c r="I1297" t="s">
        <v>27</v>
      </c>
      <c r="J1297" t="s">
        <v>18</v>
      </c>
      <c r="K1297" s="2">
        <v>26000</v>
      </c>
      <c r="L1297" s="3">
        <v>25.5</v>
      </c>
      <c r="M1297" s="3">
        <v>54.5</v>
      </c>
      <c r="N1297" s="3">
        <v>19.899999999999999</v>
      </c>
      <c r="O1297" s="2">
        <v>182</v>
      </c>
      <c r="P1297">
        <v>1</v>
      </c>
      <c r="Q1297" t="s">
        <v>20</v>
      </c>
      <c r="R1297" s="4">
        <v>254.26</v>
      </c>
      <c r="S1297" s="4">
        <v>5.42</v>
      </c>
      <c r="T1297" t="s">
        <v>37</v>
      </c>
      <c r="U1297" s="4">
        <v>61.07</v>
      </c>
      <c r="V1297" s="4">
        <v>9.7789999999999999</v>
      </c>
      <c r="W1297" s="4">
        <v>248.84</v>
      </c>
    </row>
    <row r="1298" spans="1:23" ht="15" customHeight="1" x14ac:dyDescent="0.25">
      <c r="A1298">
        <v>217</v>
      </c>
      <c r="B1298" s="1">
        <v>45874</v>
      </c>
      <c r="C1298">
        <v>0</v>
      </c>
      <c r="D1298" t="s">
        <v>59</v>
      </c>
      <c r="E1298">
        <v>8</v>
      </c>
      <c r="F1298" t="s">
        <v>38</v>
      </c>
      <c r="G1298" t="s">
        <v>33</v>
      </c>
      <c r="H1298" t="s">
        <v>53</v>
      </c>
      <c r="I1298" t="s">
        <v>19</v>
      </c>
      <c r="J1298" t="s">
        <v>26</v>
      </c>
      <c r="K1298" s="2">
        <v>12500</v>
      </c>
      <c r="L1298" s="3">
        <v>21.8</v>
      </c>
      <c r="M1298" s="3">
        <v>53.1</v>
      </c>
      <c r="N1298" s="3">
        <v>0</v>
      </c>
      <c r="O1298" s="2">
        <v>29</v>
      </c>
      <c r="P1298">
        <v>0</v>
      </c>
      <c r="Q1298" t="s">
        <v>14</v>
      </c>
      <c r="R1298" s="4">
        <v>25.68</v>
      </c>
      <c r="S1298" s="4">
        <v>0</v>
      </c>
      <c r="T1298" t="s">
        <v>31</v>
      </c>
      <c r="U1298" s="4">
        <v>2.52</v>
      </c>
      <c r="V1298" s="4">
        <v>2.0539999999999998</v>
      </c>
      <c r="W1298" s="4">
        <v>25.68</v>
      </c>
    </row>
    <row r="1299" spans="1:23" ht="15" customHeight="1" x14ac:dyDescent="0.25">
      <c r="A1299">
        <v>953</v>
      </c>
      <c r="B1299" s="1">
        <v>45874</v>
      </c>
      <c r="C1299">
        <v>0</v>
      </c>
      <c r="D1299" t="s">
        <v>59</v>
      </c>
      <c r="E1299">
        <v>8</v>
      </c>
      <c r="F1299" t="s">
        <v>38</v>
      </c>
      <c r="G1299" t="s">
        <v>33</v>
      </c>
      <c r="H1299" t="s">
        <v>50</v>
      </c>
      <c r="I1299" t="s">
        <v>22</v>
      </c>
      <c r="J1299" t="s">
        <v>12</v>
      </c>
      <c r="K1299" s="2">
        <v>21000</v>
      </c>
      <c r="L1299" s="3">
        <v>20.3</v>
      </c>
      <c r="M1299" s="3">
        <v>58.1</v>
      </c>
      <c r="N1299" s="3">
        <v>0</v>
      </c>
      <c r="O1299" s="2">
        <v>203</v>
      </c>
      <c r="P1299">
        <v>0</v>
      </c>
      <c r="Q1299" t="s">
        <v>14</v>
      </c>
      <c r="R1299" s="4">
        <v>166.61</v>
      </c>
      <c r="S1299" s="4">
        <v>0</v>
      </c>
      <c r="T1299" t="s">
        <v>31</v>
      </c>
      <c r="U1299" s="4">
        <v>16.86</v>
      </c>
      <c r="V1299" s="4">
        <v>7.9340000000000002</v>
      </c>
      <c r="W1299" s="4">
        <v>166.61</v>
      </c>
    </row>
    <row r="1300" spans="1:23" ht="15" customHeight="1" x14ac:dyDescent="0.25">
      <c r="A1300">
        <v>1321</v>
      </c>
      <c r="B1300" s="1">
        <v>45874</v>
      </c>
      <c r="C1300">
        <v>0</v>
      </c>
      <c r="D1300" t="s">
        <v>59</v>
      </c>
      <c r="E1300">
        <v>8</v>
      </c>
      <c r="F1300" t="s">
        <v>38</v>
      </c>
      <c r="G1300" t="s">
        <v>33</v>
      </c>
      <c r="H1300" t="s">
        <v>51</v>
      </c>
      <c r="I1300" t="s">
        <v>25</v>
      </c>
      <c r="J1300" t="s">
        <v>15</v>
      </c>
      <c r="K1300" s="2">
        <v>17400</v>
      </c>
      <c r="L1300" s="3">
        <v>21.6</v>
      </c>
      <c r="M1300" s="3">
        <v>75.8</v>
      </c>
      <c r="N1300" s="3">
        <v>0</v>
      </c>
      <c r="O1300" s="2">
        <v>215</v>
      </c>
      <c r="P1300">
        <v>0</v>
      </c>
      <c r="Q1300" t="s">
        <v>14</v>
      </c>
      <c r="R1300" s="4">
        <v>58.18</v>
      </c>
      <c r="S1300" s="4">
        <v>0</v>
      </c>
      <c r="T1300" t="s">
        <v>31</v>
      </c>
      <c r="U1300" s="4">
        <v>5.96</v>
      </c>
      <c r="V1300" s="4">
        <v>3.3439999999999999</v>
      </c>
      <c r="W1300" s="4">
        <v>58.18</v>
      </c>
    </row>
    <row r="1301" spans="1:23" ht="15" customHeight="1" x14ac:dyDescent="0.25">
      <c r="A1301">
        <v>2057</v>
      </c>
      <c r="B1301" s="1">
        <v>45874</v>
      </c>
      <c r="C1301">
        <v>0</v>
      </c>
      <c r="D1301" t="s">
        <v>59</v>
      </c>
      <c r="E1301">
        <v>8</v>
      </c>
      <c r="F1301" t="s">
        <v>38</v>
      </c>
      <c r="G1301" t="s">
        <v>33</v>
      </c>
      <c r="H1301" t="s">
        <v>52</v>
      </c>
      <c r="I1301" t="s">
        <v>13</v>
      </c>
      <c r="J1301" t="s">
        <v>21</v>
      </c>
      <c r="K1301" s="2">
        <v>9800</v>
      </c>
      <c r="L1301" s="3">
        <v>17.7</v>
      </c>
      <c r="M1301" s="3">
        <v>72.900000000000006</v>
      </c>
      <c r="N1301" s="3">
        <v>0</v>
      </c>
      <c r="O1301" s="2">
        <v>306</v>
      </c>
      <c r="P1301">
        <v>0</v>
      </c>
      <c r="Q1301" t="s">
        <v>14</v>
      </c>
      <c r="R1301" s="4">
        <v>92.49</v>
      </c>
      <c r="S1301" s="4">
        <v>0</v>
      </c>
      <c r="T1301" t="s">
        <v>31</v>
      </c>
      <c r="U1301" s="4">
        <v>9.32</v>
      </c>
      <c r="V1301" s="4">
        <v>9.4380000000000006</v>
      </c>
      <c r="W1301" s="4">
        <v>92.49</v>
      </c>
    </row>
    <row r="1302" spans="1:23" ht="15" customHeight="1" x14ac:dyDescent="0.25">
      <c r="A1302">
        <v>1689</v>
      </c>
      <c r="B1302" s="1">
        <v>45874</v>
      </c>
      <c r="C1302">
        <v>0</v>
      </c>
      <c r="D1302" t="s">
        <v>59</v>
      </c>
      <c r="E1302">
        <v>8</v>
      </c>
      <c r="F1302" t="s">
        <v>38</v>
      </c>
      <c r="G1302" t="s">
        <v>33</v>
      </c>
      <c r="H1302" t="s">
        <v>49</v>
      </c>
      <c r="I1302" t="s">
        <v>27</v>
      </c>
      <c r="J1302" t="s">
        <v>18</v>
      </c>
      <c r="K1302" s="2">
        <v>26000</v>
      </c>
      <c r="L1302" s="3">
        <v>23.8</v>
      </c>
      <c r="M1302" s="3">
        <v>46.1</v>
      </c>
      <c r="N1302" s="3">
        <v>0</v>
      </c>
      <c r="O1302" s="2">
        <v>45</v>
      </c>
      <c r="P1302">
        <v>1</v>
      </c>
      <c r="Q1302" t="s">
        <v>23</v>
      </c>
      <c r="R1302" s="4">
        <v>105.33</v>
      </c>
      <c r="S1302" s="4">
        <v>0</v>
      </c>
      <c r="T1302" t="s">
        <v>31</v>
      </c>
      <c r="U1302" s="4">
        <v>10.5</v>
      </c>
      <c r="V1302" s="4">
        <v>4.0510000000000002</v>
      </c>
      <c r="W1302" s="4">
        <v>105.33</v>
      </c>
    </row>
    <row r="1303" spans="1:23" ht="15" customHeight="1" x14ac:dyDescent="0.25">
      <c r="A1303">
        <v>585</v>
      </c>
      <c r="B1303" s="1">
        <v>45874</v>
      </c>
      <c r="C1303">
        <v>0</v>
      </c>
      <c r="D1303" t="s">
        <v>59</v>
      </c>
      <c r="E1303">
        <v>8</v>
      </c>
      <c r="F1303" t="s">
        <v>38</v>
      </c>
      <c r="G1303" t="s">
        <v>33</v>
      </c>
      <c r="H1303" t="s">
        <v>54</v>
      </c>
      <c r="I1303" t="s">
        <v>16</v>
      </c>
      <c r="J1303" t="s">
        <v>24</v>
      </c>
      <c r="K1303" s="2">
        <v>8600</v>
      </c>
      <c r="L1303" s="3">
        <v>17.2</v>
      </c>
      <c r="M1303" s="3">
        <v>82.2</v>
      </c>
      <c r="N1303" s="3">
        <v>0</v>
      </c>
      <c r="O1303" s="2">
        <v>78</v>
      </c>
      <c r="P1303">
        <v>0</v>
      </c>
      <c r="Q1303" t="s">
        <v>14</v>
      </c>
      <c r="R1303" s="4">
        <v>17.25</v>
      </c>
      <c r="S1303" s="4">
        <v>0</v>
      </c>
      <c r="T1303" t="s">
        <v>31</v>
      </c>
      <c r="U1303" s="4">
        <v>1.72</v>
      </c>
      <c r="V1303" s="4">
        <v>2.0059999999999998</v>
      </c>
      <c r="W1303" s="4">
        <v>17.25</v>
      </c>
    </row>
    <row r="1304" spans="1:23" ht="15" customHeight="1" x14ac:dyDescent="0.25">
      <c r="A1304">
        <v>2058</v>
      </c>
      <c r="B1304" s="1">
        <v>45874.333333333343</v>
      </c>
      <c r="C1304">
        <v>8</v>
      </c>
      <c r="D1304" t="s">
        <v>59</v>
      </c>
      <c r="E1304">
        <v>8</v>
      </c>
      <c r="F1304" t="s">
        <v>38</v>
      </c>
      <c r="G1304" t="s">
        <v>33</v>
      </c>
      <c r="H1304" t="s">
        <v>52</v>
      </c>
      <c r="I1304" t="s">
        <v>13</v>
      </c>
      <c r="J1304" t="s">
        <v>21</v>
      </c>
      <c r="K1304" s="2">
        <v>9800</v>
      </c>
      <c r="L1304" s="3"/>
      <c r="M1304" s="3">
        <v>61.4</v>
      </c>
      <c r="N1304" s="3">
        <v>367.1</v>
      </c>
      <c r="O1304" s="2">
        <v>68</v>
      </c>
      <c r="P1304">
        <v>0</v>
      </c>
      <c r="Q1304" t="s">
        <v>14</v>
      </c>
      <c r="R1304" s="4">
        <v>18.48</v>
      </c>
      <c r="S1304" s="4">
        <v>0</v>
      </c>
      <c r="T1304" t="s">
        <v>34</v>
      </c>
      <c r="U1304" s="4">
        <v>2.98</v>
      </c>
      <c r="V1304" s="4">
        <v>1.8859999999999999</v>
      </c>
      <c r="W1304" s="4">
        <v>18.48</v>
      </c>
    </row>
    <row r="1305" spans="1:23" ht="15" customHeight="1" x14ac:dyDescent="0.25">
      <c r="A1305">
        <v>586</v>
      </c>
      <c r="B1305" s="1">
        <v>45874.333333333343</v>
      </c>
      <c r="C1305">
        <v>8</v>
      </c>
      <c r="D1305" t="s">
        <v>59</v>
      </c>
      <c r="E1305">
        <v>8</v>
      </c>
      <c r="F1305" t="s">
        <v>38</v>
      </c>
      <c r="G1305" t="s">
        <v>33</v>
      </c>
      <c r="H1305" t="s">
        <v>54</v>
      </c>
      <c r="I1305" t="s">
        <v>16</v>
      </c>
      <c r="J1305" t="s">
        <v>24</v>
      </c>
      <c r="K1305" s="2">
        <v>8600</v>
      </c>
      <c r="L1305" s="3">
        <v>18.899999999999999</v>
      </c>
      <c r="M1305" s="3">
        <v>88.9</v>
      </c>
      <c r="N1305" s="3">
        <v>284.2</v>
      </c>
      <c r="O1305" s="2">
        <v>19</v>
      </c>
      <c r="P1305">
        <v>0</v>
      </c>
      <c r="Q1305" t="s">
        <v>14</v>
      </c>
      <c r="R1305" s="4">
        <v>9.19</v>
      </c>
      <c r="S1305" s="4">
        <v>21.16</v>
      </c>
      <c r="T1305" t="s">
        <v>34</v>
      </c>
      <c r="U1305" s="4">
        <v>-0.78</v>
      </c>
      <c r="V1305" s="4">
        <v>1.069</v>
      </c>
      <c r="W1305" s="4">
        <v>0</v>
      </c>
    </row>
    <row r="1306" spans="1:23" ht="15" customHeight="1" x14ac:dyDescent="0.25">
      <c r="A1306">
        <v>954</v>
      </c>
      <c r="B1306" s="1">
        <v>45874.333333333343</v>
      </c>
      <c r="C1306">
        <v>8</v>
      </c>
      <c r="D1306" t="s">
        <v>59</v>
      </c>
      <c r="E1306">
        <v>8</v>
      </c>
      <c r="F1306" t="s">
        <v>38</v>
      </c>
      <c r="G1306" t="s">
        <v>33</v>
      </c>
      <c r="H1306" t="s">
        <v>50</v>
      </c>
      <c r="I1306" t="s">
        <v>22</v>
      </c>
      <c r="J1306" t="s">
        <v>12</v>
      </c>
      <c r="K1306" s="2">
        <v>21000</v>
      </c>
      <c r="L1306" s="3">
        <v>26</v>
      </c>
      <c r="M1306" s="3">
        <v>49.1</v>
      </c>
      <c r="N1306" s="3">
        <v>384.3</v>
      </c>
      <c r="O1306" s="2">
        <v>395</v>
      </c>
      <c r="P1306">
        <v>1</v>
      </c>
      <c r="Q1306" t="s">
        <v>20</v>
      </c>
      <c r="R1306" s="4">
        <v>220.67</v>
      </c>
      <c r="S1306" s="4">
        <v>77.72</v>
      </c>
      <c r="T1306" t="s">
        <v>34</v>
      </c>
      <c r="U1306" s="4">
        <v>23.09</v>
      </c>
      <c r="V1306" s="4">
        <v>10.507999999999999</v>
      </c>
      <c r="W1306" s="4">
        <v>142.94999999999999</v>
      </c>
    </row>
    <row r="1307" spans="1:23" ht="15" customHeight="1" x14ac:dyDescent="0.25">
      <c r="A1307">
        <v>1690</v>
      </c>
      <c r="B1307" s="1">
        <v>45874.333333333343</v>
      </c>
      <c r="C1307">
        <v>8</v>
      </c>
      <c r="D1307" t="s">
        <v>59</v>
      </c>
      <c r="E1307">
        <v>8</v>
      </c>
      <c r="F1307" t="s">
        <v>38</v>
      </c>
      <c r="G1307" t="s">
        <v>33</v>
      </c>
      <c r="H1307" t="s">
        <v>49</v>
      </c>
      <c r="I1307" t="s">
        <v>27</v>
      </c>
      <c r="J1307" t="s">
        <v>18</v>
      </c>
      <c r="K1307" s="2">
        <v>26000</v>
      </c>
      <c r="L1307" s="3">
        <v>25.1</v>
      </c>
      <c r="M1307" s="3">
        <v>50</v>
      </c>
      <c r="N1307" s="3">
        <v>320.7</v>
      </c>
      <c r="O1307" s="2">
        <v>164</v>
      </c>
      <c r="P1307">
        <v>1</v>
      </c>
      <c r="Q1307" t="s">
        <v>20</v>
      </c>
      <c r="R1307" s="4">
        <v>154.52000000000001</v>
      </c>
      <c r="S1307" s="4">
        <v>81.69</v>
      </c>
      <c r="T1307" t="s">
        <v>34</v>
      </c>
      <c r="U1307" s="4">
        <v>11.57</v>
      </c>
      <c r="V1307" s="4">
        <v>5.9429999999999996</v>
      </c>
      <c r="W1307" s="4">
        <v>72.83</v>
      </c>
    </row>
    <row r="1308" spans="1:23" ht="15" customHeight="1" x14ac:dyDescent="0.25">
      <c r="A1308">
        <v>218</v>
      </c>
      <c r="B1308" s="1">
        <v>45874.333333333343</v>
      </c>
      <c r="C1308">
        <v>8</v>
      </c>
      <c r="D1308" t="s">
        <v>59</v>
      </c>
      <c r="E1308">
        <v>8</v>
      </c>
      <c r="F1308" t="s">
        <v>38</v>
      </c>
      <c r="G1308" t="s">
        <v>33</v>
      </c>
      <c r="H1308" t="s">
        <v>53</v>
      </c>
      <c r="I1308" t="s">
        <v>19</v>
      </c>
      <c r="J1308" t="s">
        <v>26</v>
      </c>
      <c r="K1308" s="2">
        <v>12500</v>
      </c>
      <c r="L1308" s="3">
        <v>22.4</v>
      </c>
      <c r="M1308" s="3">
        <v>51.6</v>
      </c>
      <c r="N1308" s="3">
        <v>301.5</v>
      </c>
      <c r="O1308" s="2">
        <v>308</v>
      </c>
      <c r="P1308">
        <v>0</v>
      </c>
      <c r="Q1308" t="s">
        <v>14</v>
      </c>
      <c r="R1308" s="4">
        <v>68.06</v>
      </c>
      <c r="S1308" s="4">
        <v>41.27</v>
      </c>
      <c r="T1308" t="s">
        <v>34</v>
      </c>
      <c r="U1308" s="4">
        <v>4.4400000000000004</v>
      </c>
      <c r="V1308" s="4">
        <v>5.4450000000000003</v>
      </c>
      <c r="W1308" s="4">
        <v>26.79</v>
      </c>
    </row>
    <row r="1309" spans="1:23" ht="15" customHeight="1" x14ac:dyDescent="0.25">
      <c r="A1309">
        <v>1322</v>
      </c>
      <c r="B1309" s="1">
        <v>45874.333333333343</v>
      </c>
      <c r="C1309">
        <v>8</v>
      </c>
      <c r="D1309" t="s">
        <v>59</v>
      </c>
      <c r="E1309">
        <v>8</v>
      </c>
      <c r="F1309" t="s">
        <v>38</v>
      </c>
      <c r="G1309" t="s">
        <v>33</v>
      </c>
      <c r="H1309" t="s">
        <v>51</v>
      </c>
      <c r="I1309" t="s">
        <v>25</v>
      </c>
      <c r="J1309" t="s">
        <v>15</v>
      </c>
      <c r="K1309" s="2">
        <v>17400</v>
      </c>
      <c r="L1309" s="3">
        <v>22.6</v>
      </c>
      <c r="M1309" s="3">
        <v>73.3</v>
      </c>
      <c r="N1309" s="3">
        <v>339.9</v>
      </c>
      <c r="O1309" s="2"/>
      <c r="P1309">
        <v>0</v>
      </c>
      <c r="Q1309" t="s">
        <v>14</v>
      </c>
      <c r="R1309" s="4">
        <v>34.17</v>
      </c>
      <c r="S1309" s="4">
        <v>46.08</v>
      </c>
      <c r="T1309" t="s">
        <v>34</v>
      </c>
      <c r="U1309" s="4">
        <v>-0.79</v>
      </c>
      <c r="V1309" s="4">
        <v>1.964</v>
      </c>
      <c r="W1309" s="4">
        <v>0</v>
      </c>
    </row>
    <row r="1310" spans="1:23" ht="15" customHeight="1" x14ac:dyDescent="0.25">
      <c r="A1310">
        <v>1323</v>
      </c>
      <c r="B1310" s="1">
        <v>45874.583333333343</v>
      </c>
      <c r="C1310">
        <v>14</v>
      </c>
      <c r="D1310" t="s">
        <v>59</v>
      </c>
      <c r="E1310">
        <v>8</v>
      </c>
      <c r="F1310" t="s">
        <v>38</v>
      </c>
      <c r="G1310" t="s">
        <v>33</v>
      </c>
      <c r="H1310" t="s">
        <v>51</v>
      </c>
      <c r="I1310" t="s">
        <v>25</v>
      </c>
      <c r="J1310" t="s">
        <v>15</v>
      </c>
      <c r="K1310" s="2">
        <v>17400</v>
      </c>
      <c r="L1310" s="3">
        <v>30.8</v>
      </c>
      <c r="M1310" s="3">
        <v>58.8</v>
      </c>
      <c r="N1310" s="3">
        <v>874.9</v>
      </c>
      <c r="O1310" s="2">
        <v>1260</v>
      </c>
      <c r="P1310">
        <v>1</v>
      </c>
      <c r="Q1310" t="s">
        <v>20</v>
      </c>
      <c r="R1310" s="4">
        <v>209.77</v>
      </c>
      <c r="S1310" s="4">
        <v>94.34</v>
      </c>
      <c r="T1310" t="s">
        <v>34</v>
      </c>
      <c r="U1310" s="4">
        <v>18.21</v>
      </c>
      <c r="V1310" s="4">
        <v>12.055999999999999</v>
      </c>
      <c r="W1310" s="4">
        <v>115.43</v>
      </c>
    </row>
    <row r="1311" spans="1:23" ht="15" customHeight="1" x14ac:dyDescent="0.25">
      <c r="A1311">
        <v>1691</v>
      </c>
      <c r="B1311" s="1">
        <v>45874.583333333343</v>
      </c>
      <c r="C1311">
        <v>14</v>
      </c>
      <c r="D1311" t="s">
        <v>59</v>
      </c>
      <c r="E1311">
        <v>8</v>
      </c>
      <c r="F1311" t="s">
        <v>38</v>
      </c>
      <c r="G1311" t="s">
        <v>33</v>
      </c>
      <c r="H1311" t="s">
        <v>49</v>
      </c>
      <c r="I1311" t="s">
        <v>27</v>
      </c>
      <c r="J1311" t="s">
        <v>18</v>
      </c>
      <c r="K1311" s="2">
        <v>26000</v>
      </c>
      <c r="L1311" s="3">
        <v>27.6</v>
      </c>
      <c r="M1311" s="3">
        <v>56.4</v>
      </c>
      <c r="N1311" s="3">
        <v>821.2</v>
      </c>
      <c r="O1311" s="2">
        <v>158</v>
      </c>
      <c r="P1311">
        <v>1</v>
      </c>
      <c r="Q1311" t="s">
        <v>20</v>
      </c>
      <c r="R1311" s="4">
        <v>167.82</v>
      </c>
      <c r="S1311" s="4">
        <v>212.54</v>
      </c>
      <c r="T1311" t="s">
        <v>34</v>
      </c>
      <c r="U1311" s="4">
        <v>-2.86</v>
      </c>
      <c r="V1311" s="4">
        <v>6.4550000000000001</v>
      </c>
      <c r="W1311" s="4">
        <v>0</v>
      </c>
    </row>
    <row r="1312" spans="1:23" ht="15" customHeight="1" x14ac:dyDescent="0.25">
      <c r="A1312">
        <v>955</v>
      </c>
      <c r="B1312" s="1">
        <v>45874.583333333343</v>
      </c>
      <c r="C1312">
        <v>14</v>
      </c>
      <c r="D1312" t="s">
        <v>59</v>
      </c>
      <c r="E1312">
        <v>8</v>
      </c>
      <c r="F1312" t="s">
        <v>38</v>
      </c>
      <c r="G1312" t="s">
        <v>33</v>
      </c>
      <c r="H1312" t="s">
        <v>50</v>
      </c>
      <c r="I1312" t="s">
        <v>22</v>
      </c>
      <c r="J1312" t="s">
        <v>12</v>
      </c>
      <c r="K1312" s="2">
        <v>21000</v>
      </c>
      <c r="L1312" s="3">
        <v>34</v>
      </c>
      <c r="M1312" s="3">
        <v>47</v>
      </c>
      <c r="N1312" s="3">
        <v>896.2</v>
      </c>
      <c r="O1312" s="2">
        <v>369</v>
      </c>
      <c r="P1312">
        <v>1</v>
      </c>
      <c r="Q1312" t="s">
        <v>20</v>
      </c>
      <c r="R1312" s="4">
        <v>244.45</v>
      </c>
      <c r="S1312" s="4">
        <v>182.33</v>
      </c>
      <c r="T1312" t="s">
        <v>34</v>
      </c>
      <c r="U1312" s="4">
        <v>9.9600000000000009</v>
      </c>
      <c r="V1312" s="4">
        <v>11.64</v>
      </c>
      <c r="W1312" s="4">
        <v>62.12</v>
      </c>
    </row>
    <row r="1313" spans="1:23" ht="15" customHeight="1" x14ac:dyDescent="0.25">
      <c r="A1313">
        <v>587</v>
      </c>
      <c r="B1313" s="1">
        <v>45874.583333333343</v>
      </c>
      <c r="C1313">
        <v>14</v>
      </c>
      <c r="D1313" t="s">
        <v>59</v>
      </c>
      <c r="E1313">
        <v>8</v>
      </c>
      <c r="F1313" t="s">
        <v>38</v>
      </c>
      <c r="G1313" t="s">
        <v>33</v>
      </c>
      <c r="H1313" t="s">
        <v>54</v>
      </c>
      <c r="I1313" t="s">
        <v>16</v>
      </c>
      <c r="J1313" t="s">
        <v>24</v>
      </c>
      <c r="K1313" s="2">
        <v>8600</v>
      </c>
      <c r="L1313" s="3">
        <v>20.100000000000001</v>
      </c>
      <c r="M1313" s="3">
        <v>80.400000000000006</v>
      </c>
      <c r="N1313" s="3">
        <v>628.5</v>
      </c>
      <c r="O1313" s="2">
        <v>0</v>
      </c>
      <c r="P1313">
        <v>0</v>
      </c>
      <c r="Q1313" t="s">
        <v>14</v>
      </c>
      <c r="R1313" s="4">
        <v>7.26</v>
      </c>
      <c r="S1313" s="4">
        <v>45.88</v>
      </c>
      <c r="T1313" t="s">
        <v>34</v>
      </c>
      <c r="U1313" s="4">
        <v>-2.58</v>
      </c>
      <c r="V1313" s="4">
        <v>0.84399999999999997</v>
      </c>
      <c r="W1313" s="4">
        <v>0</v>
      </c>
    </row>
    <row r="1314" spans="1:23" ht="15" customHeight="1" x14ac:dyDescent="0.25">
      <c r="A1314">
        <v>2059</v>
      </c>
      <c r="B1314" s="1">
        <v>45874.583333333343</v>
      </c>
      <c r="C1314">
        <v>14</v>
      </c>
      <c r="D1314" t="s">
        <v>59</v>
      </c>
      <c r="E1314">
        <v>8</v>
      </c>
      <c r="F1314" t="s">
        <v>38</v>
      </c>
      <c r="G1314" t="s">
        <v>33</v>
      </c>
      <c r="H1314" t="s">
        <v>52</v>
      </c>
      <c r="I1314" t="s">
        <v>13</v>
      </c>
      <c r="J1314" t="s">
        <v>21</v>
      </c>
      <c r="K1314" s="2">
        <v>9800</v>
      </c>
      <c r="L1314" s="3">
        <v>24.3</v>
      </c>
      <c r="M1314" s="3">
        <v>64</v>
      </c>
      <c r="N1314" s="3">
        <v>929.3</v>
      </c>
      <c r="O1314" s="2">
        <v>78</v>
      </c>
      <c r="P1314">
        <v>1</v>
      </c>
      <c r="Q1314" t="s">
        <v>20</v>
      </c>
      <c r="R1314" s="4">
        <v>20.7</v>
      </c>
      <c r="S1314" s="4">
        <v>0</v>
      </c>
      <c r="T1314" t="s">
        <v>34</v>
      </c>
      <c r="U1314" s="4">
        <v>3.28</v>
      </c>
      <c r="V1314" s="4">
        <v>2.1120000000000001</v>
      </c>
      <c r="W1314" s="4">
        <v>20.7</v>
      </c>
    </row>
    <row r="1315" spans="1:23" ht="15" customHeight="1" x14ac:dyDescent="0.25">
      <c r="A1315">
        <v>219</v>
      </c>
      <c r="B1315" s="1">
        <v>45874.583333333343</v>
      </c>
      <c r="C1315">
        <v>14</v>
      </c>
      <c r="D1315" t="s">
        <v>59</v>
      </c>
      <c r="E1315">
        <v>8</v>
      </c>
      <c r="F1315" t="s">
        <v>38</v>
      </c>
      <c r="G1315" t="s">
        <v>33</v>
      </c>
      <c r="H1315" t="s">
        <v>53</v>
      </c>
      <c r="I1315" t="s">
        <v>19</v>
      </c>
      <c r="J1315" t="s">
        <v>26</v>
      </c>
      <c r="K1315" s="2">
        <v>12500</v>
      </c>
      <c r="L1315" s="3">
        <v>31.2</v>
      </c>
      <c r="M1315" s="3">
        <v>42.8</v>
      </c>
      <c r="N1315" s="3">
        <v>882.7</v>
      </c>
      <c r="O1315" s="2">
        <v>643</v>
      </c>
      <c r="P1315">
        <v>1</v>
      </c>
      <c r="Q1315" t="s">
        <v>20</v>
      </c>
      <c r="R1315" s="4">
        <v>118.87</v>
      </c>
      <c r="S1315" s="4">
        <v>132.71</v>
      </c>
      <c r="T1315" t="s">
        <v>34</v>
      </c>
      <c r="U1315" s="4">
        <v>-0.9</v>
      </c>
      <c r="V1315" s="4">
        <v>9.51</v>
      </c>
      <c r="W1315" s="4">
        <v>0</v>
      </c>
    </row>
    <row r="1316" spans="1:23" ht="15" customHeight="1" x14ac:dyDescent="0.25">
      <c r="A1316">
        <v>220</v>
      </c>
      <c r="B1316" s="1">
        <v>45874.833333333343</v>
      </c>
      <c r="C1316">
        <v>20</v>
      </c>
      <c r="D1316" t="s">
        <v>59</v>
      </c>
      <c r="E1316">
        <v>8</v>
      </c>
      <c r="F1316" t="s">
        <v>38</v>
      </c>
      <c r="G1316" t="s">
        <v>33</v>
      </c>
      <c r="H1316" t="s">
        <v>53</v>
      </c>
      <c r="I1316" t="s">
        <v>19</v>
      </c>
      <c r="J1316" t="s">
        <v>26</v>
      </c>
      <c r="K1316" s="2">
        <v>12500</v>
      </c>
      <c r="L1316" s="3">
        <v>24.2</v>
      </c>
      <c r="M1316" s="3">
        <v>46.4</v>
      </c>
      <c r="N1316" s="3">
        <v>0</v>
      </c>
      <c r="O1316" s="2">
        <v>129</v>
      </c>
      <c r="P1316">
        <v>1</v>
      </c>
      <c r="Q1316" t="s">
        <v>20</v>
      </c>
      <c r="R1316" s="4">
        <v>43.24</v>
      </c>
      <c r="S1316" s="4">
        <v>0</v>
      </c>
      <c r="T1316" t="s">
        <v>37</v>
      </c>
      <c r="U1316" s="4">
        <v>10.61</v>
      </c>
      <c r="V1316" s="4">
        <v>3.4590000000000001</v>
      </c>
      <c r="W1316" s="4">
        <v>43.24</v>
      </c>
    </row>
    <row r="1317" spans="1:23" ht="15" customHeight="1" x14ac:dyDescent="0.25">
      <c r="A1317">
        <v>956</v>
      </c>
      <c r="B1317" s="1">
        <v>45874.833333333343</v>
      </c>
      <c r="C1317">
        <v>20</v>
      </c>
      <c r="D1317" t="s">
        <v>59</v>
      </c>
      <c r="E1317">
        <v>8</v>
      </c>
      <c r="F1317" t="s">
        <v>38</v>
      </c>
      <c r="G1317" t="s">
        <v>33</v>
      </c>
      <c r="H1317" t="s">
        <v>50</v>
      </c>
      <c r="I1317" t="s">
        <v>22</v>
      </c>
      <c r="J1317" t="s">
        <v>12</v>
      </c>
      <c r="K1317" s="2">
        <v>21000</v>
      </c>
      <c r="L1317" s="3">
        <v>31</v>
      </c>
      <c r="M1317" s="3">
        <v>49.9</v>
      </c>
      <c r="N1317" s="3">
        <v>0</v>
      </c>
      <c r="O1317" s="2"/>
      <c r="P1317">
        <v>1</v>
      </c>
      <c r="Q1317" t="s">
        <v>20</v>
      </c>
      <c r="R1317" s="4">
        <v>313.49</v>
      </c>
      <c r="S1317" s="4">
        <v>0</v>
      </c>
      <c r="T1317" t="s">
        <v>37</v>
      </c>
      <c r="U1317" s="4">
        <v>79.22</v>
      </c>
      <c r="V1317" s="4">
        <v>14.928000000000001</v>
      </c>
      <c r="W1317" s="4">
        <v>313.49</v>
      </c>
    </row>
    <row r="1318" spans="1:23" ht="15" customHeight="1" x14ac:dyDescent="0.25">
      <c r="A1318">
        <v>1692</v>
      </c>
      <c r="B1318" s="1">
        <v>45874.833333333343</v>
      </c>
      <c r="C1318">
        <v>20</v>
      </c>
      <c r="D1318" t="s">
        <v>59</v>
      </c>
      <c r="E1318">
        <v>8</v>
      </c>
      <c r="F1318" t="s">
        <v>38</v>
      </c>
      <c r="G1318" t="s">
        <v>33</v>
      </c>
      <c r="H1318" t="s">
        <v>49</v>
      </c>
      <c r="I1318" t="s">
        <v>27</v>
      </c>
      <c r="J1318" t="s">
        <v>18</v>
      </c>
      <c r="K1318" s="2">
        <v>26000</v>
      </c>
      <c r="L1318" s="3">
        <v>25.2</v>
      </c>
      <c r="M1318" s="3">
        <v>71</v>
      </c>
      <c r="N1318" s="3">
        <v>0</v>
      </c>
      <c r="O1318" s="2">
        <v>182</v>
      </c>
      <c r="P1318">
        <v>1</v>
      </c>
      <c r="Q1318" t="s">
        <v>20</v>
      </c>
      <c r="R1318" s="4">
        <v>244.47</v>
      </c>
      <c r="S1318" s="4">
        <v>0</v>
      </c>
      <c r="T1318" t="s">
        <v>37</v>
      </c>
      <c r="U1318" s="4">
        <v>61.41</v>
      </c>
      <c r="V1318" s="4">
        <v>9.4030000000000005</v>
      </c>
      <c r="W1318" s="4">
        <v>244.47</v>
      </c>
    </row>
    <row r="1319" spans="1:23" ht="15" customHeight="1" x14ac:dyDescent="0.25">
      <c r="A1319">
        <v>1324</v>
      </c>
      <c r="B1319" s="1">
        <v>45874.833333333343</v>
      </c>
      <c r="C1319">
        <v>20</v>
      </c>
      <c r="D1319" t="s">
        <v>59</v>
      </c>
      <c r="E1319">
        <v>8</v>
      </c>
      <c r="F1319" t="s">
        <v>38</v>
      </c>
      <c r="G1319" t="s">
        <v>33</v>
      </c>
      <c r="H1319" t="s">
        <v>51</v>
      </c>
      <c r="I1319" t="s">
        <v>25</v>
      </c>
      <c r="J1319" t="s">
        <v>15</v>
      </c>
      <c r="K1319" s="2">
        <v>17400</v>
      </c>
      <c r="L1319" s="3">
        <v>25.8</v>
      </c>
      <c r="M1319" s="3">
        <v>59.2</v>
      </c>
      <c r="N1319" s="3">
        <v>0</v>
      </c>
      <c r="O1319" s="2">
        <v>1424</v>
      </c>
      <c r="P1319">
        <v>1</v>
      </c>
      <c r="Q1319" t="s">
        <v>20</v>
      </c>
      <c r="R1319" s="4">
        <v>296.73</v>
      </c>
      <c r="S1319" s="4">
        <v>0</v>
      </c>
      <c r="T1319" t="s">
        <v>37</v>
      </c>
      <c r="U1319" s="4">
        <v>74.81</v>
      </c>
      <c r="V1319" s="4">
        <v>17.053000000000001</v>
      </c>
      <c r="W1319" s="4">
        <v>296.73</v>
      </c>
    </row>
    <row r="1320" spans="1:23" ht="15" customHeight="1" x14ac:dyDescent="0.25">
      <c r="A1320">
        <v>2060</v>
      </c>
      <c r="B1320" s="1">
        <v>45874.833333333343</v>
      </c>
      <c r="C1320">
        <v>20</v>
      </c>
      <c r="D1320" t="s">
        <v>59</v>
      </c>
      <c r="E1320">
        <v>8</v>
      </c>
      <c r="F1320" t="s">
        <v>38</v>
      </c>
      <c r="G1320" t="s">
        <v>33</v>
      </c>
      <c r="H1320" t="s">
        <v>52</v>
      </c>
      <c r="I1320" t="s">
        <v>13</v>
      </c>
      <c r="J1320" t="s">
        <v>21</v>
      </c>
      <c r="K1320" s="2">
        <v>9800</v>
      </c>
      <c r="L1320" s="3">
        <v>23.7</v>
      </c>
      <c r="M1320" s="3">
        <v>82.6</v>
      </c>
      <c r="N1320" s="3">
        <v>0</v>
      </c>
      <c r="O1320" s="2">
        <v>302</v>
      </c>
      <c r="P1320">
        <v>1</v>
      </c>
      <c r="Q1320" t="s">
        <v>23</v>
      </c>
      <c r="R1320" s="4"/>
      <c r="S1320" s="4">
        <v>0</v>
      </c>
      <c r="T1320" t="s">
        <v>37</v>
      </c>
      <c r="U1320" s="4">
        <v>23.58</v>
      </c>
      <c r="V1320" s="4"/>
      <c r="W1320" s="4"/>
    </row>
    <row r="1321" spans="1:23" ht="15" customHeight="1" x14ac:dyDescent="0.25">
      <c r="A1321">
        <v>588</v>
      </c>
      <c r="B1321" s="1">
        <v>45874.833333333343</v>
      </c>
      <c r="C1321">
        <v>20</v>
      </c>
      <c r="D1321" t="s">
        <v>59</v>
      </c>
      <c r="E1321">
        <v>8</v>
      </c>
      <c r="F1321" t="s">
        <v>38</v>
      </c>
      <c r="G1321" t="s">
        <v>33</v>
      </c>
      <c r="H1321" t="s">
        <v>54</v>
      </c>
      <c r="I1321" t="s">
        <v>16</v>
      </c>
      <c r="J1321" t="s">
        <v>24</v>
      </c>
      <c r="K1321" s="2">
        <v>8600</v>
      </c>
      <c r="L1321" s="3"/>
      <c r="M1321" s="3">
        <v>79.400000000000006</v>
      </c>
      <c r="N1321" s="3">
        <v>0</v>
      </c>
      <c r="O1321" s="2">
        <v>29</v>
      </c>
      <c r="P1321">
        <v>0</v>
      </c>
      <c r="Q1321" t="s">
        <v>14</v>
      </c>
      <c r="R1321" s="4">
        <v>14.66</v>
      </c>
      <c r="S1321" s="4">
        <v>0</v>
      </c>
      <c r="T1321" t="s">
        <v>37</v>
      </c>
      <c r="U1321" s="4">
        <v>3.65</v>
      </c>
      <c r="V1321" s="4">
        <v>1.7050000000000001</v>
      </c>
      <c r="W1321" s="4">
        <v>14.66</v>
      </c>
    </row>
    <row r="1322" spans="1:23" ht="15" customHeight="1" x14ac:dyDescent="0.25">
      <c r="A1322">
        <v>2061</v>
      </c>
      <c r="B1322" s="1">
        <v>45878</v>
      </c>
      <c r="C1322">
        <v>0</v>
      </c>
      <c r="D1322" t="s">
        <v>60</v>
      </c>
      <c r="E1322">
        <v>8</v>
      </c>
      <c r="F1322" t="s">
        <v>38</v>
      </c>
      <c r="G1322" t="s">
        <v>36</v>
      </c>
      <c r="H1322" t="s">
        <v>52</v>
      </c>
      <c r="I1322" t="s">
        <v>13</v>
      </c>
      <c r="J1322" t="s">
        <v>21</v>
      </c>
      <c r="K1322" s="2">
        <v>9800</v>
      </c>
      <c r="L1322" s="3">
        <v>20.100000000000001</v>
      </c>
      <c r="M1322" s="3">
        <v>71.599999999999994</v>
      </c>
      <c r="N1322" s="3">
        <v>0</v>
      </c>
      <c r="O1322" s="2">
        <v>280</v>
      </c>
      <c r="P1322">
        <v>0</v>
      </c>
      <c r="Q1322" t="s">
        <v>14</v>
      </c>
      <c r="R1322" s="4">
        <v>94.38</v>
      </c>
      <c r="S1322" s="4">
        <v>0</v>
      </c>
      <c r="T1322" t="s">
        <v>31</v>
      </c>
      <c r="U1322" s="4">
        <v>9.84</v>
      </c>
      <c r="V1322" s="4">
        <v>9.6310000000000002</v>
      </c>
      <c r="W1322" s="4">
        <v>94.38</v>
      </c>
    </row>
    <row r="1323" spans="1:23" ht="15" customHeight="1" x14ac:dyDescent="0.25">
      <c r="A1323">
        <v>221</v>
      </c>
      <c r="B1323" s="1">
        <v>45878</v>
      </c>
      <c r="C1323">
        <v>0</v>
      </c>
      <c r="D1323" t="s">
        <v>60</v>
      </c>
      <c r="E1323">
        <v>8</v>
      </c>
      <c r="F1323" t="s">
        <v>38</v>
      </c>
      <c r="G1323" t="s">
        <v>36</v>
      </c>
      <c r="H1323" t="s">
        <v>53</v>
      </c>
      <c r="I1323" t="s">
        <v>19</v>
      </c>
      <c r="J1323" t="s">
        <v>26</v>
      </c>
      <c r="K1323" s="2">
        <v>12500</v>
      </c>
      <c r="L1323" s="3">
        <v>18.5</v>
      </c>
      <c r="M1323" s="3">
        <v>48.8</v>
      </c>
      <c r="N1323" s="3">
        <v>0</v>
      </c>
      <c r="O1323" s="2">
        <v>0</v>
      </c>
      <c r="P1323">
        <v>0</v>
      </c>
      <c r="Q1323" t="s">
        <v>14</v>
      </c>
      <c r="R1323" s="4">
        <v>25.24</v>
      </c>
      <c r="S1323" s="4">
        <v>0</v>
      </c>
      <c r="T1323" t="s">
        <v>31</v>
      </c>
      <c r="U1323" s="4">
        <v>2.5499999999999998</v>
      </c>
      <c r="V1323" s="4">
        <v>2.0190000000000001</v>
      </c>
      <c r="W1323" s="4">
        <v>25.24</v>
      </c>
    </row>
    <row r="1324" spans="1:23" ht="15" customHeight="1" x14ac:dyDescent="0.25">
      <c r="A1324">
        <v>1693</v>
      </c>
      <c r="B1324" s="1">
        <v>45878</v>
      </c>
      <c r="C1324">
        <v>0</v>
      </c>
      <c r="D1324" t="s">
        <v>60</v>
      </c>
      <c r="E1324">
        <v>8</v>
      </c>
      <c r="F1324" t="s">
        <v>38</v>
      </c>
      <c r="G1324" t="s">
        <v>36</v>
      </c>
      <c r="H1324" t="s">
        <v>49</v>
      </c>
      <c r="I1324" t="s">
        <v>27</v>
      </c>
      <c r="J1324" t="s">
        <v>18</v>
      </c>
      <c r="K1324" s="2">
        <v>26000</v>
      </c>
      <c r="L1324" s="3">
        <v>24</v>
      </c>
      <c r="M1324" s="3">
        <v>53.7</v>
      </c>
      <c r="N1324" s="3">
        <v>0</v>
      </c>
      <c r="O1324" s="2">
        <v>16</v>
      </c>
      <c r="P1324">
        <v>1</v>
      </c>
      <c r="Q1324" t="s">
        <v>23</v>
      </c>
      <c r="R1324" s="4">
        <v>70.98</v>
      </c>
      <c r="S1324" s="4">
        <v>0</v>
      </c>
      <c r="T1324" t="s">
        <v>31</v>
      </c>
      <c r="U1324" s="4">
        <v>7.27</v>
      </c>
      <c r="V1324" s="4">
        <v>2.73</v>
      </c>
      <c r="W1324" s="4">
        <v>70.98</v>
      </c>
    </row>
    <row r="1325" spans="1:23" ht="15" customHeight="1" x14ac:dyDescent="0.25">
      <c r="A1325">
        <v>957</v>
      </c>
      <c r="B1325" s="1">
        <v>45878</v>
      </c>
      <c r="C1325">
        <v>0</v>
      </c>
      <c r="D1325" t="s">
        <v>60</v>
      </c>
      <c r="E1325">
        <v>8</v>
      </c>
      <c r="F1325" t="s">
        <v>38</v>
      </c>
      <c r="G1325" t="s">
        <v>36</v>
      </c>
      <c r="H1325" t="s">
        <v>50</v>
      </c>
      <c r="I1325" t="s">
        <v>22</v>
      </c>
      <c r="J1325" t="s">
        <v>12</v>
      </c>
      <c r="K1325" s="2">
        <v>21000</v>
      </c>
      <c r="L1325" s="3">
        <v>22.9</v>
      </c>
      <c r="M1325" s="3">
        <v>46.6</v>
      </c>
      <c r="N1325" s="3">
        <v>0</v>
      </c>
      <c r="O1325" s="2">
        <v>211</v>
      </c>
      <c r="P1325">
        <v>0</v>
      </c>
      <c r="Q1325" t="s">
        <v>14</v>
      </c>
      <c r="R1325" s="4">
        <v>171.01</v>
      </c>
      <c r="S1325" s="4">
        <v>0</v>
      </c>
      <c r="T1325" t="s">
        <v>31</v>
      </c>
      <c r="U1325" s="4">
        <v>17.600000000000001</v>
      </c>
      <c r="V1325" s="4">
        <v>8.1430000000000007</v>
      </c>
      <c r="W1325" s="4">
        <v>171.01</v>
      </c>
    </row>
    <row r="1326" spans="1:23" ht="15" customHeight="1" x14ac:dyDescent="0.25">
      <c r="A1326">
        <v>1325</v>
      </c>
      <c r="B1326" s="1">
        <v>45878</v>
      </c>
      <c r="C1326">
        <v>0</v>
      </c>
      <c r="D1326" t="s">
        <v>60</v>
      </c>
      <c r="E1326">
        <v>8</v>
      </c>
      <c r="F1326" t="s">
        <v>38</v>
      </c>
      <c r="G1326" t="s">
        <v>36</v>
      </c>
      <c r="H1326" t="s">
        <v>51</v>
      </c>
      <c r="I1326" t="s">
        <v>25</v>
      </c>
      <c r="J1326" t="s">
        <v>15</v>
      </c>
      <c r="K1326" s="2">
        <v>17400</v>
      </c>
      <c r="L1326" s="3">
        <v>24.4</v>
      </c>
      <c r="M1326" s="3">
        <v>72.2</v>
      </c>
      <c r="N1326" s="3">
        <v>0</v>
      </c>
      <c r="O1326" s="2">
        <v>119</v>
      </c>
      <c r="P1326">
        <v>1</v>
      </c>
      <c r="Q1326" t="s">
        <v>20</v>
      </c>
      <c r="R1326" s="4">
        <v>60.77</v>
      </c>
      <c r="S1326" s="4">
        <v>0</v>
      </c>
      <c r="T1326" t="s">
        <v>31</v>
      </c>
      <c r="U1326" s="4">
        <v>6.16</v>
      </c>
      <c r="V1326" s="4">
        <v>3.4929999999999999</v>
      </c>
      <c r="W1326" s="4">
        <v>60.77</v>
      </c>
    </row>
    <row r="1327" spans="1:23" ht="15" customHeight="1" x14ac:dyDescent="0.25">
      <c r="A1327">
        <v>589</v>
      </c>
      <c r="B1327" s="1">
        <v>45878</v>
      </c>
      <c r="C1327">
        <v>0</v>
      </c>
      <c r="D1327" t="s">
        <v>60</v>
      </c>
      <c r="E1327">
        <v>8</v>
      </c>
      <c r="F1327" t="s">
        <v>38</v>
      </c>
      <c r="G1327" t="s">
        <v>36</v>
      </c>
      <c r="H1327" t="s">
        <v>54</v>
      </c>
      <c r="I1327" t="s">
        <v>16</v>
      </c>
      <c r="J1327" t="s">
        <v>24</v>
      </c>
      <c r="K1327" s="2">
        <v>8600</v>
      </c>
      <c r="L1327" s="3">
        <v>18.399999999999999</v>
      </c>
      <c r="M1327" s="3">
        <v>61.5</v>
      </c>
      <c r="N1327" s="3">
        <v>0</v>
      </c>
      <c r="O1327" s="2">
        <v>42</v>
      </c>
      <c r="P1327">
        <v>0</v>
      </c>
      <c r="Q1327" t="s">
        <v>14</v>
      </c>
      <c r="R1327" s="4">
        <v>15.03</v>
      </c>
      <c r="S1327" s="4">
        <v>0</v>
      </c>
      <c r="T1327" t="s">
        <v>31</v>
      </c>
      <c r="U1327" s="4">
        <v>1.53</v>
      </c>
      <c r="V1327" s="4">
        <v>1.748</v>
      </c>
      <c r="W1327" s="4">
        <v>15.03</v>
      </c>
    </row>
    <row r="1328" spans="1:23" ht="15" customHeight="1" x14ac:dyDescent="0.25">
      <c r="A1328">
        <v>1326</v>
      </c>
      <c r="B1328" s="1">
        <v>45878.333333333343</v>
      </c>
      <c r="C1328">
        <v>8</v>
      </c>
      <c r="D1328" t="s">
        <v>60</v>
      </c>
      <c r="E1328">
        <v>8</v>
      </c>
      <c r="F1328" t="s">
        <v>38</v>
      </c>
      <c r="G1328" t="s">
        <v>36</v>
      </c>
      <c r="H1328" t="s">
        <v>51</v>
      </c>
      <c r="I1328" t="s">
        <v>25</v>
      </c>
      <c r="J1328" t="s">
        <v>15</v>
      </c>
      <c r="K1328" s="2">
        <v>17400</v>
      </c>
      <c r="L1328" s="3">
        <v>24.9</v>
      </c>
      <c r="M1328" s="3">
        <v>55.9</v>
      </c>
      <c r="N1328" s="3">
        <v>406.7</v>
      </c>
      <c r="O1328" s="2">
        <v>94</v>
      </c>
      <c r="P1328">
        <v>1</v>
      </c>
      <c r="Q1328" t="s">
        <v>20</v>
      </c>
      <c r="R1328" s="4"/>
      <c r="S1328" s="4">
        <v>50.2</v>
      </c>
      <c r="T1328" t="s">
        <v>31</v>
      </c>
      <c r="U1328" s="4">
        <v>-0.09</v>
      </c>
      <c r="V1328" s="4"/>
      <c r="W1328" s="4"/>
    </row>
    <row r="1329" spans="1:23" ht="15" customHeight="1" x14ac:dyDescent="0.25">
      <c r="A1329">
        <v>958</v>
      </c>
      <c r="B1329" s="1">
        <v>45878.333333333343</v>
      </c>
      <c r="C1329">
        <v>8</v>
      </c>
      <c r="D1329" t="s">
        <v>60</v>
      </c>
      <c r="E1329">
        <v>8</v>
      </c>
      <c r="F1329" t="s">
        <v>38</v>
      </c>
      <c r="G1329" t="s">
        <v>36</v>
      </c>
      <c r="H1329" t="s">
        <v>50</v>
      </c>
      <c r="I1329" t="s">
        <v>22</v>
      </c>
      <c r="J1329" t="s">
        <v>12</v>
      </c>
      <c r="K1329" s="2">
        <v>21000</v>
      </c>
      <c r="L1329" s="3">
        <v>25.8</v>
      </c>
      <c r="M1329" s="3">
        <v>50.5</v>
      </c>
      <c r="N1329" s="3">
        <v>348.4</v>
      </c>
      <c r="O1329" s="2">
        <v>442</v>
      </c>
      <c r="P1329">
        <v>1</v>
      </c>
      <c r="Q1329" t="s">
        <v>20</v>
      </c>
      <c r="R1329" s="4">
        <v>211.52</v>
      </c>
      <c r="S1329" s="4">
        <v>67.88</v>
      </c>
      <c r="T1329" t="s">
        <v>31</v>
      </c>
      <c r="U1329" s="4">
        <v>14.88</v>
      </c>
      <c r="V1329" s="4">
        <v>10.071999999999999</v>
      </c>
      <c r="W1329" s="4">
        <v>143.63999999999999</v>
      </c>
    </row>
    <row r="1330" spans="1:23" ht="15" customHeight="1" x14ac:dyDescent="0.25">
      <c r="A1330">
        <v>1694</v>
      </c>
      <c r="B1330" s="1">
        <v>45878.333333333343</v>
      </c>
      <c r="C1330">
        <v>8</v>
      </c>
      <c r="D1330" t="s">
        <v>60</v>
      </c>
      <c r="E1330">
        <v>8</v>
      </c>
      <c r="F1330" t="s">
        <v>38</v>
      </c>
      <c r="G1330" t="s">
        <v>36</v>
      </c>
      <c r="H1330" t="s">
        <v>49</v>
      </c>
      <c r="I1330" t="s">
        <v>27</v>
      </c>
      <c r="J1330" t="s">
        <v>18</v>
      </c>
      <c r="K1330" s="2">
        <v>26000</v>
      </c>
      <c r="L1330" s="3">
        <v>23.5</v>
      </c>
      <c r="M1330" s="3">
        <v>55.6</v>
      </c>
      <c r="N1330" s="3">
        <v>380.3</v>
      </c>
      <c r="O1330" s="2">
        <v>78</v>
      </c>
      <c r="P1330">
        <v>1</v>
      </c>
      <c r="Q1330" t="s">
        <v>23</v>
      </c>
      <c r="R1330" s="4">
        <v>80.77</v>
      </c>
      <c r="S1330" s="4">
        <v>102.46</v>
      </c>
      <c r="T1330" t="s">
        <v>31</v>
      </c>
      <c r="U1330" s="4">
        <v>-0.88</v>
      </c>
      <c r="V1330" s="4">
        <v>3.1070000000000002</v>
      </c>
      <c r="W1330" s="4">
        <v>0</v>
      </c>
    </row>
    <row r="1331" spans="1:23" ht="15" customHeight="1" x14ac:dyDescent="0.25">
      <c r="A1331">
        <v>590</v>
      </c>
      <c r="B1331" s="1">
        <v>45878.333333333343</v>
      </c>
      <c r="C1331">
        <v>8</v>
      </c>
      <c r="D1331" t="s">
        <v>60</v>
      </c>
      <c r="E1331">
        <v>8</v>
      </c>
      <c r="F1331" t="s">
        <v>38</v>
      </c>
      <c r="G1331" t="s">
        <v>36</v>
      </c>
      <c r="H1331" t="s">
        <v>54</v>
      </c>
      <c r="I1331" t="s">
        <v>16</v>
      </c>
      <c r="J1331" t="s">
        <v>24</v>
      </c>
      <c r="K1331" s="2">
        <v>8600</v>
      </c>
      <c r="L1331" s="3">
        <v>19</v>
      </c>
      <c r="M1331" s="3">
        <v>72.7</v>
      </c>
      <c r="N1331" s="3">
        <v>280.39999999999998</v>
      </c>
      <c r="O1331" s="2">
        <v>0</v>
      </c>
      <c r="P1331">
        <v>0</v>
      </c>
      <c r="Q1331" t="s">
        <v>14</v>
      </c>
      <c r="R1331" s="4">
        <v>8.2100000000000009</v>
      </c>
      <c r="S1331" s="4">
        <v>21.86</v>
      </c>
      <c r="T1331" t="s">
        <v>31</v>
      </c>
      <c r="U1331" s="4">
        <v>-0.55000000000000004</v>
      </c>
      <c r="V1331" s="4">
        <v>0.95499999999999996</v>
      </c>
      <c r="W1331" s="4">
        <v>0</v>
      </c>
    </row>
    <row r="1332" spans="1:23" ht="15" customHeight="1" x14ac:dyDescent="0.25">
      <c r="A1332">
        <v>2062</v>
      </c>
      <c r="B1332" s="1">
        <v>45878.333333333343</v>
      </c>
      <c r="C1332">
        <v>8</v>
      </c>
      <c r="D1332" t="s">
        <v>60</v>
      </c>
      <c r="E1332">
        <v>8</v>
      </c>
      <c r="F1332" t="s">
        <v>38</v>
      </c>
      <c r="G1332" t="s">
        <v>36</v>
      </c>
      <c r="H1332" t="s">
        <v>52</v>
      </c>
      <c r="I1332" t="s">
        <v>13</v>
      </c>
      <c r="J1332" t="s">
        <v>21</v>
      </c>
      <c r="K1332" s="2">
        <v>9800</v>
      </c>
      <c r="L1332" s="3">
        <v>24.5</v>
      </c>
      <c r="M1332" s="3">
        <v>68.8</v>
      </c>
      <c r="N1332" s="3">
        <v>313.8</v>
      </c>
      <c r="O1332" s="2">
        <v>102</v>
      </c>
      <c r="P1332">
        <v>1</v>
      </c>
      <c r="Q1332" t="s">
        <v>20</v>
      </c>
      <c r="R1332" s="4">
        <v>28.07</v>
      </c>
      <c r="S1332" s="4">
        <v>0</v>
      </c>
      <c r="T1332" t="s">
        <v>31</v>
      </c>
      <c r="U1332" s="4">
        <v>2.81</v>
      </c>
      <c r="V1332" s="4">
        <v>2.8639999999999999</v>
      </c>
      <c r="W1332" s="4">
        <v>28.07</v>
      </c>
    </row>
    <row r="1333" spans="1:23" ht="15" customHeight="1" x14ac:dyDescent="0.25">
      <c r="A1333">
        <v>222</v>
      </c>
      <c r="B1333" s="1">
        <v>45878.333333333343</v>
      </c>
      <c r="C1333">
        <v>8</v>
      </c>
      <c r="D1333" t="s">
        <v>60</v>
      </c>
      <c r="E1333">
        <v>8</v>
      </c>
      <c r="F1333" t="s">
        <v>38</v>
      </c>
      <c r="G1333" t="s">
        <v>36</v>
      </c>
      <c r="H1333" t="s">
        <v>53</v>
      </c>
      <c r="I1333" t="s">
        <v>19</v>
      </c>
      <c r="J1333" t="s">
        <v>26</v>
      </c>
      <c r="K1333" s="2">
        <v>12500</v>
      </c>
      <c r="L1333" s="3">
        <v>20.5</v>
      </c>
      <c r="M1333" s="3">
        <v>43.8</v>
      </c>
      <c r="N1333" s="3">
        <v>380.2</v>
      </c>
      <c r="O1333" s="2">
        <v>22</v>
      </c>
      <c r="P1333">
        <v>0</v>
      </c>
      <c r="Q1333" t="s">
        <v>14</v>
      </c>
      <c r="R1333" s="4">
        <v>16.059999999999999</v>
      </c>
      <c r="S1333" s="4">
        <v>58.48</v>
      </c>
      <c r="T1333" t="s">
        <v>31</v>
      </c>
      <c r="U1333" s="4">
        <v>-1.73</v>
      </c>
      <c r="V1333" s="4">
        <v>1.2849999999999999</v>
      </c>
      <c r="W1333" s="4">
        <v>0</v>
      </c>
    </row>
    <row r="1334" spans="1:23" ht="15" customHeight="1" x14ac:dyDescent="0.25">
      <c r="A1334">
        <v>223</v>
      </c>
      <c r="B1334" s="1">
        <v>45878.583333333343</v>
      </c>
      <c r="C1334">
        <v>14</v>
      </c>
      <c r="D1334" t="s">
        <v>60</v>
      </c>
      <c r="E1334">
        <v>8</v>
      </c>
      <c r="F1334" t="s">
        <v>38</v>
      </c>
      <c r="G1334" t="s">
        <v>36</v>
      </c>
      <c r="H1334" t="s">
        <v>53</v>
      </c>
      <c r="I1334" t="s">
        <v>19</v>
      </c>
      <c r="J1334" t="s">
        <v>26</v>
      </c>
      <c r="K1334" s="2">
        <v>12500</v>
      </c>
      <c r="L1334" s="3">
        <v>26.4</v>
      </c>
      <c r="M1334" s="3">
        <v>52.1</v>
      </c>
      <c r="N1334" s="3">
        <v>784.4</v>
      </c>
      <c r="O1334" s="2">
        <v>0</v>
      </c>
      <c r="P1334">
        <v>0</v>
      </c>
      <c r="Q1334" t="s">
        <v>14</v>
      </c>
      <c r="R1334" s="4">
        <v>16.22</v>
      </c>
      <c r="S1334" s="4">
        <v>116.68</v>
      </c>
      <c r="T1334" t="s">
        <v>31</v>
      </c>
      <c r="U1334" s="4">
        <v>-4.12</v>
      </c>
      <c r="V1334" s="4">
        <v>1.298</v>
      </c>
      <c r="W1334" s="4">
        <v>0</v>
      </c>
    </row>
    <row r="1335" spans="1:23" ht="15" customHeight="1" x14ac:dyDescent="0.25">
      <c r="A1335">
        <v>591</v>
      </c>
      <c r="B1335" s="1">
        <v>45878.583333333343</v>
      </c>
      <c r="C1335">
        <v>14</v>
      </c>
      <c r="D1335" t="s">
        <v>60</v>
      </c>
      <c r="E1335">
        <v>8</v>
      </c>
      <c r="F1335" t="s">
        <v>38</v>
      </c>
      <c r="G1335" t="s">
        <v>36</v>
      </c>
      <c r="H1335" t="s">
        <v>54</v>
      </c>
      <c r="I1335" t="s">
        <v>16</v>
      </c>
      <c r="J1335" t="s">
        <v>24</v>
      </c>
      <c r="K1335" s="2">
        <v>8600</v>
      </c>
      <c r="L1335" s="3">
        <v>25.4</v>
      </c>
      <c r="M1335" s="3">
        <v>75.099999999999994</v>
      </c>
      <c r="N1335" s="3">
        <v>642.20000000000005</v>
      </c>
      <c r="O1335" s="2">
        <v>0</v>
      </c>
      <c r="P1335">
        <v>0</v>
      </c>
      <c r="Q1335" t="s">
        <v>14</v>
      </c>
      <c r="R1335" s="4">
        <v>7.83</v>
      </c>
      <c r="S1335" s="4">
        <v>49.53</v>
      </c>
      <c r="T1335" t="s">
        <v>31</v>
      </c>
      <c r="U1335" s="4">
        <v>-1.69</v>
      </c>
      <c r="V1335" s="4">
        <v>0.91</v>
      </c>
      <c r="W1335" s="4">
        <v>0</v>
      </c>
    </row>
    <row r="1336" spans="1:23" ht="15" customHeight="1" x14ac:dyDescent="0.25">
      <c r="A1336">
        <v>2063</v>
      </c>
      <c r="B1336" s="1">
        <v>45878.583333333343</v>
      </c>
      <c r="C1336">
        <v>14</v>
      </c>
      <c r="D1336" t="s">
        <v>60</v>
      </c>
      <c r="E1336">
        <v>8</v>
      </c>
      <c r="F1336" t="s">
        <v>38</v>
      </c>
      <c r="G1336" t="s">
        <v>36</v>
      </c>
      <c r="H1336" t="s">
        <v>52</v>
      </c>
      <c r="I1336" t="s">
        <v>13</v>
      </c>
      <c r="J1336" t="s">
        <v>21</v>
      </c>
      <c r="K1336" s="2">
        <v>9800</v>
      </c>
      <c r="L1336" s="3">
        <v>27.6</v>
      </c>
      <c r="M1336" s="3">
        <v>58.9</v>
      </c>
      <c r="N1336" s="3">
        <v>685.7</v>
      </c>
      <c r="O1336" s="2">
        <v>147</v>
      </c>
      <c r="P1336">
        <v>1</v>
      </c>
      <c r="Q1336" t="s">
        <v>20</v>
      </c>
      <c r="R1336" s="4">
        <v>32.06</v>
      </c>
      <c r="S1336" s="4">
        <v>0</v>
      </c>
      <c r="T1336" t="s">
        <v>31</v>
      </c>
      <c r="U1336" s="4">
        <v>3.21</v>
      </c>
      <c r="V1336" s="4">
        <v>3.2709999999999999</v>
      </c>
      <c r="W1336" s="4">
        <v>32.06</v>
      </c>
    </row>
    <row r="1337" spans="1:23" ht="15" customHeight="1" x14ac:dyDescent="0.25">
      <c r="A1337">
        <v>959</v>
      </c>
      <c r="B1337" s="1">
        <v>45878.583333333343</v>
      </c>
      <c r="C1337">
        <v>14</v>
      </c>
      <c r="D1337" t="s">
        <v>60</v>
      </c>
      <c r="E1337">
        <v>8</v>
      </c>
      <c r="F1337" t="s">
        <v>38</v>
      </c>
      <c r="G1337" t="s">
        <v>36</v>
      </c>
      <c r="H1337" t="s">
        <v>50</v>
      </c>
      <c r="I1337" t="s">
        <v>22</v>
      </c>
      <c r="J1337" t="s">
        <v>12</v>
      </c>
      <c r="K1337" s="2">
        <v>21000</v>
      </c>
      <c r="L1337" s="3">
        <v>35.200000000000003</v>
      </c>
      <c r="M1337" s="3">
        <v>40.299999999999997</v>
      </c>
      <c r="N1337" s="3">
        <v>844.5</v>
      </c>
      <c r="O1337" s="2">
        <v>413</v>
      </c>
      <c r="P1337">
        <v>1</v>
      </c>
      <c r="Q1337" t="s">
        <v>20</v>
      </c>
      <c r="R1337" s="4">
        <v>242.4</v>
      </c>
      <c r="S1337" s="4">
        <v>147.79</v>
      </c>
      <c r="T1337" t="s">
        <v>31</v>
      </c>
      <c r="U1337" s="4">
        <v>9.5500000000000007</v>
      </c>
      <c r="V1337" s="4">
        <v>11.542999999999999</v>
      </c>
      <c r="W1337" s="4">
        <v>94.61</v>
      </c>
    </row>
    <row r="1338" spans="1:23" ht="15" customHeight="1" x14ac:dyDescent="0.25">
      <c r="A1338">
        <v>1327</v>
      </c>
      <c r="B1338" s="1">
        <v>45878.583333333343</v>
      </c>
      <c r="C1338">
        <v>14</v>
      </c>
      <c r="D1338" t="s">
        <v>60</v>
      </c>
      <c r="E1338">
        <v>8</v>
      </c>
      <c r="F1338" t="s">
        <v>38</v>
      </c>
      <c r="G1338" t="s">
        <v>36</v>
      </c>
      <c r="H1338" t="s">
        <v>51</v>
      </c>
      <c r="I1338" t="s">
        <v>25</v>
      </c>
      <c r="J1338" t="s">
        <v>15</v>
      </c>
      <c r="K1338" s="2">
        <v>17400</v>
      </c>
      <c r="L1338" s="3">
        <v>27.6</v>
      </c>
      <c r="M1338" s="3">
        <v>67</v>
      </c>
      <c r="N1338" s="3">
        <v>913.1</v>
      </c>
      <c r="O1338" s="2">
        <v>1524</v>
      </c>
      <c r="P1338">
        <v>1</v>
      </c>
      <c r="Q1338" t="s">
        <v>20</v>
      </c>
      <c r="R1338" s="4">
        <v>259.89999999999998</v>
      </c>
      <c r="S1338" s="4">
        <v>116.13</v>
      </c>
      <c r="T1338" t="s">
        <v>31</v>
      </c>
      <c r="U1338" s="4">
        <v>14.69</v>
      </c>
      <c r="V1338" s="4">
        <v>14.936999999999999</v>
      </c>
      <c r="W1338" s="4">
        <v>143.77000000000001</v>
      </c>
    </row>
    <row r="1339" spans="1:23" ht="15" customHeight="1" x14ac:dyDescent="0.25">
      <c r="A1339">
        <v>1695</v>
      </c>
      <c r="B1339" s="1">
        <v>45878.583333333343</v>
      </c>
      <c r="C1339">
        <v>14</v>
      </c>
      <c r="D1339" t="s">
        <v>60</v>
      </c>
      <c r="E1339">
        <v>8</v>
      </c>
      <c r="F1339" t="s">
        <v>38</v>
      </c>
      <c r="G1339" t="s">
        <v>36</v>
      </c>
      <c r="H1339" t="s">
        <v>49</v>
      </c>
      <c r="I1339" t="s">
        <v>27</v>
      </c>
      <c r="J1339" t="s">
        <v>18</v>
      </c>
      <c r="K1339" s="2">
        <v>26000</v>
      </c>
      <c r="L1339" s="3">
        <v>30.8</v>
      </c>
      <c r="M1339" s="3">
        <v>57.7</v>
      </c>
      <c r="N1339" s="3">
        <v>769.5</v>
      </c>
      <c r="O1339" s="2">
        <v>73</v>
      </c>
      <c r="P1339">
        <v>1</v>
      </c>
      <c r="Q1339" t="s">
        <v>20</v>
      </c>
      <c r="R1339" s="4">
        <v>114.85</v>
      </c>
      <c r="S1339" s="4">
        <v>217.62</v>
      </c>
      <c r="T1339" t="s">
        <v>31</v>
      </c>
      <c r="U1339" s="4">
        <v>-4.28</v>
      </c>
      <c r="V1339" s="4">
        <v>4.4169999999999998</v>
      </c>
      <c r="W1339" s="4">
        <v>0</v>
      </c>
    </row>
    <row r="1340" spans="1:23" ht="15" customHeight="1" x14ac:dyDescent="0.25">
      <c r="A1340">
        <v>2064</v>
      </c>
      <c r="B1340" s="1">
        <v>45878.833333333343</v>
      </c>
      <c r="C1340">
        <v>20</v>
      </c>
      <c r="D1340" t="s">
        <v>60</v>
      </c>
      <c r="E1340">
        <v>8</v>
      </c>
      <c r="F1340" t="s">
        <v>38</v>
      </c>
      <c r="G1340" t="s">
        <v>36</v>
      </c>
      <c r="H1340" t="s">
        <v>52</v>
      </c>
      <c r="I1340" t="s">
        <v>13</v>
      </c>
      <c r="J1340" t="s">
        <v>21</v>
      </c>
      <c r="K1340" s="2">
        <v>9800</v>
      </c>
      <c r="L1340" s="3">
        <v>23.1</v>
      </c>
      <c r="M1340" s="3">
        <v>78.900000000000006</v>
      </c>
      <c r="N1340" s="3">
        <v>0</v>
      </c>
      <c r="O1340" s="2">
        <v>328</v>
      </c>
      <c r="P1340">
        <v>1</v>
      </c>
      <c r="Q1340" t="s">
        <v>23</v>
      </c>
      <c r="R1340" s="4">
        <v>93.88</v>
      </c>
      <c r="S1340" s="4">
        <v>0</v>
      </c>
      <c r="T1340" t="s">
        <v>31</v>
      </c>
      <c r="U1340" s="4">
        <v>9.75</v>
      </c>
      <c r="V1340" s="4">
        <v>9.58</v>
      </c>
      <c r="W1340" s="4">
        <v>93.88</v>
      </c>
    </row>
    <row r="1341" spans="1:23" ht="15" customHeight="1" x14ac:dyDescent="0.25">
      <c r="A1341">
        <v>224</v>
      </c>
      <c r="B1341" s="1">
        <v>45878.833333333343</v>
      </c>
      <c r="C1341">
        <v>20</v>
      </c>
      <c r="D1341" t="s">
        <v>60</v>
      </c>
      <c r="E1341">
        <v>8</v>
      </c>
      <c r="F1341" t="s">
        <v>38</v>
      </c>
      <c r="G1341" t="s">
        <v>36</v>
      </c>
      <c r="H1341" t="s">
        <v>53</v>
      </c>
      <c r="I1341" t="s">
        <v>19</v>
      </c>
      <c r="J1341" t="s">
        <v>26</v>
      </c>
      <c r="K1341" s="2">
        <v>12500</v>
      </c>
      <c r="L1341" s="3">
        <v>26.7</v>
      </c>
      <c r="M1341" s="3">
        <v>47.9</v>
      </c>
      <c r="N1341" s="3">
        <v>0</v>
      </c>
      <c r="O1341" s="2">
        <v>16</v>
      </c>
      <c r="P1341">
        <v>0</v>
      </c>
      <c r="Q1341" t="s">
        <v>14</v>
      </c>
      <c r="R1341" s="4">
        <v>25.1</v>
      </c>
      <c r="S1341" s="4">
        <v>0</v>
      </c>
      <c r="T1341" t="s">
        <v>31</v>
      </c>
      <c r="U1341" s="4">
        <v>2.56</v>
      </c>
      <c r="V1341" s="4">
        <v>2.008</v>
      </c>
      <c r="W1341" s="4">
        <v>25.1</v>
      </c>
    </row>
    <row r="1342" spans="1:23" ht="15" customHeight="1" x14ac:dyDescent="0.25">
      <c r="A1342">
        <v>960</v>
      </c>
      <c r="B1342" s="1">
        <v>45878.833333333343</v>
      </c>
      <c r="C1342">
        <v>20</v>
      </c>
      <c r="D1342" t="s">
        <v>60</v>
      </c>
      <c r="E1342">
        <v>8</v>
      </c>
      <c r="F1342" t="s">
        <v>38</v>
      </c>
      <c r="G1342" t="s">
        <v>36</v>
      </c>
      <c r="H1342" t="s">
        <v>50</v>
      </c>
      <c r="I1342" t="s">
        <v>22</v>
      </c>
      <c r="J1342" t="s">
        <v>12</v>
      </c>
      <c r="K1342" s="2">
        <v>21000</v>
      </c>
      <c r="L1342" s="3">
        <v>31.7</v>
      </c>
      <c r="M1342" s="3">
        <v>60.9</v>
      </c>
      <c r="N1342" s="3">
        <v>0</v>
      </c>
      <c r="O1342" s="2">
        <v>461</v>
      </c>
      <c r="P1342">
        <v>1</v>
      </c>
      <c r="Q1342" t="s">
        <v>20</v>
      </c>
      <c r="R1342" s="4">
        <v>300.43</v>
      </c>
      <c r="S1342" s="4">
        <v>0</v>
      </c>
      <c r="T1342" t="s">
        <v>31</v>
      </c>
      <c r="U1342" s="4"/>
      <c r="V1342" s="4">
        <v>14.305999999999999</v>
      </c>
      <c r="W1342" s="4">
        <v>300.43</v>
      </c>
    </row>
    <row r="1343" spans="1:23" ht="15" customHeight="1" x14ac:dyDescent="0.25">
      <c r="A1343">
        <v>592</v>
      </c>
      <c r="B1343" s="1">
        <v>45878.833333333343</v>
      </c>
      <c r="C1343">
        <v>20</v>
      </c>
      <c r="D1343" t="s">
        <v>60</v>
      </c>
      <c r="E1343">
        <v>8</v>
      </c>
      <c r="F1343" t="s">
        <v>38</v>
      </c>
      <c r="G1343" t="s">
        <v>36</v>
      </c>
      <c r="H1343" t="s">
        <v>54</v>
      </c>
      <c r="I1343" t="s">
        <v>16</v>
      </c>
      <c r="J1343" t="s">
        <v>24</v>
      </c>
      <c r="K1343" s="2">
        <v>8600</v>
      </c>
      <c r="L1343" s="3">
        <v>20.399999999999999</v>
      </c>
      <c r="M1343" s="3">
        <v>93</v>
      </c>
      <c r="N1343" s="3">
        <v>0</v>
      </c>
      <c r="O1343" s="2">
        <v>68</v>
      </c>
      <c r="P1343">
        <v>0</v>
      </c>
      <c r="Q1343" t="s">
        <v>14</v>
      </c>
      <c r="R1343" s="4">
        <v>13.98</v>
      </c>
      <c r="S1343" s="4">
        <v>0</v>
      </c>
      <c r="T1343" t="s">
        <v>31</v>
      </c>
      <c r="U1343" s="4">
        <v>1.45</v>
      </c>
      <c r="V1343" s="4">
        <v>1.6259999999999999</v>
      </c>
      <c r="W1343" s="4">
        <v>13.98</v>
      </c>
    </row>
    <row r="1344" spans="1:23" ht="15" customHeight="1" x14ac:dyDescent="0.25">
      <c r="A1344">
        <v>1328</v>
      </c>
      <c r="B1344" s="1">
        <v>45878.833333333343</v>
      </c>
      <c r="C1344">
        <v>20</v>
      </c>
      <c r="D1344" t="s">
        <v>60</v>
      </c>
      <c r="E1344">
        <v>8</v>
      </c>
      <c r="F1344" t="s">
        <v>38</v>
      </c>
      <c r="G1344" t="s">
        <v>36</v>
      </c>
      <c r="H1344" t="s">
        <v>51</v>
      </c>
      <c r="I1344" t="s">
        <v>25</v>
      </c>
      <c r="J1344" t="s">
        <v>15</v>
      </c>
      <c r="K1344" s="2">
        <v>17400</v>
      </c>
      <c r="L1344" s="3">
        <v>24.7</v>
      </c>
      <c r="M1344" s="3">
        <v>67.599999999999994</v>
      </c>
      <c r="N1344" s="3">
        <v>0</v>
      </c>
      <c r="O1344" s="2">
        <v>1501</v>
      </c>
      <c r="P1344">
        <v>1</v>
      </c>
      <c r="Q1344" t="s">
        <v>20</v>
      </c>
      <c r="R1344" s="4">
        <v>329.17</v>
      </c>
      <c r="S1344" s="4">
        <v>0</v>
      </c>
      <c r="T1344" t="s">
        <v>31</v>
      </c>
      <c r="U1344" s="4">
        <v>32.82</v>
      </c>
      <c r="V1344" s="4">
        <v>18.917999999999999</v>
      </c>
      <c r="W1344" s="4">
        <v>329.17</v>
      </c>
    </row>
    <row r="1345" spans="1:23" ht="15" customHeight="1" x14ac:dyDescent="0.25">
      <c r="A1345">
        <v>1696</v>
      </c>
      <c r="B1345" s="1">
        <v>45878.833333333343</v>
      </c>
      <c r="C1345">
        <v>20</v>
      </c>
      <c r="D1345" t="s">
        <v>60</v>
      </c>
      <c r="E1345">
        <v>8</v>
      </c>
      <c r="F1345" t="s">
        <v>38</v>
      </c>
      <c r="G1345" t="s">
        <v>36</v>
      </c>
      <c r="H1345" t="s">
        <v>49</v>
      </c>
      <c r="I1345" t="s">
        <v>27</v>
      </c>
      <c r="J1345" t="s">
        <v>18</v>
      </c>
      <c r="K1345" s="2">
        <v>26000</v>
      </c>
      <c r="L1345" s="3">
        <v>26.6</v>
      </c>
      <c r="M1345" s="3">
        <v>54.8</v>
      </c>
      <c r="N1345" s="3">
        <v>0</v>
      </c>
      <c r="O1345" s="2">
        <v>51</v>
      </c>
      <c r="P1345">
        <v>1</v>
      </c>
      <c r="Q1345" t="s">
        <v>20</v>
      </c>
      <c r="R1345" s="4">
        <v>141.87</v>
      </c>
      <c r="S1345" s="4">
        <v>0</v>
      </c>
      <c r="T1345" t="s">
        <v>31</v>
      </c>
      <c r="U1345" s="4">
        <v>14.61</v>
      </c>
      <c r="V1345" s="4">
        <v>5.4569999999999999</v>
      </c>
      <c r="W1345" s="4">
        <v>141.87</v>
      </c>
    </row>
    <row r="1346" spans="1:23" ht="15" customHeight="1" x14ac:dyDescent="0.25">
      <c r="A1346">
        <v>1329</v>
      </c>
      <c r="B1346" s="1">
        <v>45882</v>
      </c>
      <c r="C1346">
        <v>0</v>
      </c>
      <c r="D1346" t="s">
        <v>48</v>
      </c>
      <c r="E1346">
        <v>8</v>
      </c>
      <c r="F1346" t="s">
        <v>38</v>
      </c>
      <c r="G1346" t="s">
        <v>33</v>
      </c>
      <c r="H1346" t="s">
        <v>51</v>
      </c>
      <c r="I1346" t="s">
        <v>25</v>
      </c>
      <c r="J1346" t="s">
        <v>15</v>
      </c>
      <c r="K1346" s="2">
        <v>17400</v>
      </c>
      <c r="L1346" s="3">
        <v>22</v>
      </c>
      <c r="M1346" s="3">
        <v>70.3</v>
      </c>
      <c r="N1346" s="3">
        <v>0</v>
      </c>
      <c r="O1346" s="2">
        <v>49</v>
      </c>
      <c r="P1346">
        <v>0</v>
      </c>
      <c r="Q1346" t="s">
        <v>14</v>
      </c>
      <c r="R1346" s="4">
        <v>48.22</v>
      </c>
      <c r="S1346" s="4">
        <v>0</v>
      </c>
      <c r="T1346" t="s">
        <v>31</v>
      </c>
      <c r="U1346" s="4">
        <v>4.9000000000000004</v>
      </c>
      <c r="V1346" s="4">
        <v>2.7709999999999999</v>
      </c>
      <c r="W1346" s="4">
        <v>48.22</v>
      </c>
    </row>
    <row r="1347" spans="1:23" ht="15" customHeight="1" x14ac:dyDescent="0.25">
      <c r="A1347">
        <v>1697</v>
      </c>
      <c r="B1347" s="1">
        <v>45882</v>
      </c>
      <c r="C1347">
        <v>0</v>
      </c>
      <c r="D1347" t="s">
        <v>48</v>
      </c>
      <c r="E1347">
        <v>8</v>
      </c>
      <c r="F1347" t="s">
        <v>38</v>
      </c>
      <c r="G1347" t="s">
        <v>33</v>
      </c>
      <c r="H1347" t="s">
        <v>49</v>
      </c>
      <c r="I1347" t="s">
        <v>27</v>
      </c>
      <c r="J1347" t="s">
        <v>18</v>
      </c>
      <c r="K1347" s="2">
        <v>26000</v>
      </c>
      <c r="L1347" s="3">
        <v>18.600000000000001</v>
      </c>
      <c r="M1347" s="3">
        <v>62.4</v>
      </c>
      <c r="N1347" s="3">
        <v>0</v>
      </c>
      <c r="O1347" s="2">
        <v>57</v>
      </c>
      <c r="P1347">
        <v>0</v>
      </c>
      <c r="Q1347" t="s">
        <v>14</v>
      </c>
      <c r="R1347" s="4">
        <v>109.44</v>
      </c>
      <c r="S1347" s="4">
        <v>0</v>
      </c>
      <c r="T1347" t="s">
        <v>31</v>
      </c>
      <c r="U1347" s="4">
        <v>11.35</v>
      </c>
      <c r="V1347" s="4">
        <v>4.2089999999999996</v>
      </c>
      <c r="W1347" s="4">
        <v>109.44</v>
      </c>
    </row>
    <row r="1348" spans="1:23" ht="15" customHeight="1" x14ac:dyDescent="0.25">
      <c r="A1348">
        <v>225</v>
      </c>
      <c r="B1348" s="1">
        <v>45882</v>
      </c>
      <c r="C1348">
        <v>0</v>
      </c>
      <c r="D1348" t="s">
        <v>48</v>
      </c>
      <c r="E1348">
        <v>8</v>
      </c>
      <c r="F1348" t="s">
        <v>38</v>
      </c>
      <c r="G1348" t="s">
        <v>33</v>
      </c>
      <c r="H1348" t="s">
        <v>53</v>
      </c>
      <c r="I1348" t="s">
        <v>19</v>
      </c>
      <c r="J1348" t="s">
        <v>26</v>
      </c>
      <c r="K1348" s="2">
        <v>12500</v>
      </c>
      <c r="L1348" s="3">
        <v>16.5</v>
      </c>
      <c r="M1348" s="3">
        <v>47.7</v>
      </c>
      <c r="N1348" s="3">
        <v>0</v>
      </c>
      <c r="O1348" s="2">
        <v>0</v>
      </c>
      <c r="P1348">
        <v>0</v>
      </c>
      <c r="Q1348" t="s">
        <v>14</v>
      </c>
      <c r="R1348" s="4">
        <v>24.43</v>
      </c>
      <c r="S1348" s="4">
        <v>0</v>
      </c>
      <c r="T1348" t="s">
        <v>31</v>
      </c>
      <c r="U1348" s="4">
        <v>2.4500000000000002</v>
      </c>
      <c r="V1348" s="4">
        <v>1.954</v>
      </c>
      <c r="W1348" s="4">
        <v>24.43</v>
      </c>
    </row>
    <row r="1349" spans="1:23" ht="15" customHeight="1" x14ac:dyDescent="0.25">
      <c r="A1349">
        <v>961</v>
      </c>
      <c r="B1349" s="1">
        <v>45882</v>
      </c>
      <c r="C1349">
        <v>0</v>
      </c>
      <c r="D1349" t="s">
        <v>48</v>
      </c>
      <c r="E1349">
        <v>8</v>
      </c>
      <c r="F1349" t="s">
        <v>38</v>
      </c>
      <c r="G1349" t="s">
        <v>33</v>
      </c>
      <c r="H1349" t="s">
        <v>50</v>
      </c>
      <c r="I1349" t="s">
        <v>22</v>
      </c>
      <c r="J1349" t="s">
        <v>12</v>
      </c>
      <c r="K1349" s="2">
        <v>21000</v>
      </c>
      <c r="L1349" s="3">
        <v>25.3</v>
      </c>
      <c r="M1349" s="3">
        <v>48.4</v>
      </c>
      <c r="N1349" s="3">
        <v>0</v>
      </c>
      <c r="O1349" s="2">
        <v>245</v>
      </c>
      <c r="P1349">
        <v>1</v>
      </c>
      <c r="Q1349" t="s">
        <v>20</v>
      </c>
      <c r="R1349" s="4">
        <v>187.62</v>
      </c>
      <c r="S1349" s="4">
        <v>0</v>
      </c>
      <c r="T1349" t="s">
        <v>31</v>
      </c>
      <c r="U1349" s="4">
        <v>18.86</v>
      </c>
      <c r="V1349" s="4">
        <v>8.9339999999999993</v>
      </c>
      <c r="W1349" s="4">
        <v>187.62</v>
      </c>
    </row>
    <row r="1350" spans="1:23" ht="15" customHeight="1" x14ac:dyDescent="0.25">
      <c r="A1350">
        <v>2065</v>
      </c>
      <c r="B1350" s="1">
        <v>45882</v>
      </c>
      <c r="C1350">
        <v>0</v>
      </c>
      <c r="D1350" t="s">
        <v>48</v>
      </c>
      <c r="E1350">
        <v>8</v>
      </c>
      <c r="F1350" t="s">
        <v>38</v>
      </c>
      <c r="G1350" t="s">
        <v>33</v>
      </c>
      <c r="H1350" t="s">
        <v>52</v>
      </c>
      <c r="I1350" t="s">
        <v>13</v>
      </c>
      <c r="J1350" t="s">
        <v>21</v>
      </c>
      <c r="K1350" s="2">
        <v>9800</v>
      </c>
      <c r="L1350" s="3">
        <v>22.1</v>
      </c>
      <c r="M1350" s="3">
        <v>50.7</v>
      </c>
      <c r="N1350" s="3">
        <v>0</v>
      </c>
      <c r="O1350" s="2">
        <v>290</v>
      </c>
      <c r="P1350">
        <v>0</v>
      </c>
      <c r="Q1350" t="s">
        <v>14</v>
      </c>
      <c r="R1350" s="4">
        <v>92.28</v>
      </c>
      <c r="S1350" s="4">
        <v>0</v>
      </c>
      <c r="T1350" t="s">
        <v>31</v>
      </c>
      <c r="U1350" s="4">
        <v>9.1199999999999992</v>
      </c>
      <c r="V1350" s="4">
        <v>9.4160000000000004</v>
      </c>
      <c r="W1350" s="4">
        <v>92.28</v>
      </c>
    </row>
    <row r="1351" spans="1:23" ht="15" customHeight="1" x14ac:dyDescent="0.25">
      <c r="A1351">
        <v>593</v>
      </c>
      <c r="B1351" s="1">
        <v>45882</v>
      </c>
      <c r="C1351">
        <v>0</v>
      </c>
      <c r="D1351" t="s">
        <v>48</v>
      </c>
      <c r="E1351">
        <v>8</v>
      </c>
      <c r="F1351" t="s">
        <v>38</v>
      </c>
      <c r="G1351" t="s">
        <v>33</v>
      </c>
      <c r="H1351" t="s">
        <v>54</v>
      </c>
      <c r="I1351" t="s">
        <v>16</v>
      </c>
      <c r="J1351" t="s">
        <v>24</v>
      </c>
      <c r="K1351" s="2">
        <v>8600</v>
      </c>
      <c r="L1351" s="3">
        <v>14.6</v>
      </c>
      <c r="M1351" s="3">
        <v>67.900000000000006</v>
      </c>
      <c r="N1351" s="3"/>
      <c r="O1351" s="2">
        <v>20</v>
      </c>
      <c r="P1351">
        <v>0</v>
      </c>
      <c r="Q1351" t="s">
        <v>14</v>
      </c>
      <c r="R1351" s="4">
        <v>13.33</v>
      </c>
      <c r="S1351" s="4">
        <v>0</v>
      </c>
      <c r="T1351" t="s">
        <v>31</v>
      </c>
      <c r="U1351" s="4">
        <v>1.4</v>
      </c>
      <c r="V1351" s="4">
        <v>1.55</v>
      </c>
      <c r="W1351" s="4">
        <v>13.33</v>
      </c>
    </row>
    <row r="1352" spans="1:23" ht="15" customHeight="1" x14ac:dyDescent="0.25">
      <c r="A1352">
        <v>962</v>
      </c>
      <c r="B1352" s="1">
        <v>45882.333333333343</v>
      </c>
      <c r="C1352">
        <v>8</v>
      </c>
      <c r="D1352" t="s">
        <v>48</v>
      </c>
      <c r="E1352">
        <v>8</v>
      </c>
      <c r="F1352" t="s">
        <v>38</v>
      </c>
      <c r="G1352" t="s">
        <v>33</v>
      </c>
      <c r="H1352" t="s">
        <v>50</v>
      </c>
      <c r="I1352" t="s">
        <v>22</v>
      </c>
      <c r="J1352" t="s">
        <v>12</v>
      </c>
      <c r="K1352" s="2">
        <v>21000</v>
      </c>
      <c r="L1352" s="3">
        <v>26.1</v>
      </c>
      <c r="M1352" s="3">
        <v>45.1</v>
      </c>
      <c r="N1352" s="3">
        <v>329.2</v>
      </c>
      <c r="O1352" s="2">
        <v>416</v>
      </c>
      <c r="P1352">
        <v>1</v>
      </c>
      <c r="Q1352" t="s">
        <v>20</v>
      </c>
      <c r="R1352" s="4">
        <v>204.6</v>
      </c>
      <c r="S1352" s="4">
        <v>66.930000000000007</v>
      </c>
      <c r="T1352" t="s">
        <v>34</v>
      </c>
      <c r="U1352" s="4">
        <v>23.27</v>
      </c>
      <c r="V1352" s="4">
        <v>9.7430000000000003</v>
      </c>
      <c r="W1352" s="4">
        <v>137.66999999999999</v>
      </c>
    </row>
    <row r="1353" spans="1:23" ht="15" customHeight="1" x14ac:dyDescent="0.25">
      <c r="A1353">
        <v>1698</v>
      </c>
      <c r="B1353" s="1">
        <v>45882.333333333343</v>
      </c>
      <c r="C1353">
        <v>8</v>
      </c>
      <c r="D1353" t="s">
        <v>48</v>
      </c>
      <c r="E1353">
        <v>8</v>
      </c>
      <c r="F1353" t="s">
        <v>38</v>
      </c>
      <c r="G1353" t="s">
        <v>33</v>
      </c>
      <c r="H1353" t="s">
        <v>49</v>
      </c>
      <c r="I1353" t="s">
        <v>27</v>
      </c>
      <c r="J1353" t="s">
        <v>18</v>
      </c>
      <c r="K1353" s="2">
        <v>26000</v>
      </c>
      <c r="L1353" s="3">
        <v>22.3</v>
      </c>
      <c r="M1353" s="3">
        <v>46.8</v>
      </c>
      <c r="N1353" s="3">
        <v>343.6</v>
      </c>
      <c r="O1353" s="2">
        <v>177</v>
      </c>
      <c r="P1353">
        <v>0</v>
      </c>
      <c r="Q1353" t="s">
        <v>14</v>
      </c>
      <c r="R1353" s="4">
        <v>154.38999999999999</v>
      </c>
      <c r="S1353" s="4">
        <v>91.36</v>
      </c>
      <c r="T1353" t="s">
        <v>34</v>
      </c>
      <c r="U1353" s="4">
        <v>10.19</v>
      </c>
      <c r="V1353" s="4">
        <v>5.9379999999999997</v>
      </c>
      <c r="W1353" s="4">
        <v>63.03</v>
      </c>
    </row>
    <row r="1354" spans="1:23" ht="15" customHeight="1" x14ac:dyDescent="0.25">
      <c r="A1354">
        <v>2066</v>
      </c>
      <c r="B1354" s="1">
        <v>45882.333333333343</v>
      </c>
      <c r="C1354">
        <v>8</v>
      </c>
      <c r="D1354" t="s">
        <v>48</v>
      </c>
      <c r="E1354">
        <v>8</v>
      </c>
      <c r="F1354" t="s">
        <v>38</v>
      </c>
      <c r="G1354" t="s">
        <v>33</v>
      </c>
      <c r="H1354" t="s">
        <v>52</v>
      </c>
      <c r="I1354" t="s">
        <v>13</v>
      </c>
      <c r="J1354" t="s">
        <v>21</v>
      </c>
      <c r="K1354" s="2">
        <v>9800</v>
      </c>
      <c r="L1354" s="3">
        <v>20.100000000000001</v>
      </c>
      <c r="M1354" s="3"/>
      <c r="N1354" s="3">
        <v>289.2</v>
      </c>
      <c r="O1354" s="2">
        <v>65</v>
      </c>
      <c r="P1354">
        <v>0</v>
      </c>
      <c r="Q1354" t="s">
        <v>14</v>
      </c>
      <c r="R1354" s="4">
        <v>16.079999999999998</v>
      </c>
      <c r="S1354" s="4">
        <v>0</v>
      </c>
      <c r="T1354" t="s">
        <v>34</v>
      </c>
      <c r="U1354" s="4">
        <v>2.69</v>
      </c>
      <c r="V1354" s="4">
        <v>1.641</v>
      </c>
      <c r="W1354" s="4">
        <v>16.079999999999998</v>
      </c>
    </row>
    <row r="1355" spans="1:23" ht="15" customHeight="1" x14ac:dyDescent="0.25">
      <c r="A1355">
        <v>594</v>
      </c>
      <c r="B1355" s="1">
        <v>45882.333333333343</v>
      </c>
      <c r="C1355">
        <v>8</v>
      </c>
      <c r="D1355" t="s">
        <v>48</v>
      </c>
      <c r="E1355">
        <v>8</v>
      </c>
      <c r="F1355" t="s">
        <v>38</v>
      </c>
      <c r="G1355" t="s">
        <v>33</v>
      </c>
      <c r="H1355" t="s">
        <v>54</v>
      </c>
      <c r="I1355" t="s">
        <v>16</v>
      </c>
      <c r="J1355" t="s">
        <v>24</v>
      </c>
      <c r="K1355" s="2">
        <v>8600</v>
      </c>
      <c r="L1355" s="3">
        <v>18.100000000000001</v>
      </c>
      <c r="M1355" s="3">
        <v>80.400000000000006</v>
      </c>
      <c r="N1355" s="3">
        <v>302.60000000000002</v>
      </c>
      <c r="O1355" s="2">
        <v>49</v>
      </c>
      <c r="P1355">
        <v>0</v>
      </c>
      <c r="Q1355" t="s">
        <v>14</v>
      </c>
      <c r="R1355" s="4">
        <v>10.3</v>
      </c>
      <c r="S1355" s="4">
        <v>22.71</v>
      </c>
      <c r="T1355" t="s">
        <v>34</v>
      </c>
      <c r="U1355" s="4">
        <v>-0.82</v>
      </c>
      <c r="V1355" s="4">
        <v>1.198</v>
      </c>
      <c r="W1355" s="4">
        <v>0</v>
      </c>
    </row>
    <row r="1356" spans="1:23" ht="15" customHeight="1" x14ac:dyDescent="0.25">
      <c r="A1356">
        <v>1330</v>
      </c>
      <c r="B1356" s="1">
        <v>45882.333333333343</v>
      </c>
      <c r="C1356">
        <v>8</v>
      </c>
      <c r="D1356" t="s">
        <v>48</v>
      </c>
      <c r="E1356">
        <v>8</v>
      </c>
      <c r="F1356" t="s">
        <v>38</v>
      </c>
      <c r="G1356" t="s">
        <v>33</v>
      </c>
      <c r="H1356" t="s">
        <v>51</v>
      </c>
      <c r="I1356" t="s">
        <v>25</v>
      </c>
      <c r="J1356" t="s">
        <v>15</v>
      </c>
      <c r="K1356" s="2">
        <v>17400</v>
      </c>
      <c r="L1356" s="3">
        <v>24.3</v>
      </c>
      <c r="M1356" s="3"/>
      <c r="N1356" s="3">
        <v>383.5</v>
      </c>
      <c r="O1356" s="2">
        <v>95</v>
      </c>
      <c r="P1356">
        <v>0</v>
      </c>
      <c r="Q1356" t="s">
        <v>14</v>
      </c>
      <c r="R1356" s="4">
        <v>40.54</v>
      </c>
      <c r="S1356" s="4">
        <v>48.89</v>
      </c>
      <c r="T1356" t="s">
        <v>34</v>
      </c>
      <c r="U1356" s="4">
        <v>-0.55000000000000004</v>
      </c>
      <c r="V1356" s="4">
        <v>2.33</v>
      </c>
      <c r="W1356" s="4">
        <v>0</v>
      </c>
    </row>
    <row r="1357" spans="1:23" ht="15" customHeight="1" x14ac:dyDescent="0.25">
      <c r="A1357">
        <v>226</v>
      </c>
      <c r="B1357" s="1">
        <v>45882.333333333343</v>
      </c>
      <c r="C1357">
        <v>8</v>
      </c>
      <c r="D1357" t="s">
        <v>48</v>
      </c>
      <c r="E1357">
        <v>8</v>
      </c>
      <c r="F1357" t="s">
        <v>38</v>
      </c>
      <c r="G1357" t="s">
        <v>33</v>
      </c>
      <c r="H1357" t="s">
        <v>53</v>
      </c>
      <c r="I1357" t="s">
        <v>19</v>
      </c>
      <c r="J1357" t="s">
        <v>26</v>
      </c>
      <c r="K1357" s="2">
        <v>12500</v>
      </c>
      <c r="L1357" s="3">
        <v>24.9</v>
      </c>
      <c r="M1357" s="3">
        <v>48.6</v>
      </c>
      <c r="N1357" s="3">
        <v>399.9</v>
      </c>
      <c r="O1357" s="2">
        <v>350</v>
      </c>
      <c r="P1357">
        <v>1</v>
      </c>
      <c r="Q1357" t="s">
        <v>20</v>
      </c>
      <c r="R1357" s="4">
        <v>71.69</v>
      </c>
      <c r="S1357" s="4">
        <v>61.99</v>
      </c>
      <c r="T1357" t="s">
        <v>34</v>
      </c>
      <c r="U1357" s="4">
        <v>1.64</v>
      </c>
      <c r="V1357" s="4">
        <v>5.7350000000000003</v>
      </c>
      <c r="W1357" s="4">
        <v>9.6999999999999993</v>
      </c>
    </row>
    <row r="1358" spans="1:23" ht="15" customHeight="1" x14ac:dyDescent="0.25">
      <c r="A1358">
        <v>1699</v>
      </c>
      <c r="B1358" s="1">
        <v>45882.583333333343</v>
      </c>
      <c r="C1358">
        <v>14</v>
      </c>
      <c r="D1358" t="s">
        <v>48</v>
      </c>
      <c r="E1358">
        <v>8</v>
      </c>
      <c r="F1358" t="s">
        <v>38</v>
      </c>
      <c r="G1358" t="s">
        <v>33</v>
      </c>
      <c r="H1358" t="s">
        <v>49</v>
      </c>
      <c r="I1358" t="s">
        <v>27</v>
      </c>
      <c r="J1358" t="s">
        <v>18</v>
      </c>
      <c r="K1358" s="2">
        <v>26000</v>
      </c>
      <c r="L1358" s="3">
        <v>32.1</v>
      </c>
      <c r="M1358" s="3">
        <v>66.7</v>
      </c>
      <c r="N1358" s="3">
        <v>668.1</v>
      </c>
      <c r="O1358" s="2">
        <v>159</v>
      </c>
      <c r="P1358">
        <v>1</v>
      </c>
      <c r="Q1358" t="s">
        <v>20</v>
      </c>
      <c r="R1358" s="4">
        <v>180.86</v>
      </c>
      <c r="S1358" s="4">
        <v>157.53</v>
      </c>
      <c r="T1358" t="s">
        <v>34</v>
      </c>
      <c r="U1358" s="4">
        <v>3.82</v>
      </c>
      <c r="V1358" s="4">
        <v>6.9560000000000004</v>
      </c>
      <c r="W1358" s="4">
        <v>23.33</v>
      </c>
    </row>
    <row r="1359" spans="1:23" ht="15" customHeight="1" x14ac:dyDescent="0.25">
      <c r="A1359">
        <v>595</v>
      </c>
      <c r="B1359" s="1">
        <v>45882.583333333343</v>
      </c>
      <c r="C1359">
        <v>14</v>
      </c>
      <c r="D1359" t="s">
        <v>48</v>
      </c>
      <c r="E1359">
        <v>8</v>
      </c>
      <c r="F1359" t="s">
        <v>38</v>
      </c>
      <c r="G1359" t="s">
        <v>33</v>
      </c>
      <c r="H1359" t="s">
        <v>54</v>
      </c>
      <c r="I1359" t="s">
        <v>16</v>
      </c>
      <c r="J1359" t="s">
        <v>24</v>
      </c>
      <c r="K1359" s="2">
        <v>8600</v>
      </c>
      <c r="L1359" s="3">
        <v>26.8</v>
      </c>
      <c r="M1359" s="3">
        <v>63.4</v>
      </c>
      <c r="N1359" s="3">
        <v>829.3</v>
      </c>
      <c r="O1359" s="2">
        <v>0</v>
      </c>
      <c r="P1359">
        <v>0</v>
      </c>
      <c r="Q1359" t="s">
        <v>14</v>
      </c>
      <c r="R1359" s="4">
        <v>8.0399999999999991</v>
      </c>
      <c r="S1359" s="4">
        <v>57.25</v>
      </c>
      <c r="T1359" t="s">
        <v>34</v>
      </c>
      <c r="U1359" s="4">
        <v>-3.31</v>
      </c>
      <c r="V1359" s="4">
        <v>0.93500000000000005</v>
      </c>
      <c r="W1359" s="4">
        <v>0</v>
      </c>
    </row>
    <row r="1360" spans="1:23" ht="15" customHeight="1" x14ac:dyDescent="0.25">
      <c r="A1360">
        <v>2067</v>
      </c>
      <c r="B1360" s="1">
        <v>45882.583333333343</v>
      </c>
      <c r="C1360">
        <v>14</v>
      </c>
      <c r="D1360" t="s">
        <v>48</v>
      </c>
      <c r="E1360">
        <v>8</v>
      </c>
      <c r="F1360" t="s">
        <v>38</v>
      </c>
      <c r="G1360" t="s">
        <v>33</v>
      </c>
      <c r="H1360" t="s">
        <v>52</v>
      </c>
      <c r="I1360" t="s">
        <v>13</v>
      </c>
      <c r="J1360" t="s">
        <v>21</v>
      </c>
      <c r="K1360" s="2">
        <v>9800</v>
      </c>
      <c r="L1360" s="3">
        <v>26.3</v>
      </c>
      <c r="M1360" s="3">
        <v>68.400000000000006</v>
      </c>
      <c r="N1360" s="3">
        <v>786.4</v>
      </c>
      <c r="O1360" s="2">
        <v>42</v>
      </c>
      <c r="P1360">
        <v>1</v>
      </c>
      <c r="Q1360" t="s">
        <v>20</v>
      </c>
      <c r="R1360" s="4">
        <v>22.18</v>
      </c>
      <c r="S1360" s="4">
        <v>0</v>
      </c>
      <c r="T1360" t="s">
        <v>34</v>
      </c>
      <c r="U1360" s="4">
        <v>3.72</v>
      </c>
      <c r="V1360" s="4">
        <v>2.2629999999999999</v>
      </c>
      <c r="W1360" s="4">
        <v>22.18</v>
      </c>
    </row>
    <row r="1361" spans="1:23" ht="15" customHeight="1" x14ac:dyDescent="0.25">
      <c r="A1361">
        <v>963</v>
      </c>
      <c r="B1361" s="1">
        <v>45882.583333333343</v>
      </c>
      <c r="C1361">
        <v>14</v>
      </c>
      <c r="D1361" t="s">
        <v>48</v>
      </c>
      <c r="E1361">
        <v>8</v>
      </c>
      <c r="F1361" t="s">
        <v>38</v>
      </c>
      <c r="G1361" t="s">
        <v>33</v>
      </c>
      <c r="H1361" t="s">
        <v>50</v>
      </c>
      <c r="I1361" t="s">
        <v>22</v>
      </c>
      <c r="J1361" t="s">
        <v>12</v>
      </c>
      <c r="K1361" s="2">
        <v>21000</v>
      </c>
      <c r="L1361" s="3">
        <v>33.700000000000003</v>
      </c>
      <c r="M1361" s="3">
        <v>41</v>
      </c>
      <c r="N1361" s="3">
        <v>869.7</v>
      </c>
      <c r="O1361" s="2">
        <v>405</v>
      </c>
      <c r="P1361">
        <v>1</v>
      </c>
      <c r="Q1361" t="s">
        <v>20</v>
      </c>
      <c r="R1361" s="4">
        <v>224.26</v>
      </c>
      <c r="S1361" s="4">
        <v>182.85</v>
      </c>
      <c r="T1361" t="s">
        <v>34</v>
      </c>
      <c r="U1361" s="4">
        <v>6.8</v>
      </c>
      <c r="V1361" s="4">
        <v>10.679</v>
      </c>
      <c r="W1361" s="4">
        <v>41.41</v>
      </c>
    </row>
    <row r="1362" spans="1:23" ht="15" customHeight="1" x14ac:dyDescent="0.25">
      <c r="A1362">
        <v>227</v>
      </c>
      <c r="B1362" s="1">
        <v>45882.583333333343</v>
      </c>
      <c r="C1362">
        <v>14</v>
      </c>
      <c r="D1362" t="s">
        <v>48</v>
      </c>
      <c r="E1362">
        <v>8</v>
      </c>
      <c r="F1362" t="s">
        <v>38</v>
      </c>
      <c r="G1362" t="s">
        <v>33</v>
      </c>
      <c r="H1362" t="s">
        <v>53</v>
      </c>
      <c r="I1362" t="s">
        <v>19</v>
      </c>
      <c r="J1362" t="s">
        <v>26</v>
      </c>
      <c r="K1362" s="2">
        <v>12500</v>
      </c>
      <c r="L1362" s="3">
        <v>29.3</v>
      </c>
      <c r="M1362" s="3">
        <v>37.299999999999997</v>
      </c>
      <c r="N1362" s="3">
        <v>929.4</v>
      </c>
      <c r="O1362" s="2">
        <v>536</v>
      </c>
      <c r="P1362">
        <v>1</v>
      </c>
      <c r="Q1362" t="s">
        <v>20</v>
      </c>
      <c r="R1362" s="4">
        <v>115.03</v>
      </c>
      <c r="S1362" s="4">
        <v>136.08000000000001</v>
      </c>
      <c r="T1362" t="s">
        <v>34</v>
      </c>
      <c r="U1362" s="4">
        <v>-1.36</v>
      </c>
      <c r="V1362" s="4">
        <v>9.202</v>
      </c>
      <c r="W1362" s="4">
        <v>0</v>
      </c>
    </row>
    <row r="1363" spans="1:23" ht="15" customHeight="1" x14ac:dyDescent="0.25">
      <c r="A1363">
        <v>1331</v>
      </c>
      <c r="B1363" s="1">
        <v>45882.583333333343</v>
      </c>
      <c r="C1363">
        <v>14</v>
      </c>
      <c r="D1363" t="s">
        <v>48</v>
      </c>
      <c r="E1363">
        <v>8</v>
      </c>
      <c r="F1363" t="s">
        <v>38</v>
      </c>
      <c r="G1363" t="s">
        <v>33</v>
      </c>
      <c r="H1363" t="s">
        <v>51</v>
      </c>
      <c r="I1363" t="s">
        <v>25</v>
      </c>
      <c r="J1363" t="s">
        <v>15</v>
      </c>
      <c r="K1363" s="2">
        <v>17400</v>
      </c>
      <c r="L1363" s="3">
        <v>33.700000000000003</v>
      </c>
      <c r="M1363" s="3">
        <v>74.900000000000006</v>
      </c>
      <c r="N1363" s="3">
        <v>533.1</v>
      </c>
      <c r="O1363" s="2">
        <v>1427</v>
      </c>
      <c r="P1363">
        <v>1</v>
      </c>
      <c r="Q1363" t="s">
        <v>20</v>
      </c>
      <c r="R1363" s="4">
        <v>223.84</v>
      </c>
      <c r="S1363" s="4">
        <v>64.459999999999994</v>
      </c>
      <c r="T1363" t="s">
        <v>34</v>
      </c>
      <c r="U1363" s="4">
        <v>26.57</v>
      </c>
      <c r="V1363" s="4">
        <v>12.864000000000001</v>
      </c>
      <c r="W1363" s="4">
        <v>159.38</v>
      </c>
    </row>
    <row r="1364" spans="1:23" ht="15" customHeight="1" x14ac:dyDescent="0.25">
      <c r="A1364">
        <v>1332</v>
      </c>
      <c r="B1364" s="1">
        <v>45882.833333333343</v>
      </c>
      <c r="C1364">
        <v>20</v>
      </c>
      <c r="D1364" t="s">
        <v>48</v>
      </c>
      <c r="E1364">
        <v>8</v>
      </c>
      <c r="F1364" t="s">
        <v>38</v>
      </c>
      <c r="G1364" t="s">
        <v>33</v>
      </c>
      <c r="H1364" t="s">
        <v>51</v>
      </c>
      <c r="I1364" t="s">
        <v>25</v>
      </c>
      <c r="J1364" t="s">
        <v>15</v>
      </c>
      <c r="K1364" s="2">
        <v>17400</v>
      </c>
      <c r="L1364" s="3">
        <v>24.9</v>
      </c>
      <c r="M1364" s="3">
        <v>59.6</v>
      </c>
      <c r="N1364" s="3">
        <v>0</v>
      </c>
      <c r="O1364" s="2">
        <v>1492</v>
      </c>
      <c r="P1364">
        <v>1</v>
      </c>
      <c r="Q1364" t="s">
        <v>20</v>
      </c>
      <c r="R1364" s="4">
        <v>296.44</v>
      </c>
      <c r="S1364" s="4">
        <v>0</v>
      </c>
      <c r="T1364" t="s">
        <v>37</v>
      </c>
      <c r="U1364" s="4">
        <v>70.349999999999994</v>
      </c>
      <c r="V1364" s="4">
        <v>17.036999999999999</v>
      </c>
      <c r="W1364" s="4">
        <v>296.44</v>
      </c>
    </row>
    <row r="1365" spans="1:23" ht="15" customHeight="1" x14ac:dyDescent="0.25">
      <c r="A1365">
        <v>596</v>
      </c>
      <c r="B1365" s="1">
        <v>45882.833333333343</v>
      </c>
      <c r="C1365">
        <v>20</v>
      </c>
      <c r="D1365" t="s">
        <v>48</v>
      </c>
      <c r="E1365">
        <v>8</v>
      </c>
      <c r="F1365" t="s">
        <v>38</v>
      </c>
      <c r="G1365" t="s">
        <v>33</v>
      </c>
      <c r="H1365" t="s">
        <v>54</v>
      </c>
      <c r="I1365" t="s">
        <v>16</v>
      </c>
      <c r="J1365" t="s">
        <v>24</v>
      </c>
      <c r="K1365" s="2">
        <v>8600</v>
      </c>
      <c r="L1365" s="3">
        <v>21.2</v>
      </c>
      <c r="M1365" s="3">
        <v>76</v>
      </c>
      <c r="N1365" s="3">
        <v>0</v>
      </c>
      <c r="O1365" s="2">
        <v>0</v>
      </c>
      <c r="P1365">
        <v>0</v>
      </c>
      <c r="Q1365" t="s">
        <v>14</v>
      </c>
      <c r="R1365" s="4">
        <v>11.66</v>
      </c>
      <c r="S1365" s="4">
        <v>0</v>
      </c>
      <c r="T1365" t="s">
        <v>37</v>
      </c>
      <c r="U1365" s="4">
        <v>2.99</v>
      </c>
      <c r="V1365" s="4">
        <v>1.3560000000000001</v>
      </c>
      <c r="W1365" s="4">
        <v>11.66</v>
      </c>
    </row>
    <row r="1366" spans="1:23" ht="15" customHeight="1" x14ac:dyDescent="0.25">
      <c r="A1366">
        <v>228</v>
      </c>
      <c r="B1366" s="1">
        <v>45882.833333333343</v>
      </c>
      <c r="C1366">
        <v>20</v>
      </c>
      <c r="D1366" t="s">
        <v>48</v>
      </c>
      <c r="E1366">
        <v>8</v>
      </c>
      <c r="F1366" t="s">
        <v>38</v>
      </c>
      <c r="G1366" t="s">
        <v>33</v>
      </c>
      <c r="H1366" t="s">
        <v>53</v>
      </c>
      <c r="I1366" t="s">
        <v>19</v>
      </c>
      <c r="J1366" t="s">
        <v>26</v>
      </c>
      <c r="K1366" s="2">
        <v>12500</v>
      </c>
      <c r="L1366" s="3">
        <v>23.8</v>
      </c>
      <c r="M1366" s="3">
        <v>50.2</v>
      </c>
      <c r="N1366" s="3">
        <v>0</v>
      </c>
      <c r="O1366" s="2">
        <v>67</v>
      </c>
      <c r="P1366">
        <v>1</v>
      </c>
      <c r="Q1366" t="s">
        <v>23</v>
      </c>
      <c r="R1366" s="4">
        <v>40.18</v>
      </c>
      <c r="S1366" s="4">
        <v>0</v>
      </c>
      <c r="T1366" t="s">
        <v>37</v>
      </c>
      <c r="U1366" s="4">
        <v>9.9700000000000006</v>
      </c>
      <c r="V1366" s="4">
        <v>3.214</v>
      </c>
      <c r="W1366" s="4">
        <v>40.18</v>
      </c>
    </row>
    <row r="1367" spans="1:23" ht="15" customHeight="1" x14ac:dyDescent="0.25">
      <c r="A1367">
        <v>964</v>
      </c>
      <c r="B1367" s="1">
        <v>45882.833333333343</v>
      </c>
      <c r="C1367">
        <v>20</v>
      </c>
      <c r="D1367" t="s">
        <v>48</v>
      </c>
      <c r="E1367">
        <v>8</v>
      </c>
      <c r="F1367" t="s">
        <v>38</v>
      </c>
      <c r="G1367" t="s">
        <v>33</v>
      </c>
      <c r="H1367" t="s">
        <v>50</v>
      </c>
      <c r="I1367" t="s">
        <v>22</v>
      </c>
      <c r="J1367" t="s">
        <v>12</v>
      </c>
      <c r="K1367" s="2">
        <v>21000</v>
      </c>
      <c r="L1367" s="3">
        <v>31.9</v>
      </c>
      <c r="M1367" s="3">
        <v>53.2</v>
      </c>
      <c r="N1367" s="3">
        <v>0</v>
      </c>
      <c r="O1367" s="2">
        <v>403</v>
      </c>
      <c r="P1367">
        <v>1</v>
      </c>
      <c r="Q1367" t="s">
        <v>20</v>
      </c>
      <c r="R1367" s="4">
        <v>307.2</v>
      </c>
      <c r="S1367" s="4">
        <v>0</v>
      </c>
      <c r="T1367" t="s">
        <v>37</v>
      </c>
      <c r="U1367" s="4">
        <v>80.489999999999995</v>
      </c>
      <c r="V1367" s="4">
        <v>14.629</v>
      </c>
      <c r="W1367" s="4">
        <v>307.2</v>
      </c>
    </row>
    <row r="1368" spans="1:23" ht="15" customHeight="1" x14ac:dyDescent="0.25">
      <c r="A1368">
        <v>1700</v>
      </c>
      <c r="B1368" s="1">
        <v>45882.833333333343</v>
      </c>
      <c r="C1368">
        <v>20</v>
      </c>
      <c r="D1368" t="s">
        <v>48</v>
      </c>
      <c r="E1368">
        <v>8</v>
      </c>
      <c r="F1368" t="s">
        <v>38</v>
      </c>
      <c r="G1368" t="s">
        <v>33</v>
      </c>
      <c r="H1368" t="s">
        <v>49</v>
      </c>
      <c r="I1368" t="s">
        <v>27</v>
      </c>
      <c r="J1368" t="s">
        <v>18</v>
      </c>
      <c r="K1368" s="2">
        <v>26000</v>
      </c>
      <c r="L1368" s="3">
        <v>28.2</v>
      </c>
      <c r="M1368" s="3">
        <v>41.3</v>
      </c>
      <c r="N1368" s="3">
        <v>0</v>
      </c>
      <c r="O1368" s="2">
        <v>186</v>
      </c>
      <c r="P1368">
        <v>1</v>
      </c>
      <c r="Q1368" t="s">
        <v>20</v>
      </c>
      <c r="R1368" s="4">
        <v>280.02999999999997</v>
      </c>
      <c r="S1368" s="4">
        <v>0</v>
      </c>
      <c r="T1368" t="s">
        <v>37</v>
      </c>
      <c r="U1368" s="4">
        <v>68.86</v>
      </c>
      <c r="V1368" s="4">
        <v>10.77</v>
      </c>
      <c r="W1368" s="4">
        <v>280.02999999999997</v>
      </c>
    </row>
    <row r="1369" spans="1:23" ht="15" customHeight="1" x14ac:dyDescent="0.25">
      <c r="A1369">
        <v>2068</v>
      </c>
      <c r="B1369" s="1">
        <v>45882.833333333343</v>
      </c>
      <c r="C1369">
        <v>20</v>
      </c>
      <c r="D1369" t="s">
        <v>48</v>
      </c>
      <c r="E1369">
        <v>8</v>
      </c>
      <c r="F1369" t="s">
        <v>38</v>
      </c>
      <c r="G1369" t="s">
        <v>33</v>
      </c>
      <c r="H1369" t="s">
        <v>52</v>
      </c>
      <c r="I1369" t="s">
        <v>13</v>
      </c>
      <c r="J1369" t="s">
        <v>21</v>
      </c>
      <c r="K1369" s="2">
        <v>9800</v>
      </c>
      <c r="L1369" s="3">
        <v>24.2</v>
      </c>
      <c r="M1369" s="3">
        <v>77.599999999999994</v>
      </c>
      <c r="N1369" s="3">
        <v>0</v>
      </c>
      <c r="O1369" s="2">
        <v>328</v>
      </c>
      <c r="P1369">
        <v>1</v>
      </c>
      <c r="Q1369" t="s">
        <v>20</v>
      </c>
      <c r="R1369" s="4">
        <v>108.46</v>
      </c>
      <c r="S1369" s="4">
        <v>0</v>
      </c>
      <c r="T1369" t="s">
        <v>37</v>
      </c>
      <c r="U1369" s="4">
        <v>27.27</v>
      </c>
      <c r="V1369" s="4">
        <v>11.067</v>
      </c>
      <c r="W1369" s="4">
        <v>108.46</v>
      </c>
    </row>
    <row r="1370" spans="1:23" ht="15" customHeight="1" x14ac:dyDescent="0.25">
      <c r="A1370">
        <v>229</v>
      </c>
      <c r="B1370" s="1">
        <v>45886</v>
      </c>
      <c r="C1370">
        <v>0</v>
      </c>
      <c r="D1370" t="s">
        <v>55</v>
      </c>
      <c r="E1370">
        <v>8</v>
      </c>
      <c r="F1370" t="s">
        <v>38</v>
      </c>
      <c r="G1370" t="s">
        <v>36</v>
      </c>
      <c r="H1370" t="s">
        <v>53</v>
      </c>
      <c r="I1370" t="s">
        <v>19</v>
      </c>
      <c r="J1370" t="s">
        <v>26</v>
      </c>
      <c r="K1370" s="2">
        <v>12500</v>
      </c>
      <c r="L1370" s="3">
        <v>17.8</v>
      </c>
      <c r="M1370" s="3">
        <v>44</v>
      </c>
      <c r="N1370" s="3">
        <v>0</v>
      </c>
      <c r="O1370" s="2">
        <v>36</v>
      </c>
      <c r="P1370">
        <v>0</v>
      </c>
      <c r="Q1370" t="s">
        <v>14</v>
      </c>
      <c r="R1370" s="4">
        <v>24.78</v>
      </c>
      <c r="S1370" s="4">
        <v>0</v>
      </c>
      <c r="T1370" t="s">
        <v>31</v>
      </c>
      <c r="U1370" s="4">
        <v>2.5299999999999998</v>
      </c>
      <c r="V1370" s="4">
        <v>1.982</v>
      </c>
      <c r="W1370" s="4">
        <v>24.78</v>
      </c>
    </row>
    <row r="1371" spans="1:23" ht="15" customHeight="1" x14ac:dyDescent="0.25">
      <c r="A1371">
        <v>1333</v>
      </c>
      <c r="B1371" s="1">
        <v>45886</v>
      </c>
      <c r="C1371">
        <v>0</v>
      </c>
      <c r="D1371" t="s">
        <v>55</v>
      </c>
      <c r="E1371">
        <v>8</v>
      </c>
      <c r="F1371" t="s">
        <v>38</v>
      </c>
      <c r="G1371" t="s">
        <v>36</v>
      </c>
      <c r="H1371" t="s">
        <v>51</v>
      </c>
      <c r="I1371" t="s">
        <v>25</v>
      </c>
      <c r="J1371" t="s">
        <v>15</v>
      </c>
      <c r="K1371" s="2">
        <v>17400</v>
      </c>
      <c r="L1371" s="3">
        <v>22.9</v>
      </c>
      <c r="M1371" s="3">
        <v>62.6</v>
      </c>
      <c r="N1371" s="3">
        <v>0</v>
      </c>
      <c r="O1371" s="2">
        <v>0</v>
      </c>
      <c r="P1371">
        <v>0</v>
      </c>
      <c r="Q1371" t="s">
        <v>14</v>
      </c>
      <c r="R1371" s="4">
        <v>46.28</v>
      </c>
      <c r="S1371" s="4">
        <v>0</v>
      </c>
      <c r="T1371" t="s">
        <v>31</v>
      </c>
      <c r="U1371" s="4">
        <v>4.7699999999999996</v>
      </c>
      <c r="V1371" s="4">
        <v>2.66</v>
      </c>
      <c r="W1371" s="4">
        <v>46.28</v>
      </c>
    </row>
    <row r="1372" spans="1:23" ht="15" customHeight="1" x14ac:dyDescent="0.25">
      <c r="A1372">
        <v>1701</v>
      </c>
      <c r="B1372" s="1">
        <v>45886</v>
      </c>
      <c r="C1372">
        <v>0</v>
      </c>
      <c r="D1372" t="s">
        <v>55</v>
      </c>
      <c r="E1372">
        <v>8</v>
      </c>
      <c r="F1372" t="s">
        <v>38</v>
      </c>
      <c r="G1372" t="s">
        <v>36</v>
      </c>
      <c r="H1372" t="s">
        <v>49</v>
      </c>
      <c r="I1372" t="s">
        <v>27</v>
      </c>
      <c r="J1372" t="s">
        <v>18</v>
      </c>
      <c r="K1372" s="2">
        <v>26000</v>
      </c>
      <c r="L1372" s="3">
        <v>22.9</v>
      </c>
      <c r="M1372" s="3">
        <v>47.3</v>
      </c>
      <c r="N1372" s="3">
        <v>0</v>
      </c>
      <c r="O1372" s="2">
        <v>32</v>
      </c>
      <c r="P1372">
        <v>0</v>
      </c>
      <c r="Q1372" t="s">
        <v>14</v>
      </c>
      <c r="R1372" s="4">
        <v>81.010000000000005</v>
      </c>
      <c r="S1372" s="4">
        <v>0</v>
      </c>
      <c r="T1372" t="s">
        <v>31</v>
      </c>
      <c r="U1372" s="4">
        <v>8.59</v>
      </c>
      <c r="V1372" s="4">
        <v>3.1160000000000001</v>
      </c>
      <c r="W1372" s="4">
        <v>81.010000000000005</v>
      </c>
    </row>
    <row r="1373" spans="1:23" ht="15" customHeight="1" x14ac:dyDescent="0.25">
      <c r="A1373">
        <v>965</v>
      </c>
      <c r="B1373" s="1">
        <v>45886</v>
      </c>
      <c r="C1373">
        <v>0</v>
      </c>
      <c r="D1373" t="s">
        <v>55</v>
      </c>
      <c r="E1373">
        <v>8</v>
      </c>
      <c r="F1373" t="s">
        <v>38</v>
      </c>
      <c r="G1373" t="s">
        <v>36</v>
      </c>
      <c r="H1373" t="s">
        <v>50</v>
      </c>
      <c r="I1373" t="s">
        <v>22</v>
      </c>
      <c r="J1373" t="s">
        <v>12</v>
      </c>
      <c r="K1373" s="2">
        <v>21000</v>
      </c>
      <c r="L1373" s="3">
        <v>23</v>
      </c>
      <c r="M1373" s="3">
        <v>52.8</v>
      </c>
      <c r="N1373" s="3">
        <v>0</v>
      </c>
      <c r="O1373" s="2">
        <v>207</v>
      </c>
      <c r="P1373">
        <v>0</v>
      </c>
      <c r="Q1373" t="s">
        <v>14</v>
      </c>
      <c r="R1373" s="4">
        <v>176.21</v>
      </c>
      <c r="S1373" s="4">
        <v>0</v>
      </c>
      <c r="T1373" t="s">
        <v>31</v>
      </c>
      <c r="U1373" s="4">
        <v>18.03</v>
      </c>
      <c r="V1373" s="4">
        <v>8.391</v>
      </c>
      <c r="W1373" s="4">
        <v>176.21</v>
      </c>
    </row>
    <row r="1374" spans="1:23" ht="15" customHeight="1" x14ac:dyDescent="0.25">
      <c r="A1374">
        <v>2069</v>
      </c>
      <c r="B1374" s="1">
        <v>45886</v>
      </c>
      <c r="C1374">
        <v>0</v>
      </c>
      <c r="D1374" t="s">
        <v>55</v>
      </c>
      <c r="E1374">
        <v>8</v>
      </c>
      <c r="F1374" t="s">
        <v>38</v>
      </c>
      <c r="G1374" t="s">
        <v>36</v>
      </c>
      <c r="H1374" t="s">
        <v>52</v>
      </c>
      <c r="I1374" t="s">
        <v>13</v>
      </c>
      <c r="J1374" t="s">
        <v>21</v>
      </c>
      <c r="K1374" s="2">
        <v>9800</v>
      </c>
      <c r="L1374" s="3">
        <v>20.3</v>
      </c>
      <c r="M1374" s="3">
        <v>81.900000000000006</v>
      </c>
      <c r="N1374" s="3">
        <v>0</v>
      </c>
      <c r="O1374" s="2">
        <v>269</v>
      </c>
      <c r="P1374">
        <v>0</v>
      </c>
      <c r="Q1374" t="s">
        <v>14</v>
      </c>
      <c r="R1374" s="4">
        <v>87.05</v>
      </c>
      <c r="S1374" s="4">
        <v>0</v>
      </c>
      <c r="T1374" t="s">
        <v>31</v>
      </c>
      <c r="U1374" s="4">
        <v>9.01</v>
      </c>
      <c r="V1374" s="4">
        <v>8.8829999999999991</v>
      </c>
      <c r="W1374" s="4">
        <v>87.05</v>
      </c>
    </row>
    <row r="1375" spans="1:23" ht="15" customHeight="1" x14ac:dyDescent="0.25">
      <c r="A1375">
        <v>597</v>
      </c>
      <c r="B1375" s="1">
        <v>45886</v>
      </c>
      <c r="C1375">
        <v>0</v>
      </c>
      <c r="D1375" t="s">
        <v>55</v>
      </c>
      <c r="E1375">
        <v>8</v>
      </c>
      <c r="F1375" t="s">
        <v>38</v>
      </c>
      <c r="G1375" t="s">
        <v>36</v>
      </c>
      <c r="H1375" t="s">
        <v>54</v>
      </c>
      <c r="I1375" t="s">
        <v>16</v>
      </c>
      <c r="J1375" t="s">
        <v>24</v>
      </c>
      <c r="K1375" s="2">
        <v>8600</v>
      </c>
      <c r="L1375" s="3">
        <v>16.3</v>
      </c>
      <c r="M1375" s="3">
        <v>83.1</v>
      </c>
      <c r="N1375" s="3">
        <v>0</v>
      </c>
      <c r="O1375" s="2">
        <v>0</v>
      </c>
      <c r="P1375">
        <v>0</v>
      </c>
      <c r="Q1375" t="s">
        <v>14</v>
      </c>
      <c r="R1375" s="4">
        <v>11.79</v>
      </c>
      <c r="S1375" s="4">
        <v>0</v>
      </c>
      <c r="T1375" t="s">
        <v>31</v>
      </c>
      <c r="U1375" s="4">
        <v>1.23</v>
      </c>
      <c r="V1375" s="4">
        <v>1.371</v>
      </c>
      <c r="W1375" s="4">
        <v>11.79</v>
      </c>
    </row>
    <row r="1376" spans="1:23" ht="15" customHeight="1" x14ac:dyDescent="0.25">
      <c r="A1376">
        <v>598</v>
      </c>
      <c r="B1376" s="1">
        <v>45886.333333333343</v>
      </c>
      <c r="C1376">
        <v>8</v>
      </c>
      <c r="D1376" t="s">
        <v>55</v>
      </c>
      <c r="E1376">
        <v>8</v>
      </c>
      <c r="F1376" t="s">
        <v>38</v>
      </c>
      <c r="G1376" t="s">
        <v>36</v>
      </c>
      <c r="H1376" t="s">
        <v>54</v>
      </c>
      <c r="I1376" t="s">
        <v>16</v>
      </c>
      <c r="J1376" t="s">
        <v>24</v>
      </c>
      <c r="K1376" s="2">
        <v>8600</v>
      </c>
      <c r="L1376" s="3">
        <v>17.100000000000001</v>
      </c>
      <c r="M1376" s="3">
        <v>79</v>
      </c>
      <c r="N1376" s="3">
        <v>238.7</v>
      </c>
      <c r="O1376" s="2">
        <v>59</v>
      </c>
      <c r="P1376">
        <v>0</v>
      </c>
      <c r="Q1376" t="s">
        <v>14</v>
      </c>
      <c r="R1376" s="4">
        <v>11.3</v>
      </c>
      <c r="S1376" s="4">
        <v>17.77</v>
      </c>
      <c r="T1376" t="s">
        <v>31</v>
      </c>
      <c r="U1376" s="4">
        <v>-0.28000000000000003</v>
      </c>
      <c r="V1376" s="4">
        <v>1.3140000000000001</v>
      </c>
      <c r="W1376" s="4">
        <v>0</v>
      </c>
    </row>
    <row r="1377" spans="1:23" ht="15" customHeight="1" x14ac:dyDescent="0.25">
      <c r="A1377">
        <v>966</v>
      </c>
      <c r="B1377" s="1">
        <v>45886.333333333343</v>
      </c>
      <c r="C1377">
        <v>8</v>
      </c>
      <c r="D1377" t="s">
        <v>55</v>
      </c>
      <c r="E1377">
        <v>8</v>
      </c>
      <c r="F1377" t="s">
        <v>38</v>
      </c>
      <c r="G1377" t="s">
        <v>36</v>
      </c>
      <c r="H1377" t="s">
        <v>50</v>
      </c>
      <c r="I1377" t="s">
        <v>22</v>
      </c>
      <c r="J1377" t="s">
        <v>12</v>
      </c>
      <c r="K1377" s="2">
        <v>21000</v>
      </c>
      <c r="L1377" s="3">
        <v>27.5</v>
      </c>
      <c r="M1377" s="3">
        <v>50.6</v>
      </c>
      <c r="N1377" s="3">
        <v>379.3</v>
      </c>
      <c r="O1377" s="2">
        <v>419</v>
      </c>
      <c r="P1377">
        <v>1</v>
      </c>
      <c r="Q1377" t="s">
        <v>20</v>
      </c>
      <c r="R1377" s="4">
        <v>236.31</v>
      </c>
      <c r="S1377" s="4">
        <v>76.87</v>
      </c>
      <c r="T1377" t="s">
        <v>31</v>
      </c>
      <c r="U1377" s="4">
        <v>16.739999999999998</v>
      </c>
      <c r="V1377" s="4">
        <v>11.253</v>
      </c>
      <c r="W1377" s="4">
        <v>159.44</v>
      </c>
    </row>
    <row r="1378" spans="1:23" ht="15" customHeight="1" x14ac:dyDescent="0.25">
      <c r="A1378">
        <v>230</v>
      </c>
      <c r="B1378" s="1">
        <v>45886.333333333343</v>
      </c>
      <c r="C1378">
        <v>8</v>
      </c>
      <c r="D1378" t="s">
        <v>55</v>
      </c>
      <c r="E1378">
        <v>8</v>
      </c>
      <c r="F1378" t="s">
        <v>38</v>
      </c>
      <c r="G1378" t="s">
        <v>36</v>
      </c>
      <c r="H1378" t="s">
        <v>53</v>
      </c>
      <c r="I1378" t="s">
        <v>19</v>
      </c>
      <c r="J1378" t="s">
        <v>26</v>
      </c>
      <c r="K1378" s="2">
        <v>12500</v>
      </c>
      <c r="L1378" s="3">
        <v>22.1</v>
      </c>
      <c r="M1378" s="3">
        <v>59.4</v>
      </c>
      <c r="N1378" s="3">
        <v>384.3</v>
      </c>
      <c r="O1378" s="2">
        <v>21</v>
      </c>
      <c r="P1378">
        <v>0</v>
      </c>
      <c r="Q1378" t="s">
        <v>14</v>
      </c>
      <c r="R1378" s="4">
        <v>17.14</v>
      </c>
      <c r="S1378" s="4">
        <v>61.28</v>
      </c>
      <c r="T1378" t="s">
        <v>31</v>
      </c>
      <c r="U1378" s="4">
        <v>-1.83</v>
      </c>
      <c r="V1378" s="4">
        <v>1.371</v>
      </c>
      <c r="W1378" s="4">
        <v>0</v>
      </c>
    </row>
    <row r="1379" spans="1:23" ht="15" customHeight="1" x14ac:dyDescent="0.25">
      <c r="A1379">
        <v>2070</v>
      </c>
      <c r="B1379" s="1">
        <v>45886.333333333343</v>
      </c>
      <c r="C1379">
        <v>8</v>
      </c>
      <c r="D1379" t="s">
        <v>55</v>
      </c>
      <c r="E1379">
        <v>8</v>
      </c>
      <c r="F1379" t="s">
        <v>38</v>
      </c>
      <c r="G1379" t="s">
        <v>36</v>
      </c>
      <c r="H1379" t="s">
        <v>52</v>
      </c>
      <c r="I1379" t="s">
        <v>13</v>
      </c>
      <c r="J1379" t="s">
        <v>21</v>
      </c>
      <c r="K1379" s="2">
        <v>9800</v>
      </c>
      <c r="L1379" s="3"/>
      <c r="M1379" s="3">
        <v>82.3</v>
      </c>
      <c r="N1379" s="3">
        <v>278.10000000000002</v>
      </c>
      <c r="O1379" s="2">
        <v>144</v>
      </c>
      <c r="P1379">
        <v>0</v>
      </c>
      <c r="Q1379" t="s">
        <v>14</v>
      </c>
      <c r="R1379" s="4">
        <v>29.16</v>
      </c>
      <c r="S1379" s="4">
        <v>0</v>
      </c>
      <c r="T1379" t="s">
        <v>31</v>
      </c>
      <c r="U1379" s="4">
        <v>2.97</v>
      </c>
      <c r="V1379" s="4">
        <v>2.976</v>
      </c>
      <c r="W1379" s="4">
        <v>29.16</v>
      </c>
    </row>
    <row r="1380" spans="1:23" ht="15" customHeight="1" x14ac:dyDescent="0.25">
      <c r="A1380">
        <v>1334</v>
      </c>
      <c r="B1380" s="1">
        <v>45886.333333333343</v>
      </c>
      <c r="C1380">
        <v>8</v>
      </c>
      <c r="D1380" t="s">
        <v>55</v>
      </c>
      <c r="E1380">
        <v>8</v>
      </c>
      <c r="F1380" t="s">
        <v>38</v>
      </c>
      <c r="G1380" t="s">
        <v>36</v>
      </c>
      <c r="H1380" t="s">
        <v>51</v>
      </c>
      <c r="I1380" t="s">
        <v>25</v>
      </c>
      <c r="J1380" t="s">
        <v>15</v>
      </c>
      <c r="K1380" s="2">
        <v>17400</v>
      </c>
      <c r="L1380" s="3">
        <v>22.1</v>
      </c>
      <c r="M1380" s="3"/>
      <c r="N1380" s="3">
        <v>348.5</v>
      </c>
      <c r="O1380" s="2">
        <v>0</v>
      </c>
      <c r="P1380">
        <v>0</v>
      </c>
      <c r="Q1380" t="s">
        <v>14</v>
      </c>
      <c r="R1380" s="4">
        <v>34.4</v>
      </c>
      <c r="S1380" s="4">
        <v>44.4</v>
      </c>
      <c r="T1380" t="s">
        <v>31</v>
      </c>
      <c r="U1380" s="4">
        <v>-0.41</v>
      </c>
      <c r="V1380" s="4">
        <v>1.9770000000000001</v>
      </c>
      <c r="W1380" s="4">
        <v>0</v>
      </c>
    </row>
    <row r="1381" spans="1:23" ht="15" customHeight="1" x14ac:dyDescent="0.25">
      <c r="A1381">
        <v>1702</v>
      </c>
      <c r="B1381" s="1">
        <v>45886.333333333343</v>
      </c>
      <c r="C1381">
        <v>8</v>
      </c>
      <c r="D1381" t="s">
        <v>55</v>
      </c>
      <c r="E1381">
        <v>8</v>
      </c>
      <c r="F1381" t="s">
        <v>38</v>
      </c>
      <c r="G1381" t="s">
        <v>36</v>
      </c>
      <c r="H1381" t="s">
        <v>49</v>
      </c>
      <c r="I1381" t="s">
        <v>27</v>
      </c>
      <c r="J1381" t="s">
        <v>18</v>
      </c>
      <c r="K1381" s="2">
        <v>26000</v>
      </c>
      <c r="L1381" s="3">
        <v>20.7</v>
      </c>
      <c r="M1381" s="3">
        <v>66.8</v>
      </c>
      <c r="N1381" s="3">
        <v>347.2</v>
      </c>
      <c r="O1381" s="2">
        <v>66</v>
      </c>
      <c r="P1381">
        <v>0</v>
      </c>
      <c r="Q1381" t="s">
        <v>14</v>
      </c>
      <c r="R1381" s="4">
        <v>83.3</v>
      </c>
      <c r="S1381" s="4">
        <v>93.74</v>
      </c>
      <c r="T1381" t="s">
        <v>31</v>
      </c>
      <c r="U1381" s="4">
        <v>-0.43</v>
      </c>
      <c r="V1381" s="4">
        <v>3.2040000000000002</v>
      </c>
      <c r="W1381" s="4">
        <v>0</v>
      </c>
    </row>
    <row r="1382" spans="1:23" ht="15" customHeight="1" x14ac:dyDescent="0.25">
      <c r="A1382">
        <v>231</v>
      </c>
      <c r="B1382" s="1">
        <v>45886.583333333343</v>
      </c>
      <c r="C1382">
        <v>14</v>
      </c>
      <c r="D1382" t="s">
        <v>55</v>
      </c>
      <c r="E1382">
        <v>8</v>
      </c>
      <c r="F1382" t="s">
        <v>38</v>
      </c>
      <c r="G1382" t="s">
        <v>36</v>
      </c>
      <c r="H1382" t="s">
        <v>53</v>
      </c>
      <c r="I1382" t="s">
        <v>19</v>
      </c>
      <c r="J1382" t="s">
        <v>26</v>
      </c>
      <c r="K1382" s="2">
        <v>12500</v>
      </c>
      <c r="L1382" s="3">
        <v>27.3</v>
      </c>
      <c r="M1382" s="3">
        <v>44.6</v>
      </c>
      <c r="N1382" s="3">
        <v>906.6</v>
      </c>
      <c r="O1382" s="2">
        <v>23</v>
      </c>
      <c r="P1382">
        <v>0</v>
      </c>
      <c r="Q1382" t="s">
        <v>14</v>
      </c>
      <c r="R1382" s="4">
        <v>18.170000000000002</v>
      </c>
      <c r="S1382" s="4">
        <v>137.69999999999999</v>
      </c>
      <c r="T1382" t="s">
        <v>31</v>
      </c>
      <c r="U1382" s="4">
        <v>-4.8899999999999997</v>
      </c>
      <c r="V1382" s="4">
        <v>1.454</v>
      </c>
      <c r="W1382" s="4">
        <v>0</v>
      </c>
    </row>
    <row r="1383" spans="1:23" ht="15" customHeight="1" x14ac:dyDescent="0.25">
      <c r="A1383">
        <v>2071</v>
      </c>
      <c r="B1383" s="1">
        <v>45886.583333333343</v>
      </c>
      <c r="C1383">
        <v>14</v>
      </c>
      <c r="D1383" t="s">
        <v>55</v>
      </c>
      <c r="E1383">
        <v>8</v>
      </c>
      <c r="F1383" t="s">
        <v>38</v>
      </c>
      <c r="G1383" t="s">
        <v>36</v>
      </c>
      <c r="H1383" t="s">
        <v>52</v>
      </c>
      <c r="I1383" t="s">
        <v>13</v>
      </c>
      <c r="J1383" t="s">
        <v>21</v>
      </c>
      <c r="K1383" s="2">
        <v>9800</v>
      </c>
      <c r="L1383" s="3">
        <v>25.2</v>
      </c>
      <c r="M1383" s="3">
        <v>71.8</v>
      </c>
      <c r="N1383" s="3">
        <v>761.8</v>
      </c>
      <c r="O1383" s="2">
        <v>134</v>
      </c>
      <c r="P1383">
        <v>1</v>
      </c>
      <c r="Q1383" t="s">
        <v>20</v>
      </c>
      <c r="R1383" s="4">
        <v>274.47000000000003</v>
      </c>
      <c r="S1383" s="4">
        <v>0</v>
      </c>
      <c r="T1383" t="s">
        <v>31</v>
      </c>
      <c r="U1383" s="4">
        <v>3.39</v>
      </c>
      <c r="V1383" s="4">
        <v>28.007000000000001</v>
      </c>
      <c r="W1383" s="4">
        <v>274.47000000000003</v>
      </c>
    </row>
    <row r="1384" spans="1:23" ht="15" customHeight="1" x14ac:dyDescent="0.25">
      <c r="A1384">
        <v>599</v>
      </c>
      <c r="B1384" s="1">
        <v>45886.583333333343</v>
      </c>
      <c r="C1384">
        <v>14</v>
      </c>
      <c r="D1384" t="s">
        <v>55</v>
      </c>
      <c r="E1384">
        <v>8</v>
      </c>
      <c r="F1384" t="s">
        <v>38</v>
      </c>
      <c r="G1384" t="s">
        <v>36</v>
      </c>
      <c r="H1384" t="s">
        <v>54</v>
      </c>
      <c r="I1384" t="s">
        <v>16</v>
      </c>
      <c r="J1384" t="s">
        <v>24</v>
      </c>
      <c r="K1384" s="2">
        <v>8600</v>
      </c>
      <c r="L1384" s="3">
        <v>23.8</v>
      </c>
      <c r="M1384" s="3">
        <v>97</v>
      </c>
      <c r="N1384" s="3">
        <v>445.5</v>
      </c>
      <c r="O1384" s="2">
        <v>4</v>
      </c>
      <c r="P1384">
        <v>0</v>
      </c>
      <c r="Q1384" t="s">
        <v>14</v>
      </c>
      <c r="R1384" s="4">
        <v>7.78</v>
      </c>
      <c r="S1384" s="4">
        <v>33.76</v>
      </c>
      <c r="T1384" t="s">
        <v>31</v>
      </c>
      <c r="U1384" s="4">
        <v>-1.1200000000000001</v>
      </c>
      <c r="V1384" s="4">
        <v>0.90500000000000003</v>
      </c>
      <c r="W1384" s="4">
        <v>0</v>
      </c>
    </row>
    <row r="1385" spans="1:23" ht="15" customHeight="1" x14ac:dyDescent="0.25">
      <c r="A1385">
        <v>967</v>
      </c>
      <c r="B1385" s="1">
        <v>45886.583333333343</v>
      </c>
      <c r="C1385">
        <v>14</v>
      </c>
      <c r="D1385" t="s">
        <v>55</v>
      </c>
      <c r="E1385">
        <v>8</v>
      </c>
      <c r="F1385" t="s">
        <v>38</v>
      </c>
      <c r="G1385" t="s">
        <v>36</v>
      </c>
      <c r="H1385" t="s">
        <v>50</v>
      </c>
      <c r="I1385" t="s">
        <v>22</v>
      </c>
      <c r="J1385" t="s">
        <v>12</v>
      </c>
      <c r="K1385" s="2">
        <v>21000</v>
      </c>
      <c r="L1385" s="3">
        <v>38.9</v>
      </c>
      <c r="M1385" s="3">
        <v>47.3</v>
      </c>
      <c r="N1385" s="3">
        <v>867.2</v>
      </c>
      <c r="O1385" s="2">
        <v>412</v>
      </c>
      <c r="P1385">
        <v>1</v>
      </c>
      <c r="Q1385" t="s">
        <v>20</v>
      </c>
      <c r="R1385" s="4">
        <v>248.76</v>
      </c>
      <c r="S1385" s="4">
        <v>159.01</v>
      </c>
      <c r="T1385" t="s">
        <v>31</v>
      </c>
      <c r="U1385" s="4">
        <v>9.73</v>
      </c>
      <c r="V1385" s="4">
        <v>11.846</v>
      </c>
      <c r="W1385" s="4">
        <v>89.75</v>
      </c>
    </row>
    <row r="1386" spans="1:23" ht="15" customHeight="1" x14ac:dyDescent="0.25">
      <c r="A1386">
        <v>1335</v>
      </c>
      <c r="B1386" s="1">
        <v>45886.583333333343</v>
      </c>
      <c r="C1386">
        <v>14</v>
      </c>
      <c r="D1386" t="s">
        <v>55</v>
      </c>
      <c r="E1386">
        <v>8</v>
      </c>
      <c r="F1386" t="s">
        <v>38</v>
      </c>
      <c r="G1386" t="s">
        <v>36</v>
      </c>
      <c r="H1386" t="s">
        <v>51</v>
      </c>
      <c r="I1386" t="s">
        <v>25</v>
      </c>
      <c r="J1386" t="s">
        <v>15</v>
      </c>
      <c r="K1386" s="2">
        <v>17400</v>
      </c>
      <c r="L1386" s="3">
        <v>26.2</v>
      </c>
      <c r="M1386" s="3">
        <v>66.599999999999994</v>
      </c>
      <c r="N1386" s="3">
        <v>806.7</v>
      </c>
      <c r="O1386" s="2">
        <v>1506</v>
      </c>
      <c r="P1386">
        <v>1</v>
      </c>
      <c r="Q1386" t="s">
        <v>20</v>
      </c>
      <c r="R1386" s="4">
        <v>236.78</v>
      </c>
      <c r="S1386" s="4">
        <v>102.3</v>
      </c>
      <c r="T1386" t="s">
        <v>31</v>
      </c>
      <c r="U1386" s="4">
        <v>14.15</v>
      </c>
      <c r="V1386" s="4">
        <v>13.608000000000001</v>
      </c>
      <c r="W1386" s="4">
        <v>134.47999999999999</v>
      </c>
    </row>
    <row r="1387" spans="1:23" ht="15" customHeight="1" x14ac:dyDescent="0.25">
      <c r="A1387">
        <v>1703</v>
      </c>
      <c r="B1387" s="1">
        <v>45886.583333333343</v>
      </c>
      <c r="C1387">
        <v>14</v>
      </c>
      <c r="D1387" t="s">
        <v>55</v>
      </c>
      <c r="E1387">
        <v>8</v>
      </c>
      <c r="F1387" t="s">
        <v>38</v>
      </c>
      <c r="G1387" t="s">
        <v>36</v>
      </c>
      <c r="H1387" t="s">
        <v>49</v>
      </c>
      <c r="I1387" t="s">
        <v>27</v>
      </c>
      <c r="J1387" t="s">
        <v>18</v>
      </c>
      <c r="K1387" s="2">
        <v>26000</v>
      </c>
      <c r="L1387" s="3">
        <v>33.799999999999997</v>
      </c>
      <c r="M1387" s="3">
        <v>47.1</v>
      </c>
      <c r="N1387" s="3">
        <v>728.1</v>
      </c>
      <c r="O1387" s="2">
        <v>64</v>
      </c>
      <c r="P1387">
        <v>1</v>
      </c>
      <c r="Q1387" t="s">
        <v>20</v>
      </c>
      <c r="R1387" s="4">
        <v>109.25</v>
      </c>
      <c r="S1387" s="4">
        <v>193.08</v>
      </c>
      <c r="T1387" t="s">
        <v>31</v>
      </c>
      <c r="U1387" s="4">
        <v>-3.61</v>
      </c>
      <c r="V1387" s="4">
        <v>4.202</v>
      </c>
      <c r="W1387" s="4">
        <v>0</v>
      </c>
    </row>
    <row r="1388" spans="1:23" ht="15" customHeight="1" x14ac:dyDescent="0.25">
      <c r="A1388">
        <v>2072</v>
      </c>
      <c r="B1388" s="1">
        <v>45886.833333333343</v>
      </c>
      <c r="C1388">
        <v>20</v>
      </c>
      <c r="D1388" t="s">
        <v>55</v>
      </c>
      <c r="E1388">
        <v>8</v>
      </c>
      <c r="F1388" t="s">
        <v>38</v>
      </c>
      <c r="G1388" t="s">
        <v>36</v>
      </c>
      <c r="H1388" t="s">
        <v>52</v>
      </c>
      <c r="I1388" t="s">
        <v>13</v>
      </c>
      <c r="J1388" t="s">
        <v>21</v>
      </c>
      <c r="K1388" s="2">
        <v>9800</v>
      </c>
      <c r="L1388" s="3">
        <v>21.7</v>
      </c>
      <c r="M1388" s="3">
        <v>70.7</v>
      </c>
      <c r="N1388" s="3">
        <v>0</v>
      </c>
      <c r="O1388" s="2">
        <v>291</v>
      </c>
      <c r="P1388">
        <v>0</v>
      </c>
      <c r="Q1388" t="s">
        <v>14</v>
      </c>
      <c r="R1388" s="4">
        <v>100.32</v>
      </c>
      <c r="S1388" s="4">
        <v>0</v>
      </c>
      <c r="T1388" t="s">
        <v>31</v>
      </c>
      <c r="U1388" s="4">
        <v>10.199999999999999</v>
      </c>
      <c r="V1388" s="4">
        <v>10.237</v>
      </c>
      <c r="W1388" s="4">
        <v>100.32</v>
      </c>
    </row>
    <row r="1389" spans="1:23" ht="15" customHeight="1" x14ac:dyDescent="0.25">
      <c r="A1389">
        <v>600</v>
      </c>
      <c r="B1389" s="1">
        <v>45886.833333333343</v>
      </c>
      <c r="C1389">
        <v>20</v>
      </c>
      <c r="D1389" t="s">
        <v>55</v>
      </c>
      <c r="E1389">
        <v>8</v>
      </c>
      <c r="F1389" t="s">
        <v>38</v>
      </c>
      <c r="G1389" t="s">
        <v>36</v>
      </c>
      <c r="H1389" t="s">
        <v>54</v>
      </c>
      <c r="I1389" t="s">
        <v>16</v>
      </c>
      <c r="J1389" t="s">
        <v>24</v>
      </c>
      <c r="K1389" s="2">
        <v>8600</v>
      </c>
      <c r="L1389" s="3">
        <v>22.4</v>
      </c>
      <c r="M1389" s="3">
        <v>64.2</v>
      </c>
      <c r="N1389" s="3">
        <v>0</v>
      </c>
      <c r="O1389" s="2">
        <v>25</v>
      </c>
      <c r="P1389">
        <v>0</v>
      </c>
      <c r="Q1389" t="s">
        <v>14</v>
      </c>
      <c r="R1389" s="4">
        <v>12.72</v>
      </c>
      <c r="S1389" s="4">
        <v>0</v>
      </c>
      <c r="T1389" t="s">
        <v>31</v>
      </c>
      <c r="U1389" s="4">
        <v>1.29</v>
      </c>
      <c r="V1389" s="4">
        <v>1.4790000000000001</v>
      </c>
      <c r="W1389" s="4">
        <v>12.72</v>
      </c>
    </row>
    <row r="1390" spans="1:23" ht="15" customHeight="1" x14ac:dyDescent="0.25">
      <c r="A1390">
        <v>1704</v>
      </c>
      <c r="B1390" s="1">
        <v>45886.833333333343</v>
      </c>
      <c r="C1390">
        <v>20</v>
      </c>
      <c r="D1390" t="s">
        <v>55</v>
      </c>
      <c r="E1390">
        <v>8</v>
      </c>
      <c r="F1390" t="s">
        <v>38</v>
      </c>
      <c r="G1390" t="s">
        <v>36</v>
      </c>
      <c r="H1390" t="s">
        <v>49</v>
      </c>
      <c r="I1390" t="s">
        <v>27</v>
      </c>
      <c r="J1390" t="s">
        <v>18</v>
      </c>
      <c r="K1390" s="2">
        <v>26000</v>
      </c>
      <c r="L1390" s="3">
        <v>26</v>
      </c>
      <c r="M1390" s="3">
        <v>53.7</v>
      </c>
      <c r="N1390" s="3">
        <v>0</v>
      </c>
      <c r="O1390" s="2">
        <v>70</v>
      </c>
      <c r="P1390">
        <v>1</v>
      </c>
      <c r="Q1390" t="s">
        <v>20</v>
      </c>
      <c r="R1390" s="4">
        <v>862.7</v>
      </c>
      <c r="S1390" s="4">
        <v>0</v>
      </c>
      <c r="T1390" t="s">
        <v>31</v>
      </c>
      <c r="U1390" s="4">
        <v>15.96</v>
      </c>
      <c r="V1390" s="4">
        <v>33.180999999999997</v>
      </c>
      <c r="W1390" s="4">
        <v>862.7</v>
      </c>
    </row>
    <row r="1391" spans="1:23" ht="15" customHeight="1" x14ac:dyDescent="0.25">
      <c r="A1391">
        <v>968</v>
      </c>
      <c r="B1391" s="1">
        <v>45886.833333333343</v>
      </c>
      <c r="C1391">
        <v>20</v>
      </c>
      <c r="D1391" t="s">
        <v>55</v>
      </c>
      <c r="E1391">
        <v>8</v>
      </c>
      <c r="F1391" t="s">
        <v>38</v>
      </c>
      <c r="G1391" t="s">
        <v>36</v>
      </c>
      <c r="H1391" t="s">
        <v>50</v>
      </c>
      <c r="I1391" t="s">
        <v>22</v>
      </c>
      <c r="J1391" t="s">
        <v>12</v>
      </c>
      <c r="K1391" s="2">
        <v>21000</v>
      </c>
      <c r="L1391" s="3">
        <v>28.5</v>
      </c>
      <c r="M1391" s="3">
        <v>44.5</v>
      </c>
      <c r="N1391" s="3">
        <v>0</v>
      </c>
      <c r="O1391" s="2">
        <v>391</v>
      </c>
      <c r="P1391">
        <v>1</v>
      </c>
      <c r="Q1391" t="s">
        <v>20</v>
      </c>
      <c r="R1391" s="4">
        <v>289.38</v>
      </c>
      <c r="S1391" s="4">
        <v>0</v>
      </c>
      <c r="T1391" t="s">
        <v>31</v>
      </c>
      <c r="U1391" s="4">
        <v>30.73</v>
      </c>
      <c r="V1391" s="4">
        <v>13.78</v>
      </c>
      <c r="W1391" s="4">
        <v>289.38</v>
      </c>
    </row>
    <row r="1392" spans="1:23" ht="15" customHeight="1" x14ac:dyDescent="0.25">
      <c r="A1392">
        <v>232</v>
      </c>
      <c r="B1392" s="1">
        <v>45886.833333333343</v>
      </c>
      <c r="C1392">
        <v>20</v>
      </c>
      <c r="D1392" t="s">
        <v>55</v>
      </c>
      <c r="E1392">
        <v>8</v>
      </c>
      <c r="F1392" t="s">
        <v>38</v>
      </c>
      <c r="G1392" t="s">
        <v>36</v>
      </c>
      <c r="H1392" t="s">
        <v>53</v>
      </c>
      <c r="I1392" t="s">
        <v>19</v>
      </c>
      <c r="J1392" t="s">
        <v>26</v>
      </c>
      <c r="K1392" s="2">
        <v>12500</v>
      </c>
      <c r="L1392" s="3">
        <v>26.2</v>
      </c>
      <c r="M1392" s="3">
        <v>48.7</v>
      </c>
      <c r="N1392" s="3">
        <v>0</v>
      </c>
      <c r="O1392" s="2">
        <v>0</v>
      </c>
      <c r="P1392">
        <v>0</v>
      </c>
      <c r="Q1392" t="s">
        <v>14</v>
      </c>
      <c r="R1392" s="4">
        <v>23.36</v>
      </c>
      <c r="S1392" s="4">
        <v>0</v>
      </c>
      <c r="T1392" t="s">
        <v>31</v>
      </c>
      <c r="U1392" s="4">
        <v>2.4500000000000002</v>
      </c>
      <c r="V1392" s="4">
        <v>1.869</v>
      </c>
      <c r="W1392" s="4">
        <v>23.36</v>
      </c>
    </row>
    <row r="1393" spans="1:23" ht="15" customHeight="1" x14ac:dyDescent="0.25">
      <c r="A1393">
        <v>1336</v>
      </c>
      <c r="B1393" s="1">
        <v>45886.833333333343</v>
      </c>
      <c r="C1393">
        <v>20</v>
      </c>
      <c r="D1393" t="s">
        <v>55</v>
      </c>
      <c r="E1393">
        <v>8</v>
      </c>
      <c r="F1393" t="s">
        <v>38</v>
      </c>
      <c r="G1393" t="s">
        <v>36</v>
      </c>
      <c r="H1393" t="s">
        <v>51</v>
      </c>
      <c r="I1393" t="s">
        <v>25</v>
      </c>
      <c r="J1393" t="s">
        <v>15</v>
      </c>
      <c r="K1393" s="2">
        <v>17400</v>
      </c>
      <c r="L1393" s="3">
        <v>24.3</v>
      </c>
      <c r="M1393" s="3">
        <v>70.099999999999994</v>
      </c>
      <c r="N1393" s="3">
        <v>0</v>
      </c>
      <c r="O1393" s="2">
        <v>1548</v>
      </c>
      <c r="P1393">
        <v>1</v>
      </c>
      <c r="Q1393" t="s">
        <v>20</v>
      </c>
      <c r="R1393" s="4">
        <v>306.64999999999998</v>
      </c>
      <c r="S1393" s="4">
        <v>0</v>
      </c>
      <c r="T1393" t="s">
        <v>31</v>
      </c>
      <c r="U1393" s="4">
        <v>31.31</v>
      </c>
      <c r="V1393" s="4">
        <v>17.623999999999999</v>
      </c>
      <c r="W1393" s="4">
        <v>306.64999999999998</v>
      </c>
    </row>
    <row r="1394" spans="1:23" ht="15" customHeight="1" x14ac:dyDescent="0.25">
      <c r="A1394">
        <v>2073</v>
      </c>
      <c r="B1394" s="1">
        <v>45890</v>
      </c>
      <c r="C1394">
        <v>0</v>
      </c>
      <c r="D1394" t="s">
        <v>56</v>
      </c>
      <c r="E1394">
        <v>8</v>
      </c>
      <c r="F1394" t="s">
        <v>38</v>
      </c>
      <c r="G1394" t="s">
        <v>33</v>
      </c>
      <c r="H1394" t="s">
        <v>52</v>
      </c>
      <c r="I1394" t="s">
        <v>13</v>
      </c>
      <c r="J1394" t="s">
        <v>21</v>
      </c>
      <c r="K1394" s="2">
        <v>9800</v>
      </c>
      <c r="L1394" s="3">
        <v>19</v>
      </c>
      <c r="M1394" s="3">
        <v>77</v>
      </c>
      <c r="N1394" s="3">
        <v>0</v>
      </c>
      <c r="O1394" s="2">
        <v>304</v>
      </c>
      <c r="P1394">
        <v>0</v>
      </c>
      <c r="Q1394" t="s">
        <v>14</v>
      </c>
      <c r="R1394" s="4">
        <v>93.37</v>
      </c>
      <c r="S1394" s="4">
        <v>0</v>
      </c>
      <c r="T1394" t="s">
        <v>31</v>
      </c>
      <c r="U1394" s="4">
        <v>10</v>
      </c>
      <c r="V1394" s="4">
        <v>9.5280000000000005</v>
      </c>
      <c r="W1394" s="4">
        <v>93.37</v>
      </c>
    </row>
    <row r="1395" spans="1:23" ht="15" customHeight="1" x14ac:dyDescent="0.25">
      <c r="A1395">
        <v>601</v>
      </c>
      <c r="B1395" s="1">
        <v>45890</v>
      </c>
      <c r="C1395">
        <v>0</v>
      </c>
      <c r="D1395" t="s">
        <v>56</v>
      </c>
      <c r="E1395">
        <v>8</v>
      </c>
      <c r="F1395" t="s">
        <v>38</v>
      </c>
      <c r="G1395" t="s">
        <v>33</v>
      </c>
      <c r="H1395" t="s">
        <v>54</v>
      </c>
      <c r="I1395" t="s">
        <v>16</v>
      </c>
      <c r="J1395" t="s">
        <v>24</v>
      </c>
      <c r="K1395" s="2">
        <v>8600</v>
      </c>
      <c r="L1395" s="3">
        <v>14.5</v>
      </c>
      <c r="M1395" s="3">
        <v>88.3</v>
      </c>
      <c r="N1395" s="3">
        <v>0</v>
      </c>
      <c r="O1395" s="2">
        <v>0</v>
      </c>
      <c r="P1395">
        <v>0</v>
      </c>
      <c r="Q1395" t="s">
        <v>14</v>
      </c>
      <c r="R1395" s="4">
        <v>12.08</v>
      </c>
      <c r="S1395" s="4">
        <v>0</v>
      </c>
      <c r="T1395" t="s">
        <v>31</v>
      </c>
      <c r="U1395" s="4">
        <v>1.26</v>
      </c>
      <c r="V1395" s="4">
        <v>1.405</v>
      </c>
      <c r="W1395" s="4">
        <v>12.08</v>
      </c>
    </row>
    <row r="1396" spans="1:23" ht="15" customHeight="1" x14ac:dyDescent="0.25">
      <c r="A1396">
        <v>969</v>
      </c>
      <c r="B1396" s="1">
        <v>45890</v>
      </c>
      <c r="C1396">
        <v>0</v>
      </c>
      <c r="D1396" t="s">
        <v>56</v>
      </c>
      <c r="E1396">
        <v>8</v>
      </c>
      <c r="F1396" t="s">
        <v>38</v>
      </c>
      <c r="G1396" t="s">
        <v>33</v>
      </c>
      <c r="H1396" t="s">
        <v>50</v>
      </c>
      <c r="I1396" t="s">
        <v>22</v>
      </c>
      <c r="J1396" t="s">
        <v>12</v>
      </c>
      <c r="K1396" s="2">
        <v>21000</v>
      </c>
      <c r="L1396" s="3"/>
      <c r="M1396" s="3"/>
      <c r="N1396" s="3">
        <v>0</v>
      </c>
      <c r="O1396" s="2">
        <v>217</v>
      </c>
      <c r="P1396">
        <v>0</v>
      </c>
      <c r="Q1396" t="s">
        <v>14</v>
      </c>
      <c r="R1396" s="4">
        <v>168.83</v>
      </c>
      <c r="S1396" s="4">
        <v>0</v>
      </c>
      <c r="T1396" t="s">
        <v>31</v>
      </c>
      <c r="U1396" s="4">
        <v>17.47</v>
      </c>
      <c r="V1396" s="4">
        <v>8.0399999999999991</v>
      </c>
      <c r="W1396" s="4">
        <v>168.83</v>
      </c>
    </row>
    <row r="1397" spans="1:23" ht="15" customHeight="1" x14ac:dyDescent="0.25">
      <c r="A1397">
        <v>1705</v>
      </c>
      <c r="B1397" s="1">
        <v>45890</v>
      </c>
      <c r="C1397">
        <v>0</v>
      </c>
      <c r="D1397" t="s">
        <v>56</v>
      </c>
      <c r="E1397">
        <v>8</v>
      </c>
      <c r="F1397" t="s">
        <v>38</v>
      </c>
      <c r="G1397" t="s">
        <v>33</v>
      </c>
      <c r="H1397" t="s">
        <v>49</v>
      </c>
      <c r="I1397" t="s">
        <v>27</v>
      </c>
      <c r="J1397" t="s">
        <v>18</v>
      </c>
      <c r="K1397" s="2">
        <v>26000</v>
      </c>
      <c r="L1397" s="3">
        <v>21.1</v>
      </c>
      <c r="M1397" s="3">
        <v>63.4</v>
      </c>
      <c r="N1397" s="3">
        <v>0</v>
      </c>
      <c r="O1397" s="2">
        <v>34</v>
      </c>
      <c r="P1397">
        <v>0</v>
      </c>
      <c r="Q1397" t="s">
        <v>14</v>
      </c>
      <c r="R1397" s="4">
        <v>104.52</v>
      </c>
      <c r="S1397" s="4">
        <v>0</v>
      </c>
      <c r="T1397" t="s">
        <v>31</v>
      </c>
      <c r="U1397" s="4">
        <v>11.18</v>
      </c>
      <c r="V1397" s="4">
        <v>4.0199999999999996</v>
      </c>
      <c r="W1397" s="4">
        <v>104.52</v>
      </c>
    </row>
    <row r="1398" spans="1:23" ht="15" customHeight="1" x14ac:dyDescent="0.25">
      <c r="A1398">
        <v>233</v>
      </c>
      <c r="B1398" s="1">
        <v>45890</v>
      </c>
      <c r="C1398">
        <v>0</v>
      </c>
      <c r="D1398" t="s">
        <v>56</v>
      </c>
      <c r="E1398">
        <v>8</v>
      </c>
      <c r="F1398" t="s">
        <v>38</v>
      </c>
      <c r="G1398" t="s">
        <v>33</v>
      </c>
      <c r="H1398" t="s">
        <v>53</v>
      </c>
      <c r="I1398" t="s">
        <v>19</v>
      </c>
      <c r="J1398" t="s">
        <v>26</v>
      </c>
      <c r="K1398" s="2">
        <v>12500</v>
      </c>
      <c r="L1398" s="3">
        <v>15.5</v>
      </c>
      <c r="M1398" s="3">
        <v>66.8</v>
      </c>
      <c r="N1398" s="3">
        <v>0</v>
      </c>
      <c r="O1398" s="2">
        <v>0</v>
      </c>
      <c r="P1398">
        <v>0</v>
      </c>
      <c r="Q1398" t="s">
        <v>14</v>
      </c>
      <c r="R1398" s="4">
        <v>23.03</v>
      </c>
      <c r="S1398" s="4">
        <v>0</v>
      </c>
      <c r="T1398" t="s">
        <v>31</v>
      </c>
      <c r="U1398" s="4">
        <v>2.41</v>
      </c>
      <c r="V1398" s="4">
        <v>1.8420000000000001</v>
      </c>
      <c r="W1398" s="4">
        <v>23.03</v>
      </c>
    </row>
    <row r="1399" spans="1:23" ht="15" customHeight="1" x14ac:dyDescent="0.25">
      <c r="A1399">
        <v>1337</v>
      </c>
      <c r="B1399" s="1">
        <v>45890</v>
      </c>
      <c r="C1399">
        <v>0</v>
      </c>
      <c r="D1399" t="s">
        <v>56</v>
      </c>
      <c r="E1399">
        <v>8</v>
      </c>
      <c r="F1399" t="s">
        <v>38</v>
      </c>
      <c r="G1399" t="s">
        <v>33</v>
      </c>
      <c r="H1399" t="s">
        <v>51</v>
      </c>
      <c r="I1399" t="s">
        <v>25</v>
      </c>
      <c r="J1399" t="s">
        <v>15</v>
      </c>
      <c r="K1399" s="2">
        <v>17400</v>
      </c>
      <c r="L1399" s="3">
        <v>22</v>
      </c>
      <c r="M1399" s="3">
        <v>70.900000000000006</v>
      </c>
      <c r="N1399" s="3">
        <v>0</v>
      </c>
      <c r="O1399" s="2">
        <v>92</v>
      </c>
      <c r="P1399">
        <v>0</v>
      </c>
      <c r="Q1399" t="s">
        <v>14</v>
      </c>
      <c r="R1399" s="4">
        <v>53.32</v>
      </c>
      <c r="S1399" s="4">
        <v>0</v>
      </c>
      <c r="T1399" t="s">
        <v>31</v>
      </c>
      <c r="U1399" s="4">
        <v>5.81</v>
      </c>
      <c r="V1399" s="4">
        <v>3.0640000000000001</v>
      </c>
      <c r="W1399" s="4">
        <v>53.32</v>
      </c>
    </row>
    <row r="1400" spans="1:23" ht="15" customHeight="1" x14ac:dyDescent="0.25">
      <c r="A1400">
        <v>602</v>
      </c>
      <c r="B1400" s="1">
        <v>45890.333333333343</v>
      </c>
      <c r="C1400">
        <v>8</v>
      </c>
      <c r="D1400" t="s">
        <v>56</v>
      </c>
      <c r="E1400">
        <v>8</v>
      </c>
      <c r="F1400" t="s">
        <v>38</v>
      </c>
      <c r="G1400" t="s">
        <v>33</v>
      </c>
      <c r="H1400" t="s">
        <v>54</v>
      </c>
      <c r="I1400" t="s">
        <v>16</v>
      </c>
      <c r="J1400" t="s">
        <v>24</v>
      </c>
      <c r="K1400" s="2">
        <v>8600</v>
      </c>
      <c r="L1400" s="3">
        <v>20.3</v>
      </c>
      <c r="M1400" s="3">
        <v>82.6</v>
      </c>
      <c r="N1400" s="3">
        <v>224.4</v>
      </c>
      <c r="O1400" s="2">
        <v>14</v>
      </c>
      <c r="P1400">
        <v>0</v>
      </c>
      <c r="Q1400" t="s">
        <v>14</v>
      </c>
      <c r="R1400" s="4">
        <v>8</v>
      </c>
      <c r="S1400" s="4">
        <v>18.260000000000002</v>
      </c>
      <c r="T1400" t="s">
        <v>34</v>
      </c>
      <c r="U1400" s="4">
        <v>-0.71</v>
      </c>
      <c r="V1400" s="4">
        <v>0.93</v>
      </c>
      <c r="W1400" s="4">
        <v>0</v>
      </c>
    </row>
    <row r="1401" spans="1:23" ht="15" customHeight="1" x14ac:dyDescent="0.25">
      <c r="A1401">
        <v>234</v>
      </c>
      <c r="B1401" s="1">
        <v>45890.333333333343</v>
      </c>
      <c r="C1401">
        <v>8</v>
      </c>
      <c r="D1401" t="s">
        <v>56</v>
      </c>
      <c r="E1401">
        <v>8</v>
      </c>
      <c r="F1401" t="s">
        <v>38</v>
      </c>
      <c r="G1401" t="s">
        <v>33</v>
      </c>
      <c r="H1401" t="s">
        <v>53</v>
      </c>
      <c r="I1401" t="s">
        <v>19</v>
      </c>
      <c r="J1401" t="s">
        <v>26</v>
      </c>
      <c r="K1401" s="2">
        <v>12500</v>
      </c>
      <c r="L1401" s="3">
        <v>21.7</v>
      </c>
      <c r="M1401" s="3">
        <v>56.6</v>
      </c>
      <c r="N1401" s="3">
        <v>367.9</v>
      </c>
      <c r="O1401" s="2">
        <v>337</v>
      </c>
      <c r="P1401">
        <v>0</v>
      </c>
      <c r="Q1401" t="s">
        <v>14</v>
      </c>
      <c r="R1401" s="4">
        <v>65.819999999999993</v>
      </c>
      <c r="S1401" s="4">
        <v>56.4</v>
      </c>
      <c r="T1401" t="s">
        <v>34</v>
      </c>
      <c r="U1401" s="4">
        <v>1.61</v>
      </c>
      <c r="V1401" s="4">
        <v>5.266</v>
      </c>
      <c r="W1401" s="4">
        <v>9.42</v>
      </c>
    </row>
    <row r="1402" spans="1:23" ht="15" customHeight="1" x14ac:dyDescent="0.25">
      <c r="A1402">
        <v>1706</v>
      </c>
      <c r="B1402" s="1">
        <v>45890.333333333343</v>
      </c>
      <c r="C1402">
        <v>8</v>
      </c>
      <c r="D1402" t="s">
        <v>56</v>
      </c>
      <c r="E1402">
        <v>8</v>
      </c>
      <c r="F1402" t="s">
        <v>38</v>
      </c>
      <c r="G1402" t="s">
        <v>33</v>
      </c>
      <c r="H1402" t="s">
        <v>49</v>
      </c>
      <c r="I1402" t="s">
        <v>27</v>
      </c>
      <c r="J1402" t="s">
        <v>18</v>
      </c>
      <c r="K1402" s="2">
        <v>26000</v>
      </c>
      <c r="L1402" s="3">
        <v>24.8</v>
      </c>
      <c r="M1402" s="3">
        <v>62.7</v>
      </c>
      <c r="N1402" s="3">
        <v>341.8</v>
      </c>
      <c r="O1402" s="2">
        <v>161</v>
      </c>
      <c r="P1402">
        <v>1</v>
      </c>
      <c r="Q1402" t="s">
        <v>20</v>
      </c>
      <c r="R1402" s="4">
        <v>157.16999999999999</v>
      </c>
      <c r="S1402" s="4">
        <v>85.63</v>
      </c>
      <c r="T1402" t="s">
        <v>34</v>
      </c>
      <c r="U1402" s="4">
        <v>11.76</v>
      </c>
      <c r="V1402" s="4">
        <v>6.0449999999999999</v>
      </c>
      <c r="W1402" s="4">
        <v>71.540000000000006</v>
      </c>
    </row>
    <row r="1403" spans="1:23" ht="15" customHeight="1" x14ac:dyDescent="0.25">
      <c r="A1403">
        <v>970</v>
      </c>
      <c r="B1403" s="1">
        <v>45890.333333333343</v>
      </c>
      <c r="C1403">
        <v>8</v>
      </c>
      <c r="D1403" t="s">
        <v>56</v>
      </c>
      <c r="E1403">
        <v>8</v>
      </c>
      <c r="F1403" t="s">
        <v>38</v>
      </c>
      <c r="G1403" t="s">
        <v>33</v>
      </c>
      <c r="H1403" t="s">
        <v>50</v>
      </c>
      <c r="I1403" t="s">
        <v>22</v>
      </c>
      <c r="J1403" t="s">
        <v>12</v>
      </c>
      <c r="K1403" s="2">
        <v>21000</v>
      </c>
      <c r="L1403" s="3">
        <v>27.3</v>
      </c>
      <c r="M1403" s="3">
        <v>57.5</v>
      </c>
      <c r="N1403" s="3">
        <v>328.4</v>
      </c>
      <c r="O1403" s="2">
        <v>401</v>
      </c>
      <c r="P1403">
        <v>1</v>
      </c>
      <c r="Q1403" t="s">
        <v>20</v>
      </c>
      <c r="R1403" s="4">
        <v>192.77</v>
      </c>
      <c r="S1403" s="4">
        <v>66.41</v>
      </c>
      <c r="T1403" t="s">
        <v>34</v>
      </c>
      <c r="U1403" s="4">
        <v>21.65</v>
      </c>
      <c r="V1403" s="4">
        <v>9.18</v>
      </c>
      <c r="W1403" s="4">
        <v>126.36</v>
      </c>
    </row>
    <row r="1404" spans="1:23" ht="15" customHeight="1" x14ac:dyDescent="0.25">
      <c r="A1404">
        <v>2074</v>
      </c>
      <c r="B1404" s="1">
        <v>45890.333333333343</v>
      </c>
      <c r="C1404">
        <v>8</v>
      </c>
      <c r="D1404" t="s">
        <v>56</v>
      </c>
      <c r="E1404">
        <v>8</v>
      </c>
      <c r="F1404" t="s">
        <v>38</v>
      </c>
      <c r="G1404" t="s">
        <v>33</v>
      </c>
      <c r="H1404" t="s">
        <v>52</v>
      </c>
      <c r="I1404" t="s">
        <v>13</v>
      </c>
      <c r="J1404" t="s">
        <v>21</v>
      </c>
      <c r="K1404" s="2">
        <v>9800</v>
      </c>
      <c r="L1404" s="3">
        <v>23.8</v>
      </c>
      <c r="M1404" s="3">
        <v>71.400000000000006</v>
      </c>
      <c r="N1404" s="3">
        <v>256.60000000000002</v>
      </c>
      <c r="O1404" s="2">
        <v>88</v>
      </c>
      <c r="P1404">
        <v>1</v>
      </c>
      <c r="Q1404" t="s">
        <v>23</v>
      </c>
      <c r="R1404" s="4">
        <v>19.91</v>
      </c>
      <c r="S1404" s="4">
        <v>0</v>
      </c>
      <c r="T1404" t="s">
        <v>34</v>
      </c>
      <c r="U1404" s="4">
        <v>3.42</v>
      </c>
      <c r="V1404" s="4">
        <v>2.032</v>
      </c>
      <c r="W1404" s="4">
        <v>19.91</v>
      </c>
    </row>
    <row r="1405" spans="1:23" ht="15" customHeight="1" x14ac:dyDescent="0.25">
      <c r="A1405">
        <v>1338</v>
      </c>
      <c r="B1405" s="1">
        <v>45890.333333333343</v>
      </c>
      <c r="C1405">
        <v>8</v>
      </c>
      <c r="D1405" t="s">
        <v>56</v>
      </c>
      <c r="E1405">
        <v>8</v>
      </c>
      <c r="F1405" t="s">
        <v>38</v>
      </c>
      <c r="G1405" t="s">
        <v>33</v>
      </c>
      <c r="H1405" t="s">
        <v>51</v>
      </c>
      <c r="I1405" t="s">
        <v>25</v>
      </c>
      <c r="J1405" t="s">
        <v>15</v>
      </c>
      <c r="K1405" s="2">
        <v>17400</v>
      </c>
      <c r="L1405" s="3">
        <v>21.4</v>
      </c>
      <c r="M1405" s="3">
        <v>67.900000000000006</v>
      </c>
      <c r="N1405" s="3">
        <v>250.5</v>
      </c>
      <c r="O1405" s="2">
        <v>130</v>
      </c>
      <c r="P1405">
        <v>0</v>
      </c>
      <c r="Q1405" t="s">
        <v>14</v>
      </c>
      <c r="R1405" s="4">
        <v>40.65</v>
      </c>
      <c r="S1405" s="4">
        <v>30.64</v>
      </c>
      <c r="T1405" t="s">
        <v>34</v>
      </c>
      <c r="U1405" s="4">
        <v>1.71</v>
      </c>
      <c r="V1405" s="4">
        <v>2.3359999999999999</v>
      </c>
      <c r="W1405" s="4">
        <v>10.01</v>
      </c>
    </row>
    <row r="1406" spans="1:23" ht="15" customHeight="1" x14ac:dyDescent="0.25">
      <c r="A1406">
        <v>1339</v>
      </c>
      <c r="B1406" s="1">
        <v>45890.583333333343</v>
      </c>
      <c r="C1406">
        <v>14</v>
      </c>
      <c r="D1406" t="s">
        <v>56</v>
      </c>
      <c r="E1406">
        <v>8</v>
      </c>
      <c r="F1406" t="s">
        <v>38</v>
      </c>
      <c r="G1406" t="s">
        <v>33</v>
      </c>
      <c r="H1406" t="s">
        <v>51</v>
      </c>
      <c r="I1406" t="s">
        <v>25</v>
      </c>
      <c r="J1406" t="s">
        <v>15</v>
      </c>
      <c r="K1406" s="2">
        <v>17400</v>
      </c>
      <c r="L1406" s="3">
        <v>31.1</v>
      </c>
      <c r="M1406" s="3">
        <v>66.5</v>
      </c>
      <c r="N1406" s="3">
        <v>850</v>
      </c>
      <c r="O1406" s="2">
        <v>1282</v>
      </c>
      <c r="P1406">
        <v>1</v>
      </c>
      <c r="Q1406" t="s">
        <v>20</v>
      </c>
      <c r="R1406" s="4">
        <v>210.49</v>
      </c>
      <c r="S1406" s="4">
        <v>107.19</v>
      </c>
      <c r="T1406" t="s">
        <v>34</v>
      </c>
      <c r="U1406" s="4">
        <v>17.260000000000002</v>
      </c>
      <c r="V1406" s="4">
        <v>12.097</v>
      </c>
      <c r="W1406" s="4">
        <v>103.3</v>
      </c>
    </row>
    <row r="1407" spans="1:23" ht="15" customHeight="1" x14ac:dyDescent="0.25">
      <c r="A1407">
        <v>603</v>
      </c>
      <c r="B1407" s="1">
        <v>45890.583333333343</v>
      </c>
      <c r="C1407">
        <v>14</v>
      </c>
      <c r="D1407" t="s">
        <v>56</v>
      </c>
      <c r="E1407">
        <v>8</v>
      </c>
      <c r="F1407" t="s">
        <v>38</v>
      </c>
      <c r="G1407" t="s">
        <v>33</v>
      </c>
      <c r="H1407" t="s">
        <v>54</v>
      </c>
      <c r="I1407" t="s">
        <v>16</v>
      </c>
      <c r="J1407" t="s">
        <v>24</v>
      </c>
      <c r="K1407" s="2">
        <v>8600</v>
      </c>
      <c r="L1407" s="3">
        <v>22.2</v>
      </c>
      <c r="M1407" s="3">
        <v>68.5</v>
      </c>
      <c r="N1407" s="3">
        <v>684.3</v>
      </c>
      <c r="O1407" s="2">
        <v>0</v>
      </c>
      <c r="P1407">
        <v>0</v>
      </c>
      <c r="Q1407" t="s">
        <v>14</v>
      </c>
      <c r="R1407" s="4">
        <v>8.0500000000000007</v>
      </c>
      <c r="S1407" s="4">
        <v>54.23</v>
      </c>
      <c r="T1407" t="s">
        <v>34</v>
      </c>
      <c r="U1407" s="4">
        <v>-2.99</v>
      </c>
      <c r="V1407" s="4">
        <v>0.93600000000000005</v>
      </c>
      <c r="W1407" s="4">
        <v>0</v>
      </c>
    </row>
    <row r="1408" spans="1:23" ht="15" customHeight="1" x14ac:dyDescent="0.25">
      <c r="A1408">
        <v>971</v>
      </c>
      <c r="B1408" s="1">
        <v>45890.583333333343</v>
      </c>
      <c r="C1408">
        <v>14</v>
      </c>
      <c r="D1408" t="s">
        <v>56</v>
      </c>
      <c r="E1408">
        <v>8</v>
      </c>
      <c r="F1408" t="s">
        <v>38</v>
      </c>
      <c r="G1408" t="s">
        <v>33</v>
      </c>
      <c r="H1408" t="s">
        <v>50</v>
      </c>
      <c r="I1408" t="s">
        <v>22</v>
      </c>
      <c r="J1408" t="s">
        <v>12</v>
      </c>
      <c r="K1408" s="2">
        <v>21000</v>
      </c>
      <c r="L1408" s="3">
        <v>34.4</v>
      </c>
      <c r="M1408" s="3">
        <v>52.2</v>
      </c>
      <c r="N1408" s="3">
        <v>618</v>
      </c>
      <c r="O1408" s="2">
        <v>395</v>
      </c>
      <c r="P1408">
        <v>1</v>
      </c>
      <c r="Q1408" t="s">
        <v>20</v>
      </c>
      <c r="R1408" s="4">
        <v>227.14</v>
      </c>
      <c r="S1408" s="4">
        <v>118.41</v>
      </c>
      <c r="T1408" t="s">
        <v>34</v>
      </c>
      <c r="U1408" s="4">
        <v>18.14</v>
      </c>
      <c r="V1408" s="4">
        <v>10.816000000000001</v>
      </c>
      <c r="W1408" s="4">
        <v>108.73</v>
      </c>
    </row>
    <row r="1409" spans="1:23" ht="15" customHeight="1" x14ac:dyDescent="0.25">
      <c r="A1409">
        <v>1707</v>
      </c>
      <c r="B1409" s="1">
        <v>45890.583333333343</v>
      </c>
      <c r="C1409">
        <v>14</v>
      </c>
      <c r="D1409" t="s">
        <v>56</v>
      </c>
      <c r="E1409">
        <v>8</v>
      </c>
      <c r="F1409" t="s">
        <v>38</v>
      </c>
      <c r="G1409" t="s">
        <v>33</v>
      </c>
      <c r="H1409" t="s">
        <v>49</v>
      </c>
      <c r="I1409" t="s">
        <v>27</v>
      </c>
      <c r="J1409" t="s">
        <v>18</v>
      </c>
      <c r="K1409" s="2">
        <v>26000</v>
      </c>
      <c r="L1409" s="3">
        <v>28.3</v>
      </c>
      <c r="M1409" s="3">
        <v>50.8</v>
      </c>
      <c r="N1409" s="3">
        <v>774</v>
      </c>
      <c r="O1409" s="2">
        <v>158</v>
      </c>
      <c r="P1409">
        <v>1</v>
      </c>
      <c r="Q1409" t="s">
        <v>20</v>
      </c>
      <c r="R1409" s="4">
        <v>167.21</v>
      </c>
      <c r="S1409" s="4">
        <v>203.46</v>
      </c>
      <c r="T1409" t="s">
        <v>34</v>
      </c>
      <c r="U1409" s="4">
        <v>-2.46</v>
      </c>
      <c r="V1409" s="4">
        <v>6.431</v>
      </c>
      <c r="W1409" s="4">
        <v>0</v>
      </c>
    </row>
    <row r="1410" spans="1:23" ht="15" customHeight="1" x14ac:dyDescent="0.25">
      <c r="A1410">
        <v>235</v>
      </c>
      <c r="B1410" s="1">
        <v>45890.583333333343</v>
      </c>
      <c r="C1410">
        <v>14</v>
      </c>
      <c r="D1410" t="s">
        <v>56</v>
      </c>
      <c r="E1410">
        <v>8</v>
      </c>
      <c r="F1410" t="s">
        <v>38</v>
      </c>
      <c r="G1410" t="s">
        <v>33</v>
      </c>
      <c r="H1410" t="s">
        <v>53</v>
      </c>
      <c r="I1410" t="s">
        <v>19</v>
      </c>
      <c r="J1410" t="s">
        <v>26</v>
      </c>
      <c r="K1410" s="2">
        <v>12500</v>
      </c>
      <c r="L1410" s="3">
        <v>29.4</v>
      </c>
      <c r="M1410" s="3">
        <v>47.8</v>
      </c>
      <c r="N1410" s="3">
        <v>864.6</v>
      </c>
      <c r="O1410" s="2">
        <v>682</v>
      </c>
      <c r="P1410">
        <v>1</v>
      </c>
      <c r="Q1410" t="s">
        <v>20</v>
      </c>
      <c r="R1410" s="4">
        <v>112.22</v>
      </c>
      <c r="S1410" s="4">
        <v>135.13999999999999</v>
      </c>
      <c r="T1410" t="s">
        <v>34</v>
      </c>
      <c r="U1410" s="4">
        <v>-1.55</v>
      </c>
      <c r="V1410" s="4">
        <v>8.9779999999999998</v>
      </c>
      <c r="W1410" s="4">
        <v>0</v>
      </c>
    </row>
    <row r="1411" spans="1:23" ht="15" customHeight="1" x14ac:dyDescent="0.25">
      <c r="A1411">
        <v>2075</v>
      </c>
      <c r="B1411" s="1">
        <v>45890.583333333343</v>
      </c>
      <c r="C1411">
        <v>14</v>
      </c>
      <c r="D1411" t="s">
        <v>56</v>
      </c>
      <c r="E1411">
        <v>8</v>
      </c>
      <c r="F1411" t="s">
        <v>38</v>
      </c>
      <c r="G1411" t="s">
        <v>33</v>
      </c>
      <c r="H1411" t="s">
        <v>52</v>
      </c>
      <c r="I1411" t="s">
        <v>13</v>
      </c>
      <c r="J1411" t="s">
        <v>21</v>
      </c>
      <c r="K1411" s="2">
        <v>9800</v>
      </c>
      <c r="L1411" s="3">
        <v>24.6</v>
      </c>
      <c r="M1411" s="3">
        <v>61.1</v>
      </c>
      <c r="N1411" s="3">
        <v>755.6</v>
      </c>
      <c r="O1411" s="2">
        <v>36</v>
      </c>
      <c r="P1411">
        <v>1</v>
      </c>
      <c r="Q1411" t="s">
        <v>20</v>
      </c>
      <c r="R1411" s="4">
        <v>19.329999999999998</v>
      </c>
      <c r="S1411" s="4">
        <v>0</v>
      </c>
      <c r="T1411" t="s">
        <v>34</v>
      </c>
      <c r="U1411" s="4">
        <v>3.24</v>
      </c>
      <c r="V1411" s="4">
        <v>1.972</v>
      </c>
      <c r="W1411" s="4">
        <v>19.329999999999998</v>
      </c>
    </row>
    <row r="1412" spans="1:23" ht="15" customHeight="1" x14ac:dyDescent="0.25">
      <c r="A1412">
        <v>972</v>
      </c>
      <c r="B1412" s="1">
        <v>45890.833333333343</v>
      </c>
      <c r="C1412">
        <v>20</v>
      </c>
      <c r="D1412" t="s">
        <v>56</v>
      </c>
      <c r="E1412">
        <v>8</v>
      </c>
      <c r="F1412" t="s">
        <v>38</v>
      </c>
      <c r="G1412" t="s">
        <v>33</v>
      </c>
      <c r="H1412" t="s">
        <v>50</v>
      </c>
      <c r="I1412" t="s">
        <v>22</v>
      </c>
      <c r="J1412" t="s">
        <v>12</v>
      </c>
      <c r="K1412" s="2">
        <v>21000</v>
      </c>
      <c r="L1412" s="3">
        <v>30</v>
      </c>
      <c r="M1412" s="3">
        <v>57.4</v>
      </c>
      <c r="N1412" s="3">
        <v>0</v>
      </c>
      <c r="O1412" s="2">
        <v>415</v>
      </c>
      <c r="P1412">
        <v>1</v>
      </c>
      <c r="Q1412" t="s">
        <v>20</v>
      </c>
      <c r="R1412" s="4">
        <v>298.25</v>
      </c>
      <c r="S1412" s="4">
        <v>0</v>
      </c>
      <c r="T1412" t="s">
        <v>37</v>
      </c>
      <c r="U1412" s="4">
        <v>77.099999999999994</v>
      </c>
      <c r="V1412" s="4">
        <v>14.202</v>
      </c>
      <c r="W1412" s="4">
        <v>298.25</v>
      </c>
    </row>
    <row r="1413" spans="1:23" ht="15" customHeight="1" x14ac:dyDescent="0.25">
      <c r="A1413">
        <v>2076</v>
      </c>
      <c r="B1413" s="1">
        <v>45890.833333333343</v>
      </c>
      <c r="C1413">
        <v>20</v>
      </c>
      <c r="D1413" t="s">
        <v>56</v>
      </c>
      <c r="E1413">
        <v>8</v>
      </c>
      <c r="F1413" t="s">
        <v>38</v>
      </c>
      <c r="G1413" t="s">
        <v>33</v>
      </c>
      <c r="H1413" t="s">
        <v>52</v>
      </c>
      <c r="I1413" t="s">
        <v>13</v>
      </c>
      <c r="J1413" t="s">
        <v>21</v>
      </c>
      <c r="K1413" s="2">
        <v>9800</v>
      </c>
      <c r="L1413" s="3">
        <v>26.3</v>
      </c>
      <c r="M1413" s="3">
        <v>64.8</v>
      </c>
      <c r="N1413" s="3">
        <v>0</v>
      </c>
      <c r="O1413" s="2">
        <v>305</v>
      </c>
      <c r="P1413">
        <v>1</v>
      </c>
      <c r="Q1413" t="s">
        <v>20</v>
      </c>
      <c r="R1413" s="4">
        <v>96.8</v>
      </c>
      <c r="S1413" s="4">
        <v>0</v>
      </c>
      <c r="T1413" t="s">
        <v>37</v>
      </c>
      <c r="U1413" s="4">
        <v>24.98</v>
      </c>
      <c r="V1413" s="4">
        <v>9.8780000000000001</v>
      </c>
      <c r="W1413" s="4">
        <v>96.8</v>
      </c>
    </row>
    <row r="1414" spans="1:23" ht="15" customHeight="1" x14ac:dyDescent="0.25">
      <c r="A1414">
        <v>236</v>
      </c>
      <c r="B1414" s="1">
        <v>45890.833333333343</v>
      </c>
      <c r="C1414">
        <v>20</v>
      </c>
      <c r="D1414" t="s">
        <v>56</v>
      </c>
      <c r="E1414">
        <v>8</v>
      </c>
      <c r="F1414" t="s">
        <v>38</v>
      </c>
      <c r="G1414" t="s">
        <v>33</v>
      </c>
      <c r="H1414" t="s">
        <v>53</v>
      </c>
      <c r="I1414" t="s">
        <v>19</v>
      </c>
      <c r="J1414" t="s">
        <v>26</v>
      </c>
      <c r="K1414" s="2">
        <v>12500</v>
      </c>
      <c r="L1414" s="3">
        <v>25.2</v>
      </c>
      <c r="M1414" s="3">
        <v>45</v>
      </c>
      <c r="N1414" s="3">
        <v>0</v>
      </c>
      <c r="O1414" s="2">
        <v>78</v>
      </c>
      <c r="P1414">
        <v>1</v>
      </c>
      <c r="Q1414" t="s">
        <v>20</v>
      </c>
      <c r="R1414" s="4">
        <v>39.69</v>
      </c>
      <c r="S1414" s="4">
        <v>0</v>
      </c>
      <c r="T1414" t="s">
        <v>37</v>
      </c>
      <c r="U1414" s="4">
        <v>10.18</v>
      </c>
      <c r="V1414" s="4">
        <v>3.1749999999999998</v>
      </c>
      <c r="W1414" s="4">
        <v>39.69</v>
      </c>
    </row>
    <row r="1415" spans="1:23" ht="15" customHeight="1" x14ac:dyDescent="0.25">
      <c r="A1415">
        <v>1340</v>
      </c>
      <c r="B1415" s="1">
        <v>45890.833333333343</v>
      </c>
      <c r="C1415">
        <v>20</v>
      </c>
      <c r="D1415" t="s">
        <v>56</v>
      </c>
      <c r="E1415">
        <v>8</v>
      </c>
      <c r="F1415" t="s">
        <v>38</v>
      </c>
      <c r="G1415" t="s">
        <v>33</v>
      </c>
      <c r="H1415" t="s">
        <v>51</v>
      </c>
      <c r="I1415" t="s">
        <v>25</v>
      </c>
      <c r="J1415" t="s">
        <v>15</v>
      </c>
      <c r="K1415" s="2">
        <v>17400</v>
      </c>
      <c r="L1415" s="3">
        <v>27.1</v>
      </c>
      <c r="M1415" s="3">
        <v>63.7</v>
      </c>
      <c r="N1415" s="3">
        <v>0</v>
      </c>
      <c r="O1415" s="2">
        <v>1344</v>
      </c>
      <c r="P1415">
        <v>1</v>
      </c>
      <c r="Q1415" t="s">
        <v>20</v>
      </c>
      <c r="R1415" s="4">
        <v>285.72000000000003</v>
      </c>
      <c r="S1415" s="4">
        <v>0</v>
      </c>
      <c r="T1415" t="s">
        <v>37</v>
      </c>
      <c r="U1415" s="4">
        <v>74.599999999999994</v>
      </c>
      <c r="V1415" s="4">
        <v>16.420999999999999</v>
      </c>
      <c r="W1415" s="4">
        <v>285.72000000000003</v>
      </c>
    </row>
    <row r="1416" spans="1:23" ht="15" customHeight="1" x14ac:dyDescent="0.25">
      <c r="A1416">
        <v>1708</v>
      </c>
      <c r="B1416" s="1">
        <v>45890.833333333343</v>
      </c>
      <c r="C1416">
        <v>20</v>
      </c>
      <c r="D1416" t="s">
        <v>56</v>
      </c>
      <c r="E1416">
        <v>8</v>
      </c>
      <c r="F1416" t="s">
        <v>38</v>
      </c>
      <c r="G1416" t="s">
        <v>33</v>
      </c>
      <c r="H1416" t="s">
        <v>49</v>
      </c>
      <c r="I1416" t="s">
        <v>27</v>
      </c>
      <c r="J1416" t="s">
        <v>18</v>
      </c>
      <c r="K1416" s="2">
        <v>26000</v>
      </c>
      <c r="L1416" s="3">
        <v>26.9</v>
      </c>
      <c r="M1416" s="3">
        <v>47.6</v>
      </c>
      <c r="N1416" s="3">
        <v>0</v>
      </c>
      <c r="O1416" s="2">
        <v>163</v>
      </c>
      <c r="P1416">
        <v>1</v>
      </c>
      <c r="Q1416" t="s">
        <v>20</v>
      </c>
      <c r="R1416" s="4"/>
      <c r="S1416" s="4">
        <v>0</v>
      </c>
      <c r="T1416" t="s">
        <v>37</v>
      </c>
      <c r="U1416" s="4">
        <v>68.239999999999995</v>
      </c>
      <c r="V1416" s="4"/>
      <c r="W1416" s="4"/>
    </row>
    <row r="1417" spans="1:23" ht="15" customHeight="1" x14ac:dyDescent="0.25">
      <c r="A1417">
        <v>604</v>
      </c>
      <c r="B1417" s="1">
        <v>45890.833333333343</v>
      </c>
      <c r="C1417">
        <v>20</v>
      </c>
      <c r="D1417" t="s">
        <v>56</v>
      </c>
      <c r="E1417">
        <v>8</v>
      </c>
      <c r="F1417" t="s">
        <v>38</v>
      </c>
      <c r="G1417" t="s">
        <v>33</v>
      </c>
      <c r="H1417" t="s">
        <v>54</v>
      </c>
      <c r="I1417" t="s">
        <v>16</v>
      </c>
      <c r="J1417" t="s">
        <v>24</v>
      </c>
      <c r="K1417" s="2">
        <v>8600</v>
      </c>
      <c r="L1417" s="3">
        <v>20.399999999999999</v>
      </c>
      <c r="M1417" s="3">
        <v>84.3</v>
      </c>
      <c r="N1417" s="3">
        <v>0</v>
      </c>
      <c r="O1417" s="2">
        <v>5</v>
      </c>
      <c r="P1417">
        <v>0</v>
      </c>
      <c r="Q1417" t="s">
        <v>14</v>
      </c>
      <c r="R1417" s="4">
        <v>11.91</v>
      </c>
      <c r="S1417" s="4">
        <v>0</v>
      </c>
      <c r="T1417" t="s">
        <v>37</v>
      </c>
      <c r="U1417" s="4">
        <v>2.96</v>
      </c>
      <c r="V1417" s="4">
        <v>1.385</v>
      </c>
      <c r="W1417" s="4">
        <v>11.91</v>
      </c>
    </row>
    <row r="1418" spans="1:23" ht="15" customHeight="1" x14ac:dyDescent="0.25">
      <c r="A1418">
        <v>237</v>
      </c>
      <c r="B1418" s="1">
        <v>45894</v>
      </c>
      <c r="C1418">
        <v>0</v>
      </c>
      <c r="D1418" t="s">
        <v>57</v>
      </c>
      <c r="E1418">
        <v>8</v>
      </c>
      <c r="F1418" t="s">
        <v>38</v>
      </c>
      <c r="G1418" t="s">
        <v>33</v>
      </c>
      <c r="H1418" t="s">
        <v>53</v>
      </c>
      <c r="I1418" t="s">
        <v>19</v>
      </c>
      <c r="J1418" t="s">
        <v>26</v>
      </c>
      <c r="K1418" s="2">
        <v>12500</v>
      </c>
      <c r="L1418" s="3"/>
      <c r="M1418" s="3">
        <v>49.8</v>
      </c>
      <c r="N1418" s="3">
        <v>0</v>
      </c>
      <c r="O1418" s="2">
        <v>20</v>
      </c>
      <c r="P1418">
        <v>0</v>
      </c>
      <c r="Q1418" t="s">
        <v>14</v>
      </c>
      <c r="R1418" s="4">
        <v>24.69</v>
      </c>
      <c r="S1418" s="4">
        <v>0</v>
      </c>
      <c r="T1418" t="s">
        <v>31</v>
      </c>
      <c r="U1418" s="4">
        <v>2.57</v>
      </c>
      <c r="V1418" s="4">
        <v>1.9750000000000001</v>
      </c>
      <c r="W1418" s="4">
        <v>24.69</v>
      </c>
    </row>
    <row r="1419" spans="1:23" ht="15" customHeight="1" x14ac:dyDescent="0.25">
      <c r="A1419">
        <v>605</v>
      </c>
      <c r="B1419" s="1">
        <v>45894</v>
      </c>
      <c r="C1419">
        <v>0</v>
      </c>
      <c r="D1419" t="s">
        <v>57</v>
      </c>
      <c r="E1419">
        <v>8</v>
      </c>
      <c r="F1419" t="s">
        <v>38</v>
      </c>
      <c r="G1419" t="s">
        <v>33</v>
      </c>
      <c r="H1419" t="s">
        <v>54</v>
      </c>
      <c r="I1419" t="s">
        <v>16</v>
      </c>
      <c r="J1419" t="s">
        <v>24</v>
      </c>
      <c r="K1419" s="2">
        <v>8600</v>
      </c>
      <c r="L1419" s="3">
        <v>14.2</v>
      </c>
      <c r="M1419" s="3">
        <v>88.9</v>
      </c>
      <c r="N1419" s="3">
        <v>0</v>
      </c>
      <c r="O1419" s="2">
        <v>0</v>
      </c>
      <c r="P1419">
        <v>0</v>
      </c>
      <c r="Q1419" t="s">
        <v>14</v>
      </c>
      <c r="R1419" s="4">
        <v>12</v>
      </c>
      <c r="S1419" s="4">
        <v>0</v>
      </c>
      <c r="T1419" t="s">
        <v>31</v>
      </c>
      <c r="U1419" s="4">
        <v>1.26</v>
      </c>
      <c r="V1419" s="4">
        <v>1.395</v>
      </c>
      <c r="W1419" s="4">
        <v>12</v>
      </c>
    </row>
    <row r="1420" spans="1:23" ht="15" customHeight="1" x14ac:dyDescent="0.25">
      <c r="A1420">
        <v>1341</v>
      </c>
      <c r="B1420" s="1">
        <v>45894</v>
      </c>
      <c r="C1420">
        <v>0</v>
      </c>
      <c r="D1420" t="s">
        <v>57</v>
      </c>
      <c r="E1420">
        <v>8</v>
      </c>
      <c r="F1420" t="s">
        <v>38</v>
      </c>
      <c r="G1420" t="s">
        <v>33</v>
      </c>
      <c r="H1420" t="s">
        <v>51</v>
      </c>
      <c r="I1420" t="s">
        <v>25</v>
      </c>
      <c r="J1420" t="s">
        <v>15</v>
      </c>
      <c r="K1420" s="2">
        <v>17400</v>
      </c>
      <c r="L1420" s="3">
        <v>21.4</v>
      </c>
      <c r="M1420" s="3">
        <v>66.900000000000006</v>
      </c>
      <c r="N1420" s="3">
        <v>0</v>
      </c>
      <c r="O1420" s="2">
        <v>0</v>
      </c>
      <c r="P1420">
        <v>0</v>
      </c>
      <c r="Q1420" t="s">
        <v>14</v>
      </c>
      <c r="R1420" s="4">
        <v>44.3</v>
      </c>
      <c r="S1420" s="4">
        <v>0</v>
      </c>
      <c r="T1420" t="s">
        <v>31</v>
      </c>
      <c r="U1420" s="4">
        <v>4.72</v>
      </c>
      <c r="V1420" s="4">
        <v>2.5459999999999998</v>
      </c>
      <c r="W1420" s="4">
        <v>44.3</v>
      </c>
    </row>
    <row r="1421" spans="1:23" ht="15" customHeight="1" x14ac:dyDescent="0.25">
      <c r="A1421">
        <v>1709</v>
      </c>
      <c r="B1421" s="1">
        <v>45894</v>
      </c>
      <c r="C1421">
        <v>0</v>
      </c>
      <c r="D1421" t="s">
        <v>57</v>
      </c>
      <c r="E1421">
        <v>8</v>
      </c>
      <c r="F1421" t="s">
        <v>38</v>
      </c>
      <c r="G1421" t="s">
        <v>33</v>
      </c>
      <c r="H1421" t="s">
        <v>49</v>
      </c>
      <c r="I1421" t="s">
        <v>27</v>
      </c>
      <c r="J1421" t="s">
        <v>18</v>
      </c>
      <c r="K1421" s="2">
        <v>26000</v>
      </c>
      <c r="L1421" s="3">
        <v>21.5</v>
      </c>
      <c r="M1421" s="3">
        <v>54.9</v>
      </c>
      <c r="N1421" s="3">
        <v>0</v>
      </c>
      <c r="O1421" s="2">
        <v>41</v>
      </c>
      <c r="P1421">
        <v>0</v>
      </c>
      <c r="Q1421" t="s">
        <v>14</v>
      </c>
      <c r="R1421" s="4">
        <v>106.04</v>
      </c>
      <c r="S1421" s="4">
        <v>0</v>
      </c>
      <c r="T1421" t="s">
        <v>31</v>
      </c>
      <c r="U1421" s="4">
        <v>10.94</v>
      </c>
      <c r="V1421" s="4">
        <v>4.0780000000000003</v>
      </c>
      <c r="W1421" s="4">
        <v>106.04</v>
      </c>
    </row>
    <row r="1422" spans="1:23" ht="15" customHeight="1" x14ac:dyDescent="0.25">
      <c r="A1422">
        <v>973</v>
      </c>
      <c r="B1422" s="1">
        <v>45894</v>
      </c>
      <c r="C1422">
        <v>0</v>
      </c>
      <c r="D1422" t="s">
        <v>57</v>
      </c>
      <c r="E1422">
        <v>8</v>
      </c>
      <c r="F1422" t="s">
        <v>38</v>
      </c>
      <c r="G1422" t="s">
        <v>33</v>
      </c>
      <c r="H1422" t="s">
        <v>50</v>
      </c>
      <c r="I1422" t="s">
        <v>22</v>
      </c>
      <c r="J1422" t="s">
        <v>12</v>
      </c>
      <c r="K1422" s="2">
        <v>21000</v>
      </c>
      <c r="L1422" s="3">
        <v>22.8</v>
      </c>
      <c r="M1422" s="3">
        <v>52.5</v>
      </c>
      <c r="N1422" s="3">
        <v>0</v>
      </c>
      <c r="O1422" s="2">
        <v>214</v>
      </c>
      <c r="P1422">
        <v>0</v>
      </c>
      <c r="Q1422" t="s">
        <v>14</v>
      </c>
      <c r="R1422" s="4">
        <v>172.3</v>
      </c>
      <c r="S1422" s="4">
        <v>0</v>
      </c>
      <c r="T1422" t="s">
        <v>31</v>
      </c>
      <c r="U1422" s="4">
        <v>18.260000000000002</v>
      </c>
      <c r="V1422" s="4">
        <v>8.2050000000000001</v>
      </c>
      <c r="W1422" s="4">
        <v>172.3</v>
      </c>
    </row>
    <row r="1423" spans="1:23" ht="15" customHeight="1" x14ac:dyDescent="0.25">
      <c r="A1423">
        <v>2077</v>
      </c>
      <c r="B1423" s="1">
        <v>45894</v>
      </c>
      <c r="C1423">
        <v>0</v>
      </c>
      <c r="D1423" t="s">
        <v>57</v>
      </c>
      <c r="E1423">
        <v>8</v>
      </c>
      <c r="F1423" t="s">
        <v>38</v>
      </c>
      <c r="G1423" t="s">
        <v>33</v>
      </c>
      <c r="H1423" t="s">
        <v>52</v>
      </c>
      <c r="I1423" t="s">
        <v>13</v>
      </c>
      <c r="J1423" t="s">
        <v>21</v>
      </c>
      <c r="K1423" s="2">
        <v>9800</v>
      </c>
      <c r="L1423" s="3">
        <v>18.899999999999999</v>
      </c>
      <c r="M1423" s="3">
        <v>82.4</v>
      </c>
      <c r="N1423" s="3">
        <v>0</v>
      </c>
      <c r="O1423" s="2">
        <v>314</v>
      </c>
      <c r="P1423">
        <v>0</v>
      </c>
      <c r="Q1423" t="s">
        <v>14</v>
      </c>
      <c r="R1423" s="4">
        <v>94.49</v>
      </c>
      <c r="S1423" s="4">
        <v>0</v>
      </c>
      <c r="T1423" t="s">
        <v>31</v>
      </c>
      <c r="U1423" s="4">
        <v>9.86</v>
      </c>
      <c r="V1423" s="4">
        <v>9.6419999999999995</v>
      </c>
      <c r="W1423" s="4">
        <v>94.49</v>
      </c>
    </row>
    <row r="1424" spans="1:23" ht="15" customHeight="1" x14ac:dyDescent="0.25">
      <c r="A1424">
        <v>1710</v>
      </c>
      <c r="B1424" s="1">
        <v>45894.333333333343</v>
      </c>
      <c r="C1424">
        <v>8</v>
      </c>
      <c r="D1424" t="s">
        <v>57</v>
      </c>
      <c r="E1424">
        <v>8</v>
      </c>
      <c r="F1424" t="s">
        <v>38</v>
      </c>
      <c r="G1424" t="s">
        <v>33</v>
      </c>
      <c r="H1424" t="s">
        <v>49</v>
      </c>
      <c r="I1424" t="s">
        <v>27</v>
      </c>
      <c r="J1424" t="s">
        <v>18</v>
      </c>
      <c r="K1424" s="2">
        <v>26000</v>
      </c>
      <c r="L1424" s="3">
        <v>22.3</v>
      </c>
      <c r="M1424" s="3">
        <v>59</v>
      </c>
      <c r="N1424" s="3">
        <v>321.89999999999998</v>
      </c>
      <c r="O1424" s="2">
        <v>164</v>
      </c>
      <c r="P1424">
        <v>0</v>
      </c>
      <c r="Q1424" t="s">
        <v>14</v>
      </c>
      <c r="R1424" s="4">
        <v>146.03</v>
      </c>
      <c r="S1424" s="4">
        <v>83.98</v>
      </c>
      <c r="T1424" t="s">
        <v>34</v>
      </c>
      <c r="U1424" s="4">
        <v>10.24</v>
      </c>
      <c r="V1424" s="4">
        <v>5.617</v>
      </c>
      <c r="W1424" s="4">
        <v>62.05</v>
      </c>
    </row>
    <row r="1425" spans="1:23" ht="15" customHeight="1" x14ac:dyDescent="0.25">
      <c r="A1425">
        <v>974</v>
      </c>
      <c r="B1425" s="1">
        <v>45894.333333333343</v>
      </c>
      <c r="C1425">
        <v>8</v>
      </c>
      <c r="D1425" t="s">
        <v>57</v>
      </c>
      <c r="E1425">
        <v>8</v>
      </c>
      <c r="F1425" t="s">
        <v>38</v>
      </c>
      <c r="G1425" t="s">
        <v>33</v>
      </c>
      <c r="H1425" t="s">
        <v>50</v>
      </c>
      <c r="I1425" t="s">
        <v>22</v>
      </c>
      <c r="J1425" t="s">
        <v>12</v>
      </c>
      <c r="K1425" s="2">
        <v>21000</v>
      </c>
      <c r="L1425" s="3">
        <v>27.9</v>
      </c>
      <c r="M1425" s="3">
        <v>46.4</v>
      </c>
      <c r="N1425" s="3">
        <v>297.60000000000002</v>
      </c>
      <c r="O1425" s="2">
        <v>365</v>
      </c>
      <c r="P1425">
        <v>1</v>
      </c>
      <c r="Q1425" t="s">
        <v>20</v>
      </c>
      <c r="R1425" s="4">
        <v>190.11</v>
      </c>
      <c r="S1425" s="4">
        <v>61.36</v>
      </c>
      <c r="T1425" t="s">
        <v>34</v>
      </c>
      <c r="U1425" s="4">
        <v>21.04</v>
      </c>
      <c r="V1425" s="4">
        <v>9.0530000000000008</v>
      </c>
      <c r="W1425" s="4">
        <v>128.75</v>
      </c>
    </row>
    <row r="1426" spans="1:23" ht="15" customHeight="1" x14ac:dyDescent="0.25">
      <c r="A1426">
        <v>238</v>
      </c>
      <c r="B1426" s="1">
        <v>45894.333333333343</v>
      </c>
      <c r="C1426">
        <v>8</v>
      </c>
      <c r="D1426" t="s">
        <v>57</v>
      </c>
      <c r="E1426">
        <v>8</v>
      </c>
      <c r="F1426" t="s">
        <v>38</v>
      </c>
      <c r="G1426" t="s">
        <v>33</v>
      </c>
      <c r="H1426" t="s">
        <v>53</v>
      </c>
      <c r="I1426" t="s">
        <v>19</v>
      </c>
      <c r="J1426" t="s">
        <v>26</v>
      </c>
      <c r="K1426" s="2">
        <v>12500</v>
      </c>
      <c r="L1426" s="3">
        <v>21.8</v>
      </c>
      <c r="M1426" s="3">
        <v>55.3</v>
      </c>
      <c r="N1426" s="3">
        <v>295.10000000000002</v>
      </c>
      <c r="O1426" s="2">
        <v>382</v>
      </c>
      <c r="P1426">
        <v>0</v>
      </c>
      <c r="Q1426" t="s">
        <v>14</v>
      </c>
      <c r="R1426" s="4">
        <v>68.34</v>
      </c>
      <c r="S1426" s="4">
        <v>43.75</v>
      </c>
      <c r="T1426" t="s">
        <v>34</v>
      </c>
      <c r="U1426" s="4">
        <v>4.1500000000000004</v>
      </c>
      <c r="V1426" s="4">
        <v>5.4669999999999996</v>
      </c>
      <c r="W1426" s="4">
        <v>24.59</v>
      </c>
    </row>
    <row r="1427" spans="1:23" ht="15" customHeight="1" x14ac:dyDescent="0.25">
      <c r="A1427">
        <v>2078</v>
      </c>
      <c r="B1427" s="1">
        <v>45894.333333333343</v>
      </c>
      <c r="C1427">
        <v>8</v>
      </c>
      <c r="D1427" t="s">
        <v>57</v>
      </c>
      <c r="E1427">
        <v>8</v>
      </c>
      <c r="F1427" t="s">
        <v>38</v>
      </c>
      <c r="G1427" t="s">
        <v>33</v>
      </c>
      <c r="H1427" t="s">
        <v>52</v>
      </c>
      <c r="I1427" t="s">
        <v>13</v>
      </c>
      <c r="J1427" t="s">
        <v>21</v>
      </c>
      <c r="K1427" s="2">
        <v>9800</v>
      </c>
      <c r="L1427" s="3">
        <v>17.600000000000001</v>
      </c>
      <c r="M1427" s="3">
        <v>79</v>
      </c>
      <c r="N1427" s="3">
        <v>237.8</v>
      </c>
      <c r="O1427" s="2">
        <v>62</v>
      </c>
      <c r="P1427">
        <v>0</v>
      </c>
      <c r="Q1427" t="s">
        <v>14</v>
      </c>
      <c r="R1427" s="4">
        <v>17.82</v>
      </c>
      <c r="S1427" s="4">
        <v>0</v>
      </c>
      <c r="T1427" t="s">
        <v>34</v>
      </c>
      <c r="U1427" s="4">
        <v>2.96</v>
      </c>
      <c r="V1427" s="4">
        <v>1.8180000000000001</v>
      </c>
      <c r="W1427" s="4">
        <v>17.82</v>
      </c>
    </row>
    <row r="1428" spans="1:23" ht="15" customHeight="1" x14ac:dyDescent="0.25">
      <c r="A1428">
        <v>606</v>
      </c>
      <c r="B1428" s="1">
        <v>45894.333333333343</v>
      </c>
      <c r="C1428">
        <v>8</v>
      </c>
      <c r="D1428" t="s">
        <v>57</v>
      </c>
      <c r="E1428">
        <v>8</v>
      </c>
      <c r="F1428" t="s">
        <v>38</v>
      </c>
      <c r="G1428" t="s">
        <v>33</v>
      </c>
      <c r="H1428" t="s">
        <v>54</v>
      </c>
      <c r="I1428" t="s">
        <v>16</v>
      </c>
      <c r="J1428" t="s">
        <v>24</v>
      </c>
      <c r="K1428" s="2">
        <v>8600</v>
      </c>
      <c r="L1428" s="3">
        <v>14.9</v>
      </c>
      <c r="M1428" s="3">
        <v>84.1</v>
      </c>
      <c r="N1428" s="3">
        <v>185.8</v>
      </c>
      <c r="O1428" s="2">
        <v>136</v>
      </c>
      <c r="P1428">
        <v>0</v>
      </c>
      <c r="Q1428" t="s">
        <v>14</v>
      </c>
      <c r="R1428" s="4">
        <v>14.99</v>
      </c>
      <c r="S1428" s="4">
        <v>14.85</v>
      </c>
      <c r="T1428" t="s">
        <v>34</v>
      </c>
      <c r="U1428" s="4">
        <v>0.02</v>
      </c>
      <c r="V1428" s="4">
        <v>1.7430000000000001</v>
      </c>
      <c r="W1428" s="4">
        <v>0.14000000000000001</v>
      </c>
    </row>
    <row r="1429" spans="1:23" ht="15" customHeight="1" x14ac:dyDescent="0.25">
      <c r="A1429">
        <v>1342</v>
      </c>
      <c r="B1429" s="1">
        <v>45894.333333333343</v>
      </c>
      <c r="C1429">
        <v>8</v>
      </c>
      <c r="D1429" t="s">
        <v>57</v>
      </c>
      <c r="E1429">
        <v>8</v>
      </c>
      <c r="F1429" t="s">
        <v>38</v>
      </c>
      <c r="G1429" t="s">
        <v>33</v>
      </c>
      <c r="H1429" t="s">
        <v>51</v>
      </c>
      <c r="I1429" t="s">
        <v>25</v>
      </c>
      <c r="J1429" t="s">
        <v>15</v>
      </c>
      <c r="K1429" s="2">
        <v>17400</v>
      </c>
      <c r="L1429" s="3">
        <v>21.3</v>
      </c>
      <c r="M1429" s="3">
        <v>67.7</v>
      </c>
      <c r="N1429" s="3">
        <v>292.3</v>
      </c>
      <c r="O1429" s="2">
        <v>181</v>
      </c>
      <c r="P1429">
        <v>0</v>
      </c>
      <c r="Q1429" t="s">
        <v>14</v>
      </c>
      <c r="R1429" s="4">
        <v>42.78</v>
      </c>
      <c r="S1429" s="4">
        <v>38.409999999999997</v>
      </c>
      <c r="T1429" t="s">
        <v>34</v>
      </c>
      <c r="U1429" s="4">
        <v>0.73</v>
      </c>
      <c r="V1429" s="4">
        <v>2.4590000000000001</v>
      </c>
      <c r="W1429" s="4">
        <v>4.37</v>
      </c>
    </row>
    <row r="1430" spans="1:23" ht="15" customHeight="1" x14ac:dyDescent="0.25">
      <c r="A1430">
        <v>239</v>
      </c>
      <c r="B1430" s="1">
        <v>45894.583333333343</v>
      </c>
      <c r="C1430">
        <v>14</v>
      </c>
      <c r="D1430" t="s">
        <v>57</v>
      </c>
      <c r="E1430">
        <v>8</v>
      </c>
      <c r="F1430" t="s">
        <v>38</v>
      </c>
      <c r="G1430" t="s">
        <v>33</v>
      </c>
      <c r="H1430" t="s">
        <v>53</v>
      </c>
      <c r="I1430" t="s">
        <v>19</v>
      </c>
      <c r="J1430" t="s">
        <v>26</v>
      </c>
      <c r="K1430" s="2">
        <v>12500</v>
      </c>
      <c r="L1430" s="3">
        <v>29.2</v>
      </c>
      <c r="M1430" s="3">
        <v>44.7</v>
      </c>
      <c r="N1430" s="3">
        <v>855.5</v>
      </c>
      <c r="O1430" s="2">
        <v>565</v>
      </c>
      <c r="P1430">
        <v>1</v>
      </c>
      <c r="Q1430" t="s">
        <v>20</v>
      </c>
      <c r="R1430" s="4">
        <v>107.54</v>
      </c>
      <c r="S1430" s="4">
        <v>121.22</v>
      </c>
      <c r="T1430" t="s">
        <v>34</v>
      </c>
      <c r="U1430" s="4">
        <v>-0.9</v>
      </c>
      <c r="V1430" s="4">
        <v>8.6029999999999998</v>
      </c>
      <c r="W1430" s="4">
        <v>0</v>
      </c>
    </row>
    <row r="1431" spans="1:23" ht="15" customHeight="1" x14ac:dyDescent="0.25">
      <c r="A1431">
        <v>1711</v>
      </c>
      <c r="B1431" s="1">
        <v>45894.583333333343</v>
      </c>
      <c r="C1431">
        <v>14</v>
      </c>
      <c r="D1431" t="s">
        <v>57</v>
      </c>
      <c r="E1431">
        <v>8</v>
      </c>
      <c r="F1431" t="s">
        <v>38</v>
      </c>
      <c r="G1431" t="s">
        <v>33</v>
      </c>
      <c r="H1431" t="s">
        <v>49</v>
      </c>
      <c r="I1431" t="s">
        <v>27</v>
      </c>
      <c r="J1431" t="s">
        <v>18</v>
      </c>
      <c r="K1431" s="2">
        <v>26000</v>
      </c>
      <c r="L1431" s="3">
        <v>26.8</v>
      </c>
      <c r="M1431" s="3"/>
      <c r="N1431" s="3">
        <v>715.8</v>
      </c>
      <c r="O1431" s="2">
        <v>159</v>
      </c>
      <c r="P1431">
        <v>1</v>
      </c>
      <c r="Q1431" t="s">
        <v>20</v>
      </c>
      <c r="R1431" s="4">
        <v>149.9</v>
      </c>
      <c r="S1431" s="4">
        <v>183.13</v>
      </c>
      <c r="T1431" t="s">
        <v>34</v>
      </c>
      <c r="U1431" s="4">
        <v>-2.27</v>
      </c>
      <c r="V1431" s="4">
        <v>5.7649999999999997</v>
      </c>
      <c r="W1431" s="4">
        <v>0</v>
      </c>
    </row>
    <row r="1432" spans="1:23" ht="15" customHeight="1" x14ac:dyDescent="0.25">
      <c r="A1432">
        <v>2079</v>
      </c>
      <c r="B1432" s="1">
        <v>45894.583333333343</v>
      </c>
      <c r="C1432">
        <v>14</v>
      </c>
      <c r="D1432" t="s">
        <v>57</v>
      </c>
      <c r="E1432">
        <v>8</v>
      </c>
      <c r="F1432" t="s">
        <v>38</v>
      </c>
      <c r="G1432" t="s">
        <v>33</v>
      </c>
      <c r="H1432" t="s">
        <v>52</v>
      </c>
      <c r="I1432" t="s">
        <v>13</v>
      </c>
      <c r="J1432" t="s">
        <v>21</v>
      </c>
      <c r="K1432" s="2">
        <v>9800</v>
      </c>
      <c r="L1432" s="3">
        <v>26.1</v>
      </c>
      <c r="M1432" s="3">
        <v>61.6</v>
      </c>
      <c r="N1432" s="3">
        <v>806.5</v>
      </c>
      <c r="O1432" s="2">
        <v>85</v>
      </c>
      <c r="P1432">
        <v>1</v>
      </c>
      <c r="Q1432" t="s">
        <v>20</v>
      </c>
      <c r="R1432" s="4">
        <v>23.01</v>
      </c>
      <c r="S1432" s="4">
        <v>0</v>
      </c>
      <c r="T1432" t="s">
        <v>34</v>
      </c>
      <c r="U1432" s="4">
        <v>3.89</v>
      </c>
      <c r="V1432" s="4">
        <v>2.3479999999999999</v>
      </c>
      <c r="W1432" s="4">
        <v>23.01</v>
      </c>
    </row>
    <row r="1433" spans="1:23" ht="15" customHeight="1" x14ac:dyDescent="0.25">
      <c r="A1433">
        <v>1343</v>
      </c>
      <c r="B1433" s="1">
        <v>45894.583333333343</v>
      </c>
      <c r="C1433">
        <v>14</v>
      </c>
      <c r="D1433" t="s">
        <v>57</v>
      </c>
      <c r="E1433">
        <v>8</v>
      </c>
      <c r="F1433" t="s">
        <v>38</v>
      </c>
      <c r="G1433" t="s">
        <v>33</v>
      </c>
      <c r="H1433" t="s">
        <v>51</v>
      </c>
      <c r="I1433" t="s">
        <v>25</v>
      </c>
      <c r="J1433" t="s">
        <v>15</v>
      </c>
      <c r="K1433" s="2">
        <v>17400</v>
      </c>
      <c r="L1433" s="3">
        <v>28.9</v>
      </c>
      <c r="M1433" s="3">
        <v>58.6</v>
      </c>
      <c r="N1433" s="3">
        <v>836.6</v>
      </c>
      <c r="O1433" s="2">
        <v>1258</v>
      </c>
      <c r="P1433">
        <v>1</v>
      </c>
      <c r="Q1433" t="s">
        <v>20</v>
      </c>
      <c r="R1433" s="4">
        <v>218.29</v>
      </c>
      <c r="S1433" s="4">
        <v>98.94</v>
      </c>
      <c r="T1433" t="s">
        <v>34</v>
      </c>
      <c r="U1433" s="4">
        <v>20.59</v>
      </c>
      <c r="V1433" s="4">
        <v>12.545</v>
      </c>
      <c r="W1433" s="4">
        <v>119.35</v>
      </c>
    </row>
    <row r="1434" spans="1:23" ht="15" customHeight="1" x14ac:dyDescent="0.25">
      <c r="A1434">
        <v>607</v>
      </c>
      <c r="B1434" s="1">
        <v>45894.583333333343</v>
      </c>
      <c r="C1434">
        <v>14</v>
      </c>
      <c r="D1434" t="s">
        <v>57</v>
      </c>
      <c r="E1434">
        <v>8</v>
      </c>
      <c r="F1434" t="s">
        <v>38</v>
      </c>
      <c r="G1434" t="s">
        <v>33</v>
      </c>
      <c r="H1434" t="s">
        <v>54</v>
      </c>
      <c r="I1434" t="s">
        <v>16</v>
      </c>
      <c r="J1434" t="s">
        <v>24</v>
      </c>
      <c r="K1434" s="2">
        <v>8600</v>
      </c>
      <c r="L1434" s="3">
        <v>22.4</v>
      </c>
      <c r="M1434" s="3">
        <v>78.7</v>
      </c>
      <c r="N1434" s="3">
        <v>566.20000000000005</v>
      </c>
      <c r="O1434" s="2">
        <v>0</v>
      </c>
      <c r="P1434">
        <v>0</v>
      </c>
      <c r="Q1434" t="s">
        <v>14</v>
      </c>
      <c r="R1434" s="4">
        <v>8.0500000000000007</v>
      </c>
      <c r="S1434" s="4">
        <v>46.96</v>
      </c>
      <c r="T1434" t="s">
        <v>34</v>
      </c>
      <c r="U1434" s="4">
        <v>-2.62</v>
      </c>
      <c r="V1434" s="4">
        <v>0.93600000000000005</v>
      </c>
      <c r="W1434" s="4">
        <v>0</v>
      </c>
    </row>
    <row r="1435" spans="1:23" ht="15" customHeight="1" x14ac:dyDescent="0.25">
      <c r="A1435">
        <v>975</v>
      </c>
      <c r="B1435" s="1">
        <v>45894.583333333343</v>
      </c>
      <c r="C1435">
        <v>14</v>
      </c>
      <c r="D1435" t="s">
        <v>57</v>
      </c>
      <c r="E1435">
        <v>8</v>
      </c>
      <c r="F1435" t="s">
        <v>38</v>
      </c>
      <c r="G1435" t="s">
        <v>33</v>
      </c>
      <c r="H1435" t="s">
        <v>50</v>
      </c>
      <c r="I1435" t="s">
        <v>22</v>
      </c>
      <c r="J1435" t="s">
        <v>12</v>
      </c>
      <c r="K1435" s="2">
        <v>21000</v>
      </c>
      <c r="L1435" s="3">
        <v>34.5</v>
      </c>
      <c r="M1435" s="3">
        <v>55.1</v>
      </c>
      <c r="N1435" s="3">
        <v>802.2</v>
      </c>
      <c r="O1435" s="2">
        <v>361</v>
      </c>
      <c r="P1435">
        <v>1</v>
      </c>
      <c r="Q1435" t="s">
        <v>20</v>
      </c>
      <c r="R1435" s="4">
        <v>231.84</v>
      </c>
      <c r="S1435" s="4">
        <v>162.44</v>
      </c>
      <c r="T1435" t="s">
        <v>34</v>
      </c>
      <c r="U1435" s="4">
        <v>11.49</v>
      </c>
      <c r="V1435" s="4">
        <v>11.04</v>
      </c>
      <c r="W1435" s="4">
        <v>69.400000000000006</v>
      </c>
    </row>
    <row r="1436" spans="1:23" ht="15" customHeight="1" x14ac:dyDescent="0.25">
      <c r="A1436">
        <v>608</v>
      </c>
      <c r="B1436" s="1">
        <v>45894.833333333343</v>
      </c>
      <c r="C1436">
        <v>20</v>
      </c>
      <c r="D1436" t="s">
        <v>57</v>
      </c>
      <c r="E1436">
        <v>8</v>
      </c>
      <c r="F1436" t="s">
        <v>38</v>
      </c>
      <c r="G1436" t="s">
        <v>33</v>
      </c>
      <c r="H1436" t="s">
        <v>54</v>
      </c>
      <c r="I1436" t="s">
        <v>16</v>
      </c>
      <c r="J1436" t="s">
        <v>24</v>
      </c>
      <c r="K1436" s="2">
        <v>8600</v>
      </c>
      <c r="L1436" s="3">
        <v>19.899999999999999</v>
      </c>
      <c r="M1436" s="3">
        <v>76.7</v>
      </c>
      <c r="N1436" s="3">
        <v>0</v>
      </c>
      <c r="O1436" s="2">
        <v>56</v>
      </c>
      <c r="P1436">
        <v>0</v>
      </c>
      <c r="Q1436" t="s">
        <v>14</v>
      </c>
      <c r="R1436" s="4">
        <v>15.35</v>
      </c>
      <c r="S1436" s="4">
        <v>0</v>
      </c>
      <c r="T1436" t="s">
        <v>37</v>
      </c>
      <c r="U1436" s="4">
        <v>3.93</v>
      </c>
      <c r="V1436" s="4">
        <v>1.7849999999999999</v>
      </c>
      <c r="W1436" s="4">
        <v>15.35</v>
      </c>
    </row>
    <row r="1437" spans="1:23" ht="15" customHeight="1" x14ac:dyDescent="0.25">
      <c r="A1437">
        <v>1712</v>
      </c>
      <c r="B1437" s="1">
        <v>45894.833333333343</v>
      </c>
      <c r="C1437">
        <v>20</v>
      </c>
      <c r="D1437" t="s">
        <v>57</v>
      </c>
      <c r="E1437">
        <v>8</v>
      </c>
      <c r="F1437" t="s">
        <v>38</v>
      </c>
      <c r="G1437" t="s">
        <v>33</v>
      </c>
      <c r="H1437" t="s">
        <v>49</v>
      </c>
      <c r="I1437" t="s">
        <v>27</v>
      </c>
      <c r="J1437" t="s">
        <v>18</v>
      </c>
      <c r="K1437" s="2">
        <v>26000</v>
      </c>
      <c r="L1437" s="3">
        <v>24.1</v>
      </c>
      <c r="M1437" s="3">
        <v>57.7</v>
      </c>
      <c r="N1437" s="3">
        <v>0</v>
      </c>
      <c r="O1437" s="2">
        <v>158</v>
      </c>
      <c r="P1437">
        <v>1</v>
      </c>
      <c r="Q1437" t="s">
        <v>20</v>
      </c>
      <c r="R1437" s="4">
        <v>256.58999999999997</v>
      </c>
      <c r="S1437" s="4">
        <v>0</v>
      </c>
      <c r="T1437" t="s">
        <v>37</v>
      </c>
      <c r="U1437" s="4">
        <v>67.97</v>
      </c>
      <c r="V1437" s="4">
        <v>9.8689999999999998</v>
      </c>
      <c r="W1437" s="4">
        <v>256.58999999999997</v>
      </c>
    </row>
    <row r="1438" spans="1:23" ht="15" customHeight="1" x14ac:dyDescent="0.25">
      <c r="A1438">
        <v>240</v>
      </c>
      <c r="B1438" s="1">
        <v>45894.833333333343</v>
      </c>
      <c r="C1438">
        <v>20</v>
      </c>
      <c r="D1438" t="s">
        <v>57</v>
      </c>
      <c r="E1438">
        <v>8</v>
      </c>
      <c r="F1438" t="s">
        <v>38</v>
      </c>
      <c r="G1438" t="s">
        <v>33</v>
      </c>
      <c r="H1438" t="s">
        <v>53</v>
      </c>
      <c r="I1438" t="s">
        <v>19</v>
      </c>
      <c r="J1438" t="s">
        <v>26</v>
      </c>
      <c r="K1438" s="2">
        <v>12500</v>
      </c>
      <c r="L1438" s="3">
        <v>23.4</v>
      </c>
      <c r="M1438" s="3">
        <v>47.1</v>
      </c>
      <c r="N1438" s="3">
        <v>0</v>
      </c>
      <c r="O1438" s="2">
        <v>31</v>
      </c>
      <c r="P1438">
        <v>1</v>
      </c>
      <c r="Q1438" t="s">
        <v>23</v>
      </c>
      <c r="R1438" s="4">
        <v>35.07</v>
      </c>
      <c r="S1438" s="4">
        <v>0</v>
      </c>
      <c r="T1438" t="s">
        <v>37</v>
      </c>
      <c r="U1438" s="4">
        <v>9.36</v>
      </c>
      <c r="V1438" s="4">
        <v>2.806</v>
      </c>
      <c r="W1438" s="4">
        <v>35.07</v>
      </c>
    </row>
    <row r="1439" spans="1:23" ht="15" customHeight="1" x14ac:dyDescent="0.25">
      <c r="A1439">
        <v>976</v>
      </c>
      <c r="B1439" s="1">
        <v>45894.833333333343</v>
      </c>
      <c r="C1439">
        <v>20</v>
      </c>
      <c r="D1439" t="s">
        <v>57</v>
      </c>
      <c r="E1439">
        <v>8</v>
      </c>
      <c r="F1439" t="s">
        <v>38</v>
      </c>
      <c r="G1439" t="s">
        <v>33</v>
      </c>
      <c r="H1439" t="s">
        <v>50</v>
      </c>
      <c r="I1439" t="s">
        <v>22</v>
      </c>
      <c r="J1439" t="s">
        <v>12</v>
      </c>
      <c r="K1439" s="2">
        <v>21000</v>
      </c>
      <c r="L1439" s="3">
        <v>29.7</v>
      </c>
      <c r="M1439" s="3">
        <v>47.3</v>
      </c>
      <c r="N1439" s="3">
        <v>0</v>
      </c>
      <c r="O1439" s="2">
        <v>429</v>
      </c>
      <c r="P1439">
        <v>1</v>
      </c>
      <c r="Q1439" t="s">
        <v>20</v>
      </c>
      <c r="R1439" s="4">
        <v>296.75</v>
      </c>
      <c r="S1439" s="4">
        <v>0</v>
      </c>
      <c r="T1439" t="s">
        <v>37</v>
      </c>
      <c r="U1439" s="4">
        <v>76.5</v>
      </c>
      <c r="V1439" s="4">
        <v>14.131</v>
      </c>
      <c r="W1439" s="4">
        <v>296.75</v>
      </c>
    </row>
    <row r="1440" spans="1:23" ht="15" customHeight="1" x14ac:dyDescent="0.25">
      <c r="A1440">
        <v>2080</v>
      </c>
      <c r="B1440" s="1">
        <v>45894.833333333343</v>
      </c>
      <c r="C1440">
        <v>20</v>
      </c>
      <c r="D1440" t="s">
        <v>57</v>
      </c>
      <c r="E1440">
        <v>8</v>
      </c>
      <c r="F1440" t="s">
        <v>38</v>
      </c>
      <c r="G1440" t="s">
        <v>33</v>
      </c>
      <c r="H1440" t="s">
        <v>52</v>
      </c>
      <c r="I1440" t="s">
        <v>13</v>
      </c>
      <c r="J1440" t="s">
        <v>21</v>
      </c>
      <c r="K1440" s="2">
        <v>9800</v>
      </c>
      <c r="L1440" s="3">
        <v>21.8</v>
      </c>
      <c r="M1440" s="3">
        <v>69.8</v>
      </c>
      <c r="N1440" s="3">
        <v>0</v>
      </c>
      <c r="O1440" s="2">
        <v>280</v>
      </c>
      <c r="P1440">
        <v>0</v>
      </c>
      <c r="Q1440" t="s">
        <v>14</v>
      </c>
      <c r="R1440" s="4">
        <v>95.94</v>
      </c>
      <c r="S1440" s="4">
        <v>0</v>
      </c>
      <c r="T1440" t="s">
        <v>37</v>
      </c>
      <c r="U1440" s="4">
        <v>24.53</v>
      </c>
      <c r="V1440" s="4">
        <v>9.7899999999999991</v>
      </c>
      <c r="W1440" s="4">
        <v>95.94</v>
      </c>
    </row>
    <row r="1441" spans="1:23" ht="15" customHeight="1" x14ac:dyDescent="0.25">
      <c r="A1441">
        <v>1344</v>
      </c>
      <c r="B1441" s="1">
        <v>45894.833333333343</v>
      </c>
      <c r="C1441">
        <v>20</v>
      </c>
      <c r="D1441" t="s">
        <v>57</v>
      </c>
      <c r="E1441">
        <v>8</v>
      </c>
      <c r="F1441" t="s">
        <v>38</v>
      </c>
      <c r="G1441" t="s">
        <v>33</v>
      </c>
      <c r="H1441" t="s">
        <v>51</v>
      </c>
      <c r="I1441" t="s">
        <v>25</v>
      </c>
      <c r="J1441" t="s">
        <v>15</v>
      </c>
      <c r="K1441" s="2">
        <v>17400</v>
      </c>
      <c r="L1441" s="3">
        <v>28</v>
      </c>
      <c r="M1441" s="3">
        <v>66.5</v>
      </c>
      <c r="N1441" s="3">
        <v>0</v>
      </c>
      <c r="O1441" s="2">
        <v>1249</v>
      </c>
      <c r="P1441">
        <v>1</v>
      </c>
      <c r="Q1441" t="s">
        <v>20</v>
      </c>
      <c r="R1441" s="4">
        <v>287.61</v>
      </c>
      <c r="S1441" s="4">
        <v>0</v>
      </c>
      <c r="T1441" t="s">
        <v>37</v>
      </c>
      <c r="U1441" s="4">
        <v>74.400000000000006</v>
      </c>
      <c r="V1441" s="4">
        <v>16.529</v>
      </c>
      <c r="W1441" s="4">
        <v>287.61</v>
      </c>
    </row>
    <row r="1442" spans="1:23" ht="15" customHeight="1" x14ac:dyDescent="0.25">
      <c r="A1442">
        <v>977</v>
      </c>
      <c r="B1442" s="1">
        <v>45898</v>
      </c>
      <c r="C1442">
        <v>0</v>
      </c>
      <c r="D1442" t="s">
        <v>58</v>
      </c>
      <c r="E1442">
        <v>8</v>
      </c>
      <c r="F1442" t="s">
        <v>38</v>
      </c>
      <c r="G1442" t="s">
        <v>33</v>
      </c>
      <c r="H1442" t="s">
        <v>50</v>
      </c>
      <c r="I1442" t="s">
        <v>22</v>
      </c>
      <c r="J1442" t="s">
        <v>12</v>
      </c>
      <c r="K1442" s="2">
        <v>21000</v>
      </c>
      <c r="L1442" s="3">
        <v>20.100000000000001</v>
      </c>
      <c r="M1442" s="3">
        <v>59.9</v>
      </c>
      <c r="N1442" s="3">
        <v>0</v>
      </c>
      <c r="O1442" s="2">
        <v>211</v>
      </c>
      <c r="P1442">
        <v>0</v>
      </c>
      <c r="Q1442" t="s">
        <v>14</v>
      </c>
      <c r="R1442" s="4">
        <v>162.72999999999999</v>
      </c>
      <c r="S1442" s="4">
        <v>0</v>
      </c>
      <c r="T1442" t="s">
        <v>31</v>
      </c>
      <c r="U1442" s="4">
        <v>16.14</v>
      </c>
      <c r="V1442" s="4">
        <v>7.7489999999999997</v>
      </c>
      <c r="W1442" s="4">
        <v>162.72999999999999</v>
      </c>
    </row>
    <row r="1443" spans="1:23" ht="15" customHeight="1" x14ac:dyDescent="0.25">
      <c r="A1443">
        <v>241</v>
      </c>
      <c r="B1443" s="1">
        <v>45898</v>
      </c>
      <c r="C1443">
        <v>0</v>
      </c>
      <c r="D1443" t="s">
        <v>58</v>
      </c>
      <c r="E1443">
        <v>8</v>
      </c>
      <c r="F1443" t="s">
        <v>38</v>
      </c>
      <c r="G1443" t="s">
        <v>33</v>
      </c>
      <c r="H1443" t="s">
        <v>53</v>
      </c>
      <c r="I1443" t="s">
        <v>19</v>
      </c>
      <c r="J1443" t="s">
        <v>26</v>
      </c>
      <c r="K1443" s="2">
        <v>12500</v>
      </c>
      <c r="L1443" s="3">
        <v>15.9</v>
      </c>
      <c r="M1443" s="3">
        <v>54.6</v>
      </c>
      <c r="N1443" s="3">
        <v>0</v>
      </c>
      <c r="O1443" s="2">
        <v>52</v>
      </c>
      <c r="P1443">
        <v>0</v>
      </c>
      <c r="Q1443" t="s">
        <v>14</v>
      </c>
      <c r="R1443" s="4">
        <v>27.29</v>
      </c>
      <c r="S1443" s="4">
        <v>0</v>
      </c>
      <c r="T1443" t="s">
        <v>31</v>
      </c>
      <c r="U1443" s="4">
        <v>2.87</v>
      </c>
      <c r="V1443" s="4">
        <v>2.1829999999999998</v>
      </c>
      <c r="W1443" s="4">
        <v>27.29</v>
      </c>
    </row>
    <row r="1444" spans="1:23" ht="15" customHeight="1" x14ac:dyDescent="0.25">
      <c r="A1444">
        <v>1713</v>
      </c>
      <c r="B1444" s="1">
        <v>45898</v>
      </c>
      <c r="C1444">
        <v>0</v>
      </c>
      <c r="D1444" t="s">
        <v>58</v>
      </c>
      <c r="E1444">
        <v>8</v>
      </c>
      <c r="F1444" t="s">
        <v>38</v>
      </c>
      <c r="G1444" t="s">
        <v>33</v>
      </c>
      <c r="H1444" t="s">
        <v>49</v>
      </c>
      <c r="I1444" t="s">
        <v>27</v>
      </c>
      <c r="J1444" t="s">
        <v>18</v>
      </c>
      <c r="K1444" s="2">
        <v>26000</v>
      </c>
      <c r="L1444" s="3">
        <v>19.8</v>
      </c>
      <c r="M1444" s="3">
        <v>70.099999999999994</v>
      </c>
      <c r="N1444" s="3">
        <v>0</v>
      </c>
      <c r="O1444" s="2">
        <v>66</v>
      </c>
      <c r="P1444">
        <v>0</v>
      </c>
      <c r="Q1444" t="s">
        <v>14</v>
      </c>
      <c r="R1444" s="4">
        <v>111.36</v>
      </c>
      <c r="S1444" s="4">
        <v>0</v>
      </c>
      <c r="T1444" t="s">
        <v>31</v>
      </c>
      <c r="U1444" s="4">
        <v>11.58</v>
      </c>
      <c r="V1444" s="4">
        <v>4.2830000000000004</v>
      </c>
      <c r="W1444" s="4">
        <v>111.36</v>
      </c>
    </row>
    <row r="1445" spans="1:23" ht="15" customHeight="1" x14ac:dyDescent="0.25">
      <c r="A1445">
        <v>2081</v>
      </c>
      <c r="B1445" s="1">
        <v>45898</v>
      </c>
      <c r="C1445">
        <v>0</v>
      </c>
      <c r="D1445" t="s">
        <v>58</v>
      </c>
      <c r="E1445">
        <v>8</v>
      </c>
      <c r="F1445" t="s">
        <v>38</v>
      </c>
      <c r="G1445" t="s">
        <v>33</v>
      </c>
      <c r="H1445" t="s">
        <v>52</v>
      </c>
      <c r="I1445" t="s">
        <v>13</v>
      </c>
      <c r="J1445" t="s">
        <v>21</v>
      </c>
      <c r="K1445" s="2">
        <v>9800</v>
      </c>
      <c r="L1445" s="3">
        <v>15.9</v>
      </c>
      <c r="M1445" s="3">
        <v>72.5</v>
      </c>
      <c r="N1445" s="3">
        <v>0</v>
      </c>
      <c r="O1445" s="2">
        <v>290</v>
      </c>
      <c r="P1445">
        <v>1</v>
      </c>
      <c r="Q1445" t="s">
        <v>23</v>
      </c>
      <c r="R1445" s="4">
        <v>93.33</v>
      </c>
      <c r="S1445" s="4">
        <v>0</v>
      </c>
      <c r="T1445" t="s">
        <v>31</v>
      </c>
      <c r="U1445" s="4">
        <v>9.9</v>
      </c>
      <c r="V1445" s="4">
        <v>9.5229999999999997</v>
      </c>
      <c r="W1445" s="4">
        <v>93.33</v>
      </c>
    </row>
    <row r="1446" spans="1:23" ht="15" customHeight="1" x14ac:dyDescent="0.25">
      <c r="A1446">
        <v>609</v>
      </c>
      <c r="B1446" s="1">
        <v>45898</v>
      </c>
      <c r="C1446">
        <v>0</v>
      </c>
      <c r="D1446" t="s">
        <v>58</v>
      </c>
      <c r="E1446">
        <v>8</v>
      </c>
      <c r="F1446" t="s">
        <v>38</v>
      </c>
      <c r="G1446" t="s">
        <v>33</v>
      </c>
      <c r="H1446" t="s">
        <v>54</v>
      </c>
      <c r="I1446" t="s">
        <v>16</v>
      </c>
      <c r="J1446" t="s">
        <v>24</v>
      </c>
      <c r="K1446" s="2">
        <v>8600</v>
      </c>
      <c r="L1446" s="3">
        <v>17.8</v>
      </c>
      <c r="M1446" s="3">
        <v>85.3</v>
      </c>
      <c r="N1446" s="3">
        <v>0</v>
      </c>
      <c r="O1446" s="2">
        <v>10</v>
      </c>
      <c r="P1446">
        <v>0</v>
      </c>
      <c r="Q1446" t="s">
        <v>14</v>
      </c>
      <c r="R1446" s="4">
        <v>12.41</v>
      </c>
      <c r="S1446" s="4">
        <v>0</v>
      </c>
      <c r="T1446" t="s">
        <v>31</v>
      </c>
      <c r="U1446" s="4">
        <v>1.33</v>
      </c>
      <c r="V1446" s="4">
        <v>1.4430000000000001</v>
      </c>
      <c r="W1446" s="4">
        <v>12.41</v>
      </c>
    </row>
    <row r="1447" spans="1:23" ht="15" customHeight="1" x14ac:dyDescent="0.25">
      <c r="A1447">
        <v>1345</v>
      </c>
      <c r="B1447" s="1">
        <v>45898</v>
      </c>
      <c r="C1447">
        <v>0</v>
      </c>
      <c r="D1447" t="s">
        <v>58</v>
      </c>
      <c r="E1447">
        <v>8</v>
      </c>
      <c r="F1447" t="s">
        <v>38</v>
      </c>
      <c r="G1447" t="s">
        <v>33</v>
      </c>
      <c r="H1447" t="s">
        <v>51</v>
      </c>
      <c r="I1447" t="s">
        <v>25</v>
      </c>
      <c r="J1447" t="s">
        <v>15</v>
      </c>
      <c r="K1447" s="2">
        <v>17400</v>
      </c>
      <c r="L1447" s="3">
        <v>20.6</v>
      </c>
      <c r="M1447" s="3">
        <v>72.2</v>
      </c>
      <c r="N1447" s="3">
        <v>0</v>
      </c>
      <c r="O1447" s="2">
        <v>81</v>
      </c>
      <c r="P1447">
        <v>0</v>
      </c>
      <c r="Q1447" t="s">
        <v>14</v>
      </c>
      <c r="R1447" s="4">
        <v>49.71</v>
      </c>
      <c r="S1447" s="4">
        <v>0</v>
      </c>
      <c r="T1447" t="s">
        <v>31</v>
      </c>
      <c r="U1447" s="4">
        <v>5.34</v>
      </c>
      <c r="V1447" s="4">
        <v>2.8570000000000002</v>
      </c>
      <c r="W1447" s="4">
        <v>49.71</v>
      </c>
    </row>
    <row r="1448" spans="1:23" ht="15" customHeight="1" x14ac:dyDescent="0.25">
      <c r="A1448">
        <v>2082</v>
      </c>
      <c r="B1448" s="1">
        <v>45898.333333333343</v>
      </c>
      <c r="C1448">
        <v>8</v>
      </c>
      <c r="D1448" t="s">
        <v>58</v>
      </c>
      <c r="E1448">
        <v>8</v>
      </c>
      <c r="F1448" t="s">
        <v>38</v>
      </c>
      <c r="G1448" t="s">
        <v>33</v>
      </c>
      <c r="H1448" t="s">
        <v>52</v>
      </c>
      <c r="I1448" t="s">
        <v>13</v>
      </c>
      <c r="J1448" t="s">
        <v>21</v>
      </c>
      <c r="K1448" s="2">
        <v>9800</v>
      </c>
      <c r="L1448" s="3">
        <v>23.7</v>
      </c>
      <c r="M1448" s="3">
        <v>79.400000000000006</v>
      </c>
      <c r="N1448" s="3">
        <v>224.4</v>
      </c>
      <c r="O1448" s="2">
        <v>60</v>
      </c>
      <c r="P1448">
        <v>1</v>
      </c>
      <c r="Q1448" t="s">
        <v>23</v>
      </c>
      <c r="R1448" s="4">
        <v>17.760000000000002</v>
      </c>
      <c r="S1448" s="4">
        <v>0</v>
      </c>
      <c r="T1448" t="s">
        <v>34</v>
      </c>
      <c r="U1448" s="4">
        <v>3.03</v>
      </c>
      <c r="V1448" s="4">
        <v>1.8120000000000001</v>
      </c>
      <c r="W1448" s="4">
        <v>17.760000000000002</v>
      </c>
    </row>
    <row r="1449" spans="1:23" ht="15" customHeight="1" x14ac:dyDescent="0.25">
      <c r="A1449">
        <v>242</v>
      </c>
      <c r="B1449" s="1">
        <v>45898.333333333343</v>
      </c>
      <c r="C1449">
        <v>8</v>
      </c>
      <c r="D1449" t="s">
        <v>58</v>
      </c>
      <c r="E1449">
        <v>8</v>
      </c>
      <c r="F1449" t="s">
        <v>38</v>
      </c>
      <c r="G1449" t="s">
        <v>33</v>
      </c>
      <c r="H1449" t="s">
        <v>53</v>
      </c>
      <c r="I1449" t="s">
        <v>19</v>
      </c>
      <c r="J1449" t="s">
        <v>26</v>
      </c>
      <c r="K1449" s="2">
        <v>12500</v>
      </c>
      <c r="L1449" s="3">
        <v>21.3</v>
      </c>
      <c r="M1449" s="3">
        <v>46.4</v>
      </c>
      <c r="N1449" s="3">
        <v>264.39999999999998</v>
      </c>
      <c r="O1449" s="2">
        <v>358</v>
      </c>
      <c r="P1449">
        <v>0</v>
      </c>
      <c r="Q1449" t="s">
        <v>14</v>
      </c>
      <c r="R1449" s="4">
        <v>70.73</v>
      </c>
      <c r="S1449" s="4">
        <v>41.97</v>
      </c>
      <c r="T1449" t="s">
        <v>34</v>
      </c>
      <c r="U1449" s="4">
        <v>4.87</v>
      </c>
      <c r="V1449" s="4">
        <v>5.6580000000000004</v>
      </c>
      <c r="W1449" s="4">
        <v>28.76</v>
      </c>
    </row>
    <row r="1450" spans="1:23" ht="15" customHeight="1" x14ac:dyDescent="0.25">
      <c r="A1450">
        <v>610</v>
      </c>
      <c r="B1450" s="1">
        <v>45898.333333333343</v>
      </c>
      <c r="C1450">
        <v>8</v>
      </c>
      <c r="D1450" t="s">
        <v>58</v>
      </c>
      <c r="E1450">
        <v>8</v>
      </c>
      <c r="F1450" t="s">
        <v>38</v>
      </c>
      <c r="G1450" t="s">
        <v>33</v>
      </c>
      <c r="H1450" t="s">
        <v>54</v>
      </c>
      <c r="I1450" t="s">
        <v>16</v>
      </c>
      <c r="J1450" t="s">
        <v>24</v>
      </c>
      <c r="K1450" s="2">
        <v>8600</v>
      </c>
      <c r="L1450" s="3">
        <v>19</v>
      </c>
      <c r="M1450" s="3">
        <v>89.2</v>
      </c>
      <c r="N1450" s="3">
        <v>188.3</v>
      </c>
      <c r="O1450" s="2">
        <v>0</v>
      </c>
      <c r="P1450">
        <v>0</v>
      </c>
      <c r="Q1450" t="s">
        <v>14</v>
      </c>
      <c r="R1450" s="4">
        <v>7.51</v>
      </c>
      <c r="S1450" s="4">
        <v>14.87</v>
      </c>
      <c r="T1450" t="s">
        <v>34</v>
      </c>
      <c r="U1450" s="4">
        <v>-0.49</v>
      </c>
      <c r="V1450" s="4">
        <v>0.873</v>
      </c>
      <c r="W1450" s="4">
        <v>0</v>
      </c>
    </row>
    <row r="1451" spans="1:23" ht="15" customHeight="1" x14ac:dyDescent="0.25">
      <c r="A1451">
        <v>1346</v>
      </c>
      <c r="B1451" s="1">
        <v>45898.333333333343</v>
      </c>
      <c r="C1451">
        <v>8</v>
      </c>
      <c r="D1451" t="s">
        <v>58</v>
      </c>
      <c r="E1451">
        <v>8</v>
      </c>
      <c r="F1451" t="s">
        <v>38</v>
      </c>
      <c r="G1451" t="s">
        <v>33</v>
      </c>
      <c r="H1451" t="s">
        <v>51</v>
      </c>
      <c r="I1451" t="s">
        <v>25</v>
      </c>
      <c r="J1451" t="s">
        <v>15</v>
      </c>
      <c r="K1451" s="2">
        <v>17400</v>
      </c>
      <c r="L1451" s="3">
        <v>23.2</v>
      </c>
      <c r="M1451" s="3">
        <v>78.2</v>
      </c>
      <c r="N1451" s="3">
        <v>197.3</v>
      </c>
      <c r="O1451" s="2"/>
      <c r="P1451">
        <v>0</v>
      </c>
      <c r="Q1451" t="s">
        <v>14</v>
      </c>
      <c r="R1451" s="4">
        <v>40.590000000000003</v>
      </c>
      <c r="S1451" s="4">
        <v>24.11</v>
      </c>
      <c r="T1451" t="s">
        <v>34</v>
      </c>
      <c r="U1451" s="4">
        <v>2.78</v>
      </c>
      <c r="V1451" s="4">
        <v>2.3330000000000002</v>
      </c>
      <c r="W1451" s="4">
        <v>16.48</v>
      </c>
    </row>
    <row r="1452" spans="1:23" ht="15" customHeight="1" x14ac:dyDescent="0.25">
      <c r="A1452">
        <v>978</v>
      </c>
      <c r="B1452" s="1">
        <v>45898.333333333343</v>
      </c>
      <c r="C1452">
        <v>8</v>
      </c>
      <c r="D1452" t="s">
        <v>58</v>
      </c>
      <c r="E1452">
        <v>8</v>
      </c>
      <c r="F1452" t="s">
        <v>38</v>
      </c>
      <c r="G1452" t="s">
        <v>33</v>
      </c>
      <c r="H1452" t="s">
        <v>50</v>
      </c>
      <c r="I1452" t="s">
        <v>22</v>
      </c>
      <c r="J1452" t="s">
        <v>12</v>
      </c>
      <c r="K1452" s="2">
        <v>21000</v>
      </c>
      <c r="L1452" s="3">
        <v>27.2</v>
      </c>
      <c r="M1452" s="3">
        <v>46.2</v>
      </c>
      <c r="N1452" s="3">
        <v>336.6</v>
      </c>
      <c r="O1452" s="2">
        <v>426</v>
      </c>
      <c r="P1452">
        <v>1</v>
      </c>
      <c r="Q1452" t="s">
        <v>20</v>
      </c>
      <c r="R1452" s="4">
        <v>218.16</v>
      </c>
      <c r="S1452" s="4">
        <v>67.290000000000006</v>
      </c>
      <c r="T1452" t="s">
        <v>34</v>
      </c>
      <c r="U1452" s="4">
        <v>24.85</v>
      </c>
      <c r="V1452" s="4">
        <v>10.388999999999999</v>
      </c>
      <c r="W1452" s="4">
        <v>150.87</v>
      </c>
    </row>
    <row r="1453" spans="1:23" ht="15" customHeight="1" x14ac:dyDescent="0.25">
      <c r="A1453">
        <v>1714</v>
      </c>
      <c r="B1453" s="1">
        <v>45898.333333333343</v>
      </c>
      <c r="C1453">
        <v>8</v>
      </c>
      <c r="D1453" t="s">
        <v>58</v>
      </c>
      <c r="E1453">
        <v>8</v>
      </c>
      <c r="F1453" t="s">
        <v>38</v>
      </c>
      <c r="G1453" t="s">
        <v>33</v>
      </c>
      <c r="H1453" t="s">
        <v>49</v>
      </c>
      <c r="I1453" t="s">
        <v>27</v>
      </c>
      <c r="J1453" t="s">
        <v>18</v>
      </c>
      <c r="K1453" s="2">
        <v>26000</v>
      </c>
      <c r="L1453" s="3">
        <v>21.7</v>
      </c>
      <c r="M1453" s="3">
        <v>56.8</v>
      </c>
      <c r="N1453" s="3">
        <v>307.7</v>
      </c>
      <c r="O1453" s="2">
        <v>160</v>
      </c>
      <c r="P1453">
        <v>0</v>
      </c>
      <c r="Q1453" t="s">
        <v>14</v>
      </c>
      <c r="R1453" s="4">
        <v>160.03</v>
      </c>
      <c r="S1453" s="4">
        <v>83.33</v>
      </c>
      <c r="T1453" t="s">
        <v>34</v>
      </c>
      <c r="U1453" s="4">
        <v>12.68</v>
      </c>
      <c r="V1453" s="4">
        <v>6.1550000000000002</v>
      </c>
      <c r="W1453" s="4">
        <v>76.7</v>
      </c>
    </row>
    <row r="1454" spans="1:23" ht="15" customHeight="1" x14ac:dyDescent="0.25">
      <c r="A1454">
        <v>979</v>
      </c>
      <c r="B1454" s="1">
        <v>45898.583333333343</v>
      </c>
      <c r="C1454">
        <v>14</v>
      </c>
      <c r="D1454" t="s">
        <v>58</v>
      </c>
      <c r="E1454">
        <v>8</v>
      </c>
      <c r="F1454" t="s">
        <v>38</v>
      </c>
      <c r="G1454" t="s">
        <v>33</v>
      </c>
      <c r="H1454" t="s">
        <v>50</v>
      </c>
      <c r="I1454" t="s">
        <v>22</v>
      </c>
      <c r="J1454" t="s">
        <v>12</v>
      </c>
      <c r="K1454" s="2">
        <v>21000</v>
      </c>
      <c r="L1454" s="3">
        <v>32.700000000000003</v>
      </c>
      <c r="M1454" s="3">
        <v>42.3</v>
      </c>
      <c r="N1454" s="3">
        <v>842.3</v>
      </c>
      <c r="O1454" s="2">
        <v>375</v>
      </c>
      <c r="P1454">
        <v>1</v>
      </c>
      <c r="Q1454" t="s">
        <v>20</v>
      </c>
      <c r="R1454" s="4">
        <v>217.53</v>
      </c>
      <c r="S1454" s="4">
        <v>165.45</v>
      </c>
      <c r="T1454" t="s">
        <v>34</v>
      </c>
      <c r="U1454" s="4">
        <v>8.85</v>
      </c>
      <c r="V1454" s="4">
        <v>10.359</v>
      </c>
      <c r="W1454" s="4">
        <v>52.08</v>
      </c>
    </row>
    <row r="1455" spans="1:23" ht="15" customHeight="1" x14ac:dyDescent="0.25">
      <c r="A1455">
        <v>243</v>
      </c>
      <c r="B1455" s="1">
        <v>45898.583333333343</v>
      </c>
      <c r="C1455">
        <v>14</v>
      </c>
      <c r="D1455" t="s">
        <v>58</v>
      </c>
      <c r="E1455">
        <v>8</v>
      </c>
      <c r="F1455" t="s">
        <v>38</v>
      </c>
      <c r="G1455" t="s">
        <v>33</v>
      </c>
      <c r="H1455" t="s">
        <v>53</v>
      </c>
      <c r="I1455" t="s">
        <v>19</v>
      </c>
      <c r="J1455" t="s">
        <v>26</v>
      </c>
      <c r="K1455" s="2">
        <v>12500</v>
      </c>
      <c r="L1455" s="3">
        <v>26.1</v>
      </c>
      <c r="M1455" s="3">
        <v>52.9</v>
      </c>
      <c r="N1455" s="3">
        <v>895.2</v>
      </c>
      <c r="O1455" s="2">
        <v>568</v>
      </c>
      <c r="P1455">
        <v>1</v>
      </c>
      <c r="Q1455" t="s">
        <v>20</v>
      </c>
      <c r="R1455" s="4">
        <v>108.43</v>
      </c>
      <c r="S1455" s="4">
        <v>138.81</v>
      </c>
      <c r="T1455" t="s">
        <v>34</v>
      </c>
      <c r="U1455" s="4">
        <v>-2</v>
      </c>
      <c r="V1455" s="4">
        <v>8.6739999999999995</v>
      </c>
      <c r="W1455" s="4">
        <v>0</v>
      </c>
    </row>
    <row r="1456" spans="1:23" ht="15" customHeight="1" x14ac:dyDescent="0.25">
      <c r="A1456">
        <v>1715</v>
      </c>
      <c r="B1456" s="1">
        <v>45898.583333333343</v>
      </c>
      <c r="C1456">
        <v>14</v>
      </c>
      <c r="D1456" t="s">
        <v>58</v>
      </c>
      <c r="E1456">
        <v>8</v>
      </c>
      <c r="F1456" t="s">
        <v>38</v>
      </c>
      <c r="G1456" t="s">
        <v>33</v>
      </c>
      <c r="H1456" t="s">
        <v>49</v>
      </c>
      <c r="I1456" t="s">
        <v>27</v>
      </c>
      <c r="J1456" t="s">
        <v>18</v>
      </c>
      <c r="K1456" s="2">
        <v>26000</v>
      </c>
      <c r="L1456" s="3">
        <v>30</v>
      </c>
      <c r="M1456" s="3">
        <v>58.2</v>
      </c>
      <c r="N1456" s="3">
        <v>788.6</v>
      </c>
      <c r="O1456" s="2">
        <v>161</v>
      </c>
      <c r="P1456">
        <v>1</v>
      </c>
      <c r="Q1456" t="s">
        <v>20</v>
      </c>
      <c r="R1456" s="4">
        <v>162.12</v>
      </c>
      <c r="S1456" s="4">
        <v>234.53</v>
      </c>
      <c r="T1456" t="s">
        <v>34</v>
      </c>
      <c r="U1456" s="4">
        <v>-5.0199999999999996</v>
      </c>
      <c r="V1456" s="4">
        <v>6.2350000000000003</v>
      </c>
      <c r="W1456" s="4">
        <v>0</v>
      </c>
    </row>
    <row r="1457" spans="1:23" ht="15" customHeight="1" x14ac:dyDescent="0.25">
      <c r="A1457">
        <v>2083</v>
      </c>
      <c r="B1457" s="1">
        <v>45898.583333333343</v>
      </c>
      <c r="C1457">
        <v>14</v>
      </c>
      <c r="D1457" t="s">
        <v>58</v>
      </c>
      <c r="E1457">
        <v>8</v>
      </c>
      <c r="F1457" t="s">
        <v>38</v>
      </c>
      <c r="G1457" t="s">
        <v>33</v>
      </c>
      <c r="H1457" t="s">
        <v>52</v>
      </c>
      <c r="I1457" t="s">
        <v>13</v>
      </c>
      <c r="J1457" t="s">
        <v>21</v>
      </c>
      <c r="K1457" s="2">
        <v>9800</v>
      </c>
      <c r="L1457" s="3">
        <v>26.5</v>
      </c>
      <c r="M1457" s="3">
        <v>60.3</v>
      </c>
      <c r="N1457" s="3">
        <v>772.2</v>
      </c>
      <c r="O1457" s="2">
        <v>74</v>
      </c>
      <c r="P1457">
        <v>1</v>
      </c>
      <c r="Q1457" t="s">
        <v>20</v>
      </c>
      <c r="R1457" s="4">
        <v>24.48</v>
      </c>
      <c r="S1457" s="4">
        <v>0</v>
      </c>
      <c r="T1457" t="s">
        <v>34</v>
      </c>
      <c r="U1457" s="4">
        <v>4.05</v>
      </c>
      <c r="V1457" s="4">
        <v>2.4980000000000002</v>
      </c>
      <c r="W1457" s="4">
        <v>24.48</v>
      </c>
    </row>
    <row r="1458" spans="1:23" ht="15" customHeight="1" x14ac:dyDescent="0.25">
      <c r="A1458">
        <v>1347</v>
      </c>
      <c r="B1458" s="1">
        <v>45898.583333333343</v>
      </c>
      <c r="C1458">
        <v>14</v>
      </c>
      <c r="D1458" t="s">
        <v>58</v>
      </c>
      <c r="E1458">
        <v>8</v>
      </c>
      <c r="F1458" t="s">
        <v>38</v>
      </c>
      <c r="G1458" t="s">
        <v>33</v>
      </c>
      <c r="H1458" t="s">
        <v>51</v>
      </c>
      <c r="I1458" t="s">
        <v>25</v>
      </c>
      <c r="J1458" t="s">
        <v>15</v>
      </c>
      <c r="K1458" s="2">
        <v>17400</v>
      </c>
      <c r="L1458" s="3">
        <v>26.9</v>
      </c>
      <c r="M1458" s="3">
        <v>70.599999999999994</v>
      </c>
      <c r="N1458" s="3">
        <v>630.29999999999995</v>
      </c>
      <c r="O1458" s="2">
        <v>1270</v>
      </c>
      <c r="P1458">
        <v>1</v>
      </c>
      <c r="Q1458" t="s">
        <v>20</v>
      </c>
      <c r="R1458" s="4">
        <v>209.65</v>
      </c>
      <c r="S1458" s="4">
        <v>81.52</v>
      </c>
      <c r="T1458" t="s">
        <v>34</v>
      </c>
      <c r="U1458" s="4">
        <v>21.38</v>
      </c>
      <c r="V1458" s="4">
        <v>12.048999999999999</v>
      </c>
      <c r="W1458" s="4">
        <v>128.13</v>
      </c>
    </row>
    <row r="1459" spans="1:23" ht="15" customHeight="1" x14ac:dyDescent="0.25">
      <c r="A1459">
        <v>611</v>
      </c>
      <c r="B1459" s="1">
        <v>45898.583333333343</v>
      </c>
      <c r="C1459">
        <v>14</v>
      </c>
      <c r="D1459" t="s">
        <v>58</v>
      </c>
      <c r="E1459">
        <v>8</v>
      </c>
      <c r="F1459" t="s">
        <v>38</v>
      </c>
      <c r="G1459" t="s">
        <v>33</v>
      </c>
      <c r="H1459" t="s">
        <v>54</v>
      </c>
      <c r="I1459" t="s">
        <v>16</v>
      </c>
      <c r="J1459" t="s">
        <v>24</v>
      </c>
      <c r="K1459" s="2">
        <v>8600</v>
      </c>
      <c r="L1459" s="3">
        <v>23.4</v>
      </c>
      <c r="M1459" s="3">
        <v>90.7</v>
      </c>
      <c r="N1459" s="3">
        <v>428</v>
      </c>
      <c r="O1459" s="2">
        <v>0</v>
      </c>
      <c r="P1459">
        <v>0</v>
      </c>
      <c r="Q1459" t="s">
        <v>14</v>
      </c>
      <c r="R1459" s="4">
        <v>7.33</v>
      </c>
      <c r="S1459" s="4">
        <v>30.76</v>
      </c>
      <c r="T1459" t="s">
        <v>34</v>
      </c>
      <c r="U1459" s="4">
        <v>-1.6</v>
      </c>
      <c r="V1459" s="4">
        <v>0.85199999999999998</v>
      </c>
      <c r="W1459" s="4">
        <v>0</v>
      </c>
    </row>
    <row r="1460" spans="1:23" ht="15" customHeight="1" x14ac:dyDescent="0.25">
      <c r="A1460">
        <v>980</v>
      </c>
      <c r="B1460" s="1">
        <v>45898.833333333343</v>
      </c>
      <c r="C1460">
        <v>20</v>
      </c>
      <c r="D1460" t="s">
        <v>58</v>
      </c>
      <c r="E1460">
        <v>8</v>
      </c>
      <c r="F1460" t="s">
        <v>38</v>
      </c>
      <c r="G1460" t="s">
        <v>33</v>
      </c>
      <c r="H1460" t="s">
        <v>50</v>
      </c>
      <c r="I1460" t="s">
        <v>22</v>
      </c>
      <c r="J1460" t="s">
        <v>12</v>
      </c>
      <c r="K1460" s="2">
        <v>21000</v>
      </c>
      <c r="L1460" s="3">
        <v>28.5</v>
      </c>
      <c r="M1460" s="3">
        <v>58.1</v>
      </c>
      <c r="N1460" s="3">
        <v>0</v>
      </c>
      <c r="O1460" s="2">
        <v>385</v>
      </c>
      <c r="P1460">
        <v>1</v>
      </c>
      <c r="Q1460" t="s">
        <v>20</v>
      </c>
      <c r="R1460" s="4">
        <v>268.99</v>
      </c>
      <c r="S1460" s="4">
        <v>0</v>
      </c>
      <c r="T1460" t="s">
        <v>37</v>
      </c>
      <c r="U1460" s="4">
        <v>68.75</v>
      </c>
      <c r="V1460" s="4">
        <v>12.808999999999999</v>
      </c>
      <c r="W1460" s="4">
        <v>268.99</v>
      </c>
    </row>
    <row r="1461" spans="1:23" ht="15" customHeight="1" x14ac:dyDescent="0.25">
      <c r="A1461">
        <v>2084</v>
      </c>
      <c r="B1461" s="1">
        <v>45898.833333333343</v>
      </c>
      <c r="C1461">
        <v>20</v>
      </c>
      <c r="D1461" t="s">
        <v>58</v>
      </c>
      <c r="E1461">
        <v>8</v>
      </c>
      <c r="F1461" t="s">
        <v>38</v>
      </c>
      <c r="G1461" t="s">
        <v>33</v>
      </c>
      <c r="H1461" t="s">
        <v>52</v>
      </c>
      <c r="I1461" t="s">
        <v>13</v>
      </c>
      <c r="J1461" t="s">
        <v>21</v>
      </c>
      <c r="K1461" s="2">
        <v>9800</v>
      </c>
      <c r="L1461" s="3">
        <v>24.5</v>
      </c>
      <c r="M1461" s="3">
        <v>70.599999999999994</v>
      </c>
      <c r="N1461" s="3">
        <v>0</v>
      </c>
      <c r="O1461" s="2">
        <v>321</v>
      </c>
      <c r="P1461">
        <v>1</v>
      </c>
      <c r="Q1461" t="s">
        <v>20</v>
      </c>
      <c r="R1461" s="4">
        <v>103.15</v>
      </c>
      <c r="S1461" s="4">
        <v>0</v>
      </c>
      <c r="T1461" t="s">
        <v>37</v>
      </c>
      <c r="U1461" s="4">
        <v>26.39</v>
      </c>
      <c r="V1461" s="4">
        <v>10.526</v>
      </c>
      <c r="W1461" s="4">
        <v>103.15</v>
      </c>
    </row>
    <row r="1462" spans="1:23" ht="15" customHeight="1" x14ac:dyDescent="0.25">
      <c r="A1462">
        <v>1348</v>
      </c>
      <c r="B1462" s="1">
        <v>45898.833333333343</v>
      </c>
      <c r="C1462">
        <v>20</v>
      </c>
      <c r="D1462" t="s">
        <v>58</v>
      </c>
      <c r="E1462">
        <v>8</v>
      </c>
      <c r="F1462" t="s">
        <v>38</v>
      </c>
      <c r="G1462" t="s">
        <v>33</v>
      </c>
      <c r="H1462" t="s">
        <v>51</v>
      </c>
      <c r="I1462" t="s">
        <v>25</v>
      </c>
      <c r="J1462" t="s">
        <v>15</v>
      </c>
      <c r="K1462" s="2">
        <v>17400</v>
      </c>
      <c r="L1462" s="3">
        <v>22.9</v>
      </c>
      <c r="M1462" s="3">
        <v>69.599999999999994</v>
      </c>
      <c r="N1462" s="3">
        <v>0</v>
      </c>
      <c r="O1462" s="2">
        <v>1360</v>
      </c>
      <c r="P1462">
        <v>0</v>
      </c>
      <c r="Q1462" t="s">
        <v>14</v>
      </c>
      <c r="R1462" s="4">
        <v>296.38</v>
      </c>
      <c r="S1462" s="4">
        <v>0</v>
      </c>
      <c r="T1462" t="s">
        <v>37</v>
      </c>
      <c r="U1462" s="4">
        <v>76.5</v>
      </c>
      <c r="V1462" s="4">
        <v>17.033000000000001</v>
      </c>
      <c r="W1462" s="4">
        <v>296.38</v>
      </c>
    </row>
    <row r="1463" spans="1:23" ht="15" customHeight="1" x14ac:dyDescent="0.25">
      <c r="A1463">
        <v>244</v>
      </c>
      <c r="B1463" s="1">
        <v>45898.833333333343</v>
      </c>
      <c r="C1463">
        <v>20</v>
      </c>
      <c r="D1463" t="s">
        <v>58</v>
      </c>
      <c r="E1463">
        <v>8</v>
      </c>
      <c r="F1463" t="s">
        <v>38</v>
      </c>
      <c r="G1463" t="s">
        <v>33</v>
      </c>
      <c r="H1463" t="s">
        <v>53</v>
      </c>
      <c r="I1463" t="s">
        <v>19</v>
      </c>
      <c r="J1463" t="s">
        <v>26</v>
      </c>
      <c r="K1463" s="2">
        <v>12500</v>
      </c>
      <c r="L1463" s="3">
        <v>23</v>
      </c>
      <c r="M1463" s="3">
        <v>52.4</v>
      </c>
      <c r="N1463" s="3">
        <v>0</v>
      </c>
      <c r="O1463" s="2">
        <v>74</v>
      </c>
      <c r="P1463">
        <v>0</v>
      </c>
      <c r="Q1463" t="s">
        <v>14</v>
      </c>
      <c r="R1463" s="4">
        <v>40.520000000000003</v>
      </c>
      <c r="S1463" s="4">
        <v>0</v>
      </c>
      <c r="T1463" t="s">
        <v>37</v>
      </c>
      <c r="U1463" s="4">
        <v>10.53</v>
      </c>
      <c r="V1463" s="4">
        <v>3.242</v>
      </c>
      <c r="W1463" s="4">
        <v>40.520000000000003</v>
      </c>
    </row>
    <row r="1464" spans="1:23" ht="15" customHeight="1" x14ac:dyDescent="0.25">
      <c r="A1464">
        <v>612</v>
      </c>
      <c r="B1464" s="1">
        <v>45898.833333333343</v>
      </c>
      <c r="C1464">
        <v>20</v>
      </c>
      <c r="D1464" t="s">
        <v>58</v>
      </c>
      <c r="E1464">
        <v>8</v>
      </c>
      <c r="F1464" t="s">
        <v>38</v>
      </c>
      <c r="G1464" t="s">
        <v>33</v>
      </c>
      <c r="H1464" t="s">
        <v>54</v>
      </c>
      <c r="I1464" t="s">
        <v>16</v>
      </c>
      <c r="J1464" t="s">
        <v>24</v>
      </c>
      <c r="K1464" s="2">
        <v>8600</v>
      </c>
      <c r="L1464" s="3">
        <v>19</v>
      </c>
      <c r="M1464" s="3">
        <v>80</v>
      </c>
      <c r="N1464" s="3">
        <v>0</v>
      </c>
      <c r="O1464" s="2">
        <v>7</v>
      </c>
      <c r="P1464">
        <v>0</v>
      </c>
      <c r="Q1464" t="s">
        <v>14</v>
      </c>
      <c r="R1464" s="4">
        <v>11.81</v>
      </c>
      <c r="S1464" s="4">
        <v>0</v>
      </c>
      <c r="T1464" t="s">
        <v>37</v>
      </c>
      <c r="U1464" s="4">
        <v>3.09</v>
      </c>
      <c r="V1464" s="4">
        <v>1.373</v>
      </c>
      <c r="W1464" s="4">
        <v>11.81</v>
      </c>
    </row>
    <row r="1465" spans="1:23" ht="15" customHeight="1" x14ac:dyDescent="0.25">
      <c r="A1465">
        <v>1716</v>
      </c>
      <c r="B1465" s="1">
        <v>45898.833333333343</v>
      </c>
      <c r="C1465">
        <v>20</v>
      </c>
      <c r="D1465" t="s">
        <v>58</v>
      </c>
      <c r="E1465">
        <v>8</v>
      </c>
      <c r="F1465" t="s">
        <v>38</v>
      </c>
      <c r="G1465" t="s">
        <v>33</v>
      </c>
      <c r="H1465" t="s">
        <v>49</v>
      </c>
      <c r="I1465" t="s">
        <v>27</v>
      </c>
      <c r="J1465" t="s">
        <v>18</v>
      </c>
      <c r="K1465" s="2">
        <v>26000</v>
      </c>
      <c r="L1465" s="3">
        <v>24.4</v>
      </c>
      <c r="M1465" s="3">
        <v>52.5</v>
      </c>
      <c r="N1465" s="3">
        <v>0</v>
      </c>
      <c r="O1465" s="2">
        <v>156</v>
      </c>
      <c r="P1465">
        <v>1</v>
      </c>
      <c r="Q1465" t="s">
        <v>20</v>
      </c>
      <c r="R1465" s="4">
        <v>232.35</v>
      </c>
      <c r="S1465" s="4">
        <v>0</v>
      </c>
      <c r="T1465" t="s">
        <v>37</v>
      </c>
      <c r="U1465" s="4">
        <v>61.83</v>
      </c>
      <c r="V1465" s="4">
        <v>8.9369999999999994</v>
      </c>
      <c r="W1465" s="4">
        <v>232.35</v>
      </c>
    </row>
    <row r="1466" spans="1:23" ht="15" customHeight="1" x14ac:dyDescent="0.25">
      <c r="A1466">
        <v>613</v>
      </c>
      <c r="B1466" s="1">
        <v>45902</v>
      </c>
      <c r="C1466">
        <v>0</v>
      </c>
      <c r="D1466" t="s">
        <v>59</v>
      </c>
      <c r="E1466">
        <v>9</v>
      </c>
      <c r="F1466" t="s">
        <v>39</v>
      </c>
      <c r="G1466" t="s">
        <v>33</v>
      </c>
      <c r="H1466" t="s">
        <v>54</v>
      </c>
      <c r="I1466" t="s">
        <v>16</v>
      </c>
      <c r="J1466" t="s">
        <v>24</v>
      </c>
      <c r="K1466" s="2">
        <v>8600</v>
      </c>
      <c r="L1466" s="3"/>
      <c r="M1466" s="3">
        <v>84.9</v>
      </c>
      <c r="N1466" s="3">
        <v>0</v>
      </c>
      <c r="O1466" s="2">
        <v>41</v>
      </c>
      <c r="P1466">
        <v>1</v>
      </c>
      <c r="Q1466" t="s">
        <v>17</v>
      </c>
      <c r="R1466" s="4">
        <v>21.87</v>
      </c>
      <c r="S1466" s="4">
        <v>0</v>
      </c>
      <c r="T1466" t="s">
        <v>31</v>
      </c>
      <c r="U1466" s="4">
        <v>2.35</v>
      </c>
      <c r="V1466" s="4">
        <v>2.5430000000000001</v>
      </c>
      <c r="W1466" s="4">
        <v>21.87</v>
      </c>
    </row>
    <row r="1467" spans="1:23" ht="15" customHeight="1" x14ac:dyDescent="0.25">
      <c r="A1467">
        <v>981</v>
      </c>
      <c r="B1467" s="1">
        <v>45902</v>
      </c>
      <c r="C1467">
        <v>0</v>
      </c>
      <c r="D1467" t="s">
        <v>59</v>
      </c>
      <c r="E1467">
        <v>9</v>
      </c>
      <c r="F1467" t="s">
        <v>39</v>
      </c>
      <c r="G1467" t="s">
        <v>33</v>
      </c>
      <c r="H1467" t="s">
        <v>50</v>
      </c>
      <c r="I1467" t="s">
        <v>22</v>
      </c>
      <c r="J1467" t="s">
        <v>12</v>
      </c>
      <c r="K1467" s="2">
        <v>21000</v>
      </c>
      <c r="L1467" s="3">
        <v>22.4</v>
      </c>
      <c r="M1467" s="3">
        <v>58.2</v>
      </c>
      <c r="N1467" s="3">
        <v>0</v>
      </c>
      <c r="O1467" s="2">
        <v>242</v>
      </c>
      <c r="P1467">
        <v>0</v>
      </c>
      <c r="Q1467" t="s">
        <v>14</v>
      </c>
      <c r="R1467" s="4">
        <v>164.98</v>
      </c>
      <c r="S1467" s="4">
        <v>0</v>
      </c>
      <c r="T1467" t="s">
        <v>31</v>
      </c>
      <c r="U1467" s="4">
        <v>16.96</v>
      </c>
      <c r="V1467" s="4">
        <v>7.8559999999999999</v>
      </c>
      <c r="W1467" s="4">
        <v>164.98</v>
      </c>
    </row>
    <row r="1468" spans="1:23" ht="15" customHeight="1" x14ac:dyDescent="0.25">
      <c r="A1468">
        <v>1349</v>
      </c>
      <c r="B1468" s="1">
        <v>45902</v>
      </c>
      <c r="C1468">
        <v>0</v>
      </c>
      <c r="D1468" t="s">
        <v>59</v>
      </c>
      <c r="E1468">
        <v>9</v>
      </c>
      <c r="F1468" t="s">
        <v>39</v>
      </c>
      <c r="G1468" t="s">
        <v>33</v>
      </c>
      <c r="H1468" t="s">
        <v>51</v>
      </c>
      <c r="I1468" t="s">
        <v>25</v>
      </c>
      <c r="J1468" t="s">
        <v>15</v>
      </c>
      <c r="K1468" s="2">
        <v>17400</v>
      </c>
      <c r="L1468" s="3">
        <v>20.6</v>
      </c>
      <c r="M1468" s="3">
        <v>66.400000000000006</v>
      </c>
      <c r="N1468" s="3">
        <v>0</v>
      </c>
      <c r="O1468" s="2">
        <v>62</v>
      </c>
      <c r="P1468">
        <v>0</v>
      </c>
      <c r="Q1468" t="s">
        <v>14</v>
      </c>
      <c r="R1468" s="4">
        <v>51.49</v>
      </c>
      <c r="S1468" s="4">
        <v>0</v>
      </c>
      <c r="T1468" t="s">
        <v>31</v>
      </c>
      <c r="U1468" s="4">
        <v>5.43</v>
      </c>
      <c r="V1468" s="4">
        <v>2.9590000000000001</v>
      </c>
      <c r="W1468" s="4">
        <v>51.49</v>
      </c>
    </row>
    <row r="1469" spans="1:23" ht="15" customHeight="1" x14ac:dyDescent="0.25">
      <c r="A1469">
        <v>2085</v>
      </c>
      <c r="B1469" s="1">
        <v>45902</v>
      </c>
      <c r="C1469">
        <v>0</v>
      </c>
      <c r="D1469" t="s">
        <v>59</v>
      </c>
      <c r="E1469">
        <v>9</v>
      </c>
      <c r="F1469" t="s">
        <v>39</v>
      </c>
      <c r="G1469" t="s">
        <v>33</v>
      </c>
      <c r="H1469" t="s">
        <v>52</v>
      </c>
      <c r="I1469" t="s">
        <v>13</v>
      </c>
      <c r="J1469" t="s">
        <v>21</v>
      </c>
      <c r="K1469" s="2">
        <v>9800</v>
      </c>
      <c r="L1469" s="3">
        <v>20</v>
      </c>
      <c r="M1469" s="3">
        <v>66.099999999999994</v>
      </c>
      <c r="N1469" s="3">
        <v>0</v>
      </c>
      <c r="O1469" s="2">
        <v>285</v>
      </c>
      <c r="P1469">
        <v>0</v>
      </c>
      <c r="Q1469" t="s">
        <v>14</v>
      </c>
      <c r="R1469" s="4">
        <v>94.35</v>
      </c>
      <c r="S1469" s="4">
        <v>0</v>
      </c>
      <c r="T1469" t="s">
        <v>31</v>
      </c>
      <c r="U1469" s="4">
        <v>9.83</v>
      </c>
      <c r="V1469" s="4">
        <v>9.6280000000000001</v>
      </c>
      <c r="W1469" s="4">
        <v>94.35</v>
      </c>
    </row>
    <row r="1470" spans="1:23" ht="15" customHeight="1" x14ac:dyDescent="0.25">
      <c r="A1470">
        <v>1717</v>
      </c>
      <c r="B1470" s="1">
        <v>45902</v>
      </c>
      <c r="C1470">
        <v>0</v>
      </c>
      <c r="D1470" t="s">
        <v>59</v>
      </c>
      <c r="E1470">
        <v>9</v>
      </c>
      <c r="F1470" t="s">
        <v>39</v>
      </c>
      <c r="G1470" t="s">
        <v>33</v>
      </c>
      <c r="H1470" t="s">
        <v>49</v>
      </c>
      <c r="I1470" t="s">
        <v>27</v>
      </c>
      <c r="J1470" t="s">
        <v>18</v>
      </c>
      <c r="K1470" s="2">
        <v>26000</v>
      </c>
      <c r="L1470" s="3">
        <v>17.899999999999999</v>
      </c>
      <c r="M1470" s="3">
        <v>57</v>
      </c>
      <c r="N1470" s="3">
        <v>0</v>
      </c>
      <c r="O1470" s="2">
        <v>34</v>
      </c>
      <c r="P1470">
        <v>0</v>
      </c>
      <c r="Q1470" t="s">
        <v>14</v>
      </c>
      <c r="R1470" s="4">
        <v>110.27</v>
      </c>
      <c r="S1470" s="4">
        <v>0</v>
      </c>
      <c r="T1470" t="s">
        <v>31</v>
      </c>
      <c r="U1470" s="4">
        <v>11.75</v>
      </c>
      <c r="V1470" s="4">
        <v>4.2409999999999997</v>
      </c>
      <c r="W1470" s="4">
        <v>110.27</v>
      </c>
    </row>
    <row r="1471" spans="1:23" ht="15" customHeight="1" x14ac:dyDescent="0.25">
      <c r="A1471">
        <v>245</v>
      </c>
      <c r="B1471" s="1">
        <v>45902</v>
      </c>
      <c r="C1471">
        <v>0</v>
      </c>
      <c r="D1471" t="s">
        <v>59</v>
      </c>
      <c r="E1471">
        <v>9</v>
      </c>
      <c r="F1471" t="s">
        <v>39</v>
      </c>
      <c r="G1471" t="s">
        <v>33</v>
      </c>
      <c r="H1471" t="s">
        <v>53</v>
      </c>
      <c r="I1471" t="s">
        <v>19</v>
      </c>
      <c r="J1471" t="s">
        <v>26</v>
      </c>
      <c r="K1471" s="2">
        <v>12500</v>
      </c>
      <c r="L1471" s="3">
        <v>13.8</v>
      </c>
      <c r="M1471" s="3">
        <v>64.8</v>
      </c>
      <c r="N1471" s="3">
        <v>0</v>
      </c>
      <c r="O1471" s="2">
        <v>0</v>
      </c>
      <c r="P1471">
        <v>0</v>
      </c>
      <c r="Q1471" t="s">
        <v>14</v>
      </c>
      <c r="R1471" s="4">
        <v>22.04</v>
      </c>
      <c r="S1471" s="4">
        <v>0</v>
      </c>
      <c r="T1471" t="s">
        <v>31</v>
      </c>
      <c r="U1471" s="4">
        <v>2.38</v>
      </c>
      <c r="V1471" s="4">
        <v>1.7629999999999999</v>
      </c>
      <c r="W1471" s="4">
        <v>22.04</v>
      </c>
    </row>
    <row r="1472" spans="1:23" ht="15" customHeight="1" x14ac:dyDescent="0.25">
      <c r="A1472">
        <v>246</v>
      </c>
      <c r="B1472" s="1">
        <v>45902.333333333343</v>
      </c>
      <c r="C1472">
        <v>8</v>
      </c>
      <c r="D1472" t="s">
        <v>59</v>
      </c>
      <c r="E1472">
        <v>9</v>
      </c>
      <c r="F1472" t="s">
        <v>39</v>
      </c>
      <c r="G1472" t="s">
        <v>33</v>
      </c>
      <c r="H1472" t="s">
        <v>53</v>
      </c>
      <c r="I1472" t="s">
        <v>19</v>
      </c>
      <c r="J1472" t="s">
        <v>26</v>
      </c>
      <c r="K1472" s="2">
        <v>12500</v>
      </c>
      <c r="L1472" s="3">
        <v>18.3</v>
      </c>
      <c r="M1472" s="3">
        <v>57.5</v>
      </c>
      <c r="N1472" s="3">
        <v>273</v>
      </c>
      <c r="O1472" s="2">
        <v>333</v>
      </c>
      <c r="P1472">
        <v>0</v>
      </c>
      <c r="Q1472" t="s">
        <v>14</v>
      </c>
      <c r="R1472" s="4">
        <v>65.31</v>
      </c>
      <c r="S1472" s="4">
        <v>42.48</v>
      </c>
      <c r="T1472" t="s">
        <v>34</v>
      </c>
      <c r="U1472" s="4">
        <v>3.92</v>
      </c>
      <c r="V1472" s="4">
        <v>5.2249999999999996</v>
      </c>
      <c r="W1472" s="4">
        <v>22.83</v>
      </c>
    </row>
    <row r="1473" spans="1:23" ht="15" customHeight="1" x14ac:dyDescent="0.25">
      <c r="A1473">
        <v>982</v>
      </c>
      <c r="B1473" s="1">
        <v>45902.333333333343</v>
      </c>
      <c r="C1473">
        <v>8</v>
      </c>
      <c r="D1473" t="s">
        <v>59</v>
      </c>
      <c r="E1473">
        <v>9</v>
      </c>
      <c r="F1473" t="s">
        <v>39</v>
      </c>
      <c r="G1473" t="s">
        <v>33</v>
      </c>
      <c r="H1473" t="s">
        <v>50</v>
      </c>
      <c r="I1473" t="s">
        <v>22</v>
      </c>
      <c r="J1473" t="s">
        <v>12</v>
      </c>
      <c r="K1473" s="2">
        <v>21000</v>
      </c>
      <c r="L1473" s="3">
        <v>21.9</v>
      </c>
      <c r="M1473" s="3">
        <v>52.4</v>
      </c>
      <c r="N1473" s="3">
        <v>281.7</v>
      </c>
      <c r="O1473" s="2">
        <v>421</v>
      </c>
      <c r="P1473">
        <v>0</v>
      </c>
      <c r="Q1473" t="s">
        <v>14</v>
      </c>
      <c r="R1473" s="4">
        <v>191.21</v>
      </c>
      <c r="S1473" s="4">
        <v>56.74</v>
      </c>
      <c r="T1473" t="s">
        <v>34</v>
      </c>
      <c r="U1473" s="4">
        <v>23.01</v>
      </c>
      <c r="V1473" s="4">
        <v>9.1050000000000004</v>
      </c>
      <c r="W1473" s="4">
        <v>134.47</v>
      </c>
    </row>
    <row r="1474" spans="1:23" ht="15" customHeight="1" x14ac:dyDescent="0.25">
      <c r="A1474">
        <v>1350</v>
      </c>
      <c r="B1474" s="1">
        <v>45902.333333333343</v>
      </c>
      <c r="C1474">
        <v>8</v>
      </c>
      <c r="D1474" t="s">
        <v>59</v>
      </c>
      <c r="E1474">
        <v>9</v>
      </c>
      <c r="F1474" t="s">
        <v>39</v>
      </c>
      <c r="G1474" t="s">
        <v>33</v>
      </c>
      <c r="H1474" t="s">
        <v>51</v>
      </c>
      <c r="I1474" t="s">
        <v>25</v>
      </c>
      <c r="J1474" t="s">
        <v>15</v>
      </c>
      <c r="K1474" s="2">
        <v>17400</v>
      </c>
      <c r="L1474" s="3">
        <v>22.8</v>
      </c>
      <c r="M1474" s="3">
        <v>66.400000000000006</v>
      </c>
      <c r="N1474" s="3">
        <v>304</v>
      </c>
      <c r="O1474" s="2">
        <v>26</v>
      </c>
      <c r="P1474">
        <v>0</v>
      </c>
      <c r="Q1474" t="s">
        <v>14</v>
      </c>
      <c r="R1474" s="4">
        <v>35.229999999999997</v>
      </c>
      <c r="S1474" s="4">
        <v>35.29</v>
      </c>
      <c r="T1474" t="s">
        <v>34</v>
      </c>
      <c r="U1474" s="4">
        <v>0</v>
      </c>
      <c r="V1474" s="4">
        <v>2.0249999999999999</v>
      </c>
      <c r="W1474" s="4">
        <v>0</v>
      </c>
    </row>
    <row r="1475" spans="1:23" ht="15" customHeight="1" x14ac:dyDescent="0.25">
      <c r="A1475">
        <v>1718</v>
      </c>
      <c r="B1475" s="1">
        <v>45902.333333333343</v>
      </c>
      <c r="C1475">
        <v>8</v>
      </c>
      <c r="D1475" t="s">
        <v>59</v>
      </c>
      <c r="E1475">
        <v>9</v>
      </c>
      <c r="F1475" t="s">
        <v>39</v>
      </c>
      <c r="G1475" t="s">
        <v>33</v>
      </c>
      <c r="H1475" t="s">
        <v>49</v>
      </c>
      <c r="I1475" t="s">
        <v>27</v>
      </c>
      <c r="J1475" t="s">
        <v>18</v>
      </c>
      <c r="K1475" s="2">
        <v>26000</v>
      </c>
      <c r="L1475" s="3">
        <v>19</v>
      </c>
      <c r="M1475" s="3">
        <v>71.5</v>
      </c>
      <c r="N1475" s="3">
        <v>281.8</v>
      </c>
      <c r="O1475" s="2">
        <v>172</v>
      </c>
      <c r="P1475">
        <v>0</v>
      </c>
      <c r="Q1475" t="s">
        <v>14</v>
      </c>
      <c r="R1475" s="4">
        <v>162.16999999999999</v>
      </c>
      <c r="S1475" s="4">
        <v>73.92</v>
      </c>
      <c r="T1475" t="s">
        <v>34</v>
      </c>
      <c r="U1475" s="4">
        <v>15.1</v>
      </c>
      <c r="V1475" s="4">
        <v>6.2370000000000001</v>
      </c>
      <c r="W1475" s="4">
        <v>88.25</v>
      </c>
    </row>
    <row r="1476" spans="1:23" ht="15" customHeight="1" x14ac:dyDescent="0.25">
      <c r="A1476">
        <v>614</v>
      </c>
      <c r="B1476" s="1">
        <v>45902.333333333343</v>
      </c>
      <c r="C1476">
        <v>8</v>
      </c>
      <c r="D1476" t="s">
        <v>59</v>
      </c>
      <c r="E1476">
        <v>9</v>
      </c>
      <c r="F1476" t="s">
        <v>39</v>
      </c>
      <c r="G1476" t="s">
        <v>33</v>
      </c>
      <c r="H1476" t="s">
        <v>54</v>
      </c>
      <c r="I1476" t="s">
        <v>16</v>
      </c>
      <c r="J1476" t="s">
        <v>24</v>
      </c>
      <c r="K1476" s="2">
        <v>8600</v>
      </c>
      <c r="L1476" s="3">
        <v>16.8</v>
      </c>
      <c r="M1476" s="3">
        <v>73.3</v>
      </c>
      <c r="N1476" s="3">
        <v>245.8</v>
      </c>
      <c r="O1476" s="2">
        <v>801</v>
      </c>
      <c r="P1476">
        <v>0</v>
      </c>
      <c r="Q1476" t="s">
        <v>14</v>
      </c>
      <c r="R1476" s="4">
        <v>85.33</v>
      </c>
      <c r="S1476" s="4">
        <v>20.27</v>
      </c>
      <c r="T1476" t="s">
        <v>34</v>
      </c>
      <c r="U1476" s="4">
        <v>11.52</v>
      </c>
      <c r="V1476" s="4">
        <v>9.9220000000000006</v>
      </c>
      <c r="W1476" s="4">
        <v>65.06</v>
      </c>
    </row>
    <row r="1477" spans="1:23" ht="15" customHeight="1" x14ac:dyDescent="0.25">
      <c r="A1477">
        <v>2086</v>
      </c>
      <c r="B1477" s="1">
        <v>45902.333333333343</v>
      </c>
      <c r="C1477">
        <v>8</v>
      </c>
      <c r="D1477" t="s">
        <v>59</v>
      </c>
      <c r="E1477">
        <v>9</v>
      </c>
      <c r="F1477" t="s">
        <v>39</v>
      </c>
      <c r="G1477" t="s">
        <v>33</v>
      </c>
      <c r="H1477" t="s">
        <v>52</v>
      </c>
      <c r="I1477" t="s">
        <v>13</v>
      </c>
      <c r="J1477" t="s">
        <v>21</v>
      </c>
      <c r="K1477" s="2">
        <v>9800</v>
      </c>
      <c r="L1477" s="3">
        <v>20.5</v>
      </c>
      <c r="M1477" s="3">
        <v>61.5</v>
      </c>
      <c r="N1477" s="3">
        <v>234.4</v>
      </c>
      <c r="O1477" s="2">
        <v>62</v>
      </c>
      <c r="P1477">
        <v>0</v>
      </c>
      <c r="Q1477" t="s">
        <v>14</v>
      </c>
      <c r="R1477" s="4">
        <v>17.11</v>
      </c>
      <c r="S1477" s="4">
        <v>0</v>
      </c>
      <c r="T1477" t="s">
        <v>34</v>
      </c>
      <c r="U1477" s="4">
        <v>2.94</v>
      </c>
      <c r="V1477" s="4">
        <v>1.746</v>
      </c>
      <c r="W1477" s="4">
        <v>17.11</v>
      </c>
    </row>
    <row r="1478" spans="1:23" ht="15" customHeight="1" x14ac:dyDescent="0.25">
      <c r="A1478">
        <v>615</v>
      </c>
      <c r="B1478" s="1">
        <v>45902.583333333343</v>
      </c>
      <c r="C1478">
        <v>14</v>
      </c>
      <c r="D1478" t="s">
        <v>59</v>
      </c>
      <c r="E1478">
        <v>9</v>
      </c>
      <c r="F1478" t="s">
        <v>39</v>
      </c>
      <c r="G1478" t="s">
        <v>33</v>
      </c>
      <c r="H1478" t="s">
        <v>54</v>
      </c>
      <c r="I1478" t="s">
        <v>16</v>
      </c>
      <c r="J1478" t="s">
        <v>24</v>
      </c>
      <c r="K1478" s="2">
        <v>8600</v>
      </c>
      <c r="L1478" s="3">
        <v>23.7</v>
      </c>
      <c r="M1478" s="3">
        <v>62.4</v>
      </c>
      <c r="N1478" s="3">
        <v>808.9</v>
      </c>
      <c r="O1478" s="2">
        <v>785</v>
      </c>
      <c r="P1478">
        <v>1</v>
      </c>
      <c r="Q1478" t="s">
        <v>23</v>
      </c>
      <c r="R1478" s="4">
        <v>82.94</v>
      </c>
      <c r="S1478" s="4">
        <v>65.73</v>
      </c>
      <c r="T1478" t="s">
        <v>34</v>
      </c>
      <c r="U1478" s="4">
        <v>2.94</v>
      </c>
      <c r="V1478" s="4">
        <v>9.6440000000000001</v>
      </c>
      <c r="W1478" s="4">
        <v>17.21</v>
      </c>
    </row>
    <row r="1479" spans="1:23" ht="15" customHeight="1" x14ac:dyDescent="0.25">
      <c r="A1479">
        <v>1719</v>
      </c>
      <c r="B1479" s="1">
        <v>45902.583333333343</v>
      </c>
      <c r="C1479">
        <v>14</v>
      </c>
      <c r="D1479" t="s">
        <v>59</v>
      </c>
      <c r="E1479">
        <v>9</v>
      </c>
      <c r="F1479" t="s">
        <v>39</v>
      </c>
      <c r="G1479" t="s">
        <v>33</v>
      </c>
      <c r="H1479" t="s">
        <v>49</v>
      </c>
      <c r="I1479" t="s">
        <v>27</v>
      </c>
      <c r="J1479" t="s">
        <v>18</v>
      </c>
      <c r="K1479" s="2">
        <v>26000</v>
      </c>
      <c r="L1479" s="3">
        <v>27.5</v>
      </c>
      <c r="M1479" s="3">
        <v>46.1</v>
      </c>
      <c r="N1479" s="3">
        <v>752.7</v>
      </c>
      <c r="O1479" s="2">
        <v>177</v>
      </c>
      <c r="P1479">
        <v>1</v>
      </c>
      <c r="Q1479" t="s">
        <v>20</v>
      </c>
      <c r="R1479" s="4">
        <v>176.37</v>
      </c>
      <c r="S1479" s="4">
        <v>196.89</v>
      </c>
      <c r="T1479" t="s">
        <v>34</v>
      </c>
      <c r="U1479" s="4">
        <v>-1.39</v>
      </c>
      <c r="V1479" s="4">
        <v>6.7830000000000004</v>
      </c>
      <c r="W1479" s="4">
        <v>0</v>
      </c>
    </row>
    <row r="1480" spans="1:23" ht="15" customHeight="1" x14ac:dyDescent="0.25">
      <c r="A1480">
        <v>247</v>
      </c>
      <c r="B1480" s="1">
        <v>45902.583333333343</v>
      </c>
      <c r="C1480">
        <v>14</v>
      </c>
      <c r="D1480" t="s">
        <v>59</v>
      </c>
      <c r="E1480">
        <v>9</v>
      </c>
      <c r="F1480" t="s">
        <v>39</v>
      </c>
      <c r="G1480" t="s">
        <v>33</v>
      </c>
      <c r="H1480" t="s">
        <v>53</v>
      </c>
      <c r="I1480" t="s">
        <v>19</v>
      </c>
      <c r="J1480" t="s">
        <v>26</v>
      </c>
      <c r="K1480" s="2">
        <v>12500</v>
      </c>
      <c r="L1480" s="3">
        <v>32.1</v>
      </c>
      <c r="M1480" s="3">
        <v>42.7</v>
      </c>
      <c r="N1480" s="3">
        <v>738.6</v>
      </c>
      <c r="O1480" s="2"/>
      <c r="P1480">
        <v>1</v>
      </c>
      <c r="Q1480" t="s">
        <v>20</v>
      </c>
      <c r="R1480" s="4">
        <v>129.87</v>
      </c>
      <c r="S1480" s="4">
        <v>115.07</v>
      </c>
      <c r="T1480" t="s">
        <v>34</v>
      </c>
      <c r="U1480" s="4">
        <v>2.48</v>
      </c>
      <c r="V1480" s="4">
        <v>10.39</v>
      </c>
      <c r="W1480" s="4">
        <v>14.8</v>
      </c>
    </row>
    <row r="1481" spans="1:23" ht="15" customHeight="1" x14ac:dyDescent="0.25">
      <c r="A1481">
        <v>1351</v>
      </c>
      <c r="B1481" s="1">
        <v>45902.583333333343</v>
      </c>
      <c r="C1481">
        <v>14</v>
      </c>
      <c r="D1481" t="s">
        <v>59</v>
      </c>
      <c r="E1481">
        <v>9</v>
      </c>
      <c r="F1481" t="s">
        <v>39</v>
      </c>
      <c r="G1481" t="s">
        <v>33</v>
      </c>
      <c r="H1481" t="s">
        <v>51</v>
      </c>
      <c r="I1481" t="s">
        <v>25</v>
      </c>
      <c r="J1481" t="s">
        <v>15</v>
      </c>
      <c r="K1481" s="2">
        <v>17400</v>
      </c>
      <c r="L1481" s="3">
        <v>30.6</v>
      </c>
      <c r="M1481" s="3">
        <v>65.400000000000006</v>
      </c>
      <c r="N1481" s="3">
        <v>844.1</v>
      </c>
      <c r="O1481" s="2">
        <v>1421</v>
      </c>
      <c r="P1481">
        <v>1</v>
      </c>
      <c r="Q1481" t="s">
        <v>20</v>
      </c>
      <c r="R1481" s="4">
        <v>220.42</v>
      </c>
      <c r="S1481" s="4">
        <v>107.11</v>
      </c>
      <c r="T1481" t="s">
        <v>34</v>
      </c>
      <c r="U1481" s="4">
        <v>19.68</v>
      </c>
      <c r="V1481" s="4">
        <v>12.667999999999999</v>
      </c>
      <c r="W1481" s="4">
        <v>113.31</v>
      </c>
    </row>
    <row r="1482" spans="1:23" ht="15" customHeight="1" x14ac:dyDescent="0.25">
      <c r="A1482">
        <v>983</v>
      </c>
      <c r="B1482" s="1">
        <v>45902.583333333343</v>
      </c>
      <c r="C1482">
        <v>14</v>
      </c>
      <c r="D1482" t="s">
        <v>59</v>
      </c>
      <c r="E1482">
        <v>9</v>
      </c>
      <c r="F1482" t="s">
        <v>39</v>
      </c>
      <c r="G1482" t="s">
        <v>33</v>
      </c>
      <c r="H1482" t="s">
        <v>50</v>
      </c>
      <c r="I1482" t="s">
        <v>22</v>
      </c>
      <c r="J1482" t="s">
        <v>12</v>
      </c>
      <c r="K1482" s="2">
        <v>21000</v>
      </c>
      <c r="L1482" s="3">
        <v>34.6</v>
      </c>
      <c r="M1482" s="3"/>
      <c r="N1482" s="3">
        <v>832.4</v>
      </c>
      <c r="O1482" s="2">
        <v>424</v>
      </c>
      <c r="P1482">
        <v>1</v>
      </c>
      <c r="Q1482" t="s">
        <v>20</v>
      </c>
      <c r="R1482" s="4">
        <v>241.15</v>
      </c>
      <c r="S1482" s="4">
        <v>169.28</v>
      </c>
      <c r="T1482" t="s">
        <v>34</v>
      </c>
      <c r="U1482" s="4">
        <v>12.78</v>
      </c>
      <c r="V1482" s="4">
        <v>11.483000000000001</v>
      </c>
      <c r="W1482" s="4">
        <v>71.87</v>
      </c>
    </row>
    <row r="1483" spans="1:23" ht="15" customHeight="1" x14ac:dyDescent="0.25">
      <c r="A1483">
        <v>2087</v>
      </c>
      <c r="B1483" s="1">
        <v>45902.583333333343</v>
      </c>
      <c r="C1483">
        <v>14</v>
      </c>
      <c r="D1483" t="s">
        <v>59</v>
      </c>
      <c r="E1483">
        <v>9</v>
      </c>
      <c r="F1483" t="s">
        <v>39</v>
      </c>
      <c r="G1483" t="s">
        <v>33</v>
      </c>
      <c r="H1483" t="s">
        <v>52</v>
      </c>
      <c r="I1483" t="s">
        <v>13</v>
      </c>
      <c r="J1483" t="s">
        <v>21</v>
      </c>
      <c r="K1483" s="2">
        <v>9800</v>
      </c>
      <c r="L1483" s="3">
        <v>23.7</v>
      </c>
      <c r="M1483" s="3">
        <v>68.2</v>
      </c>
      <c r="N1483" s="3">
        <v>766.2</v>
      </c>
      <c r="O1483" s="2">
        <v>55</v>
      </c>
      <c r="P1483">
        <v>1</v>
      </c>
      <c r="Q1483" t="s">
        <v>23</v>
      </c>
      <c r="R1483" s="4">
        <v>17.05</v>
      </c>
      <c r="S1483" s="4">
        <v>0</v>
      </c>
      <c r="T1483" t="s">
        <v>34</v>
      </c>
      <c r="U1483" s="4">
        <v>2.89</v>
      </c>
      <c r="V1483" s="4">
        <v>1.74</v>
      </c>
      <c r="W1483" s="4">
        <v>17.05</v>
      </c>
    </row>
    <row r="1484" spans="1:23" ht="15" customHeight="1" x14ac:dyDescent="0.25">
      <c r="A1484">
        <v>2088</v>
      </c>
      <c r="B1484" s="1">
        <v>45902.833333333343</v>
      </c>
      <c r="C1484">
        <v>20</v>
      </c>
      <c r="D1484" t="s">
        <v>59</v>
      </c>
      <c r="E1484">
        <v>9</v>
      </c>
      <c r="F1484" t="s">
        <v>39</v>
      </c>
      <c r="G1484" t="s">
        <v>33</v>
      </c>
      <c r="H1484" t="s">
        <v>52</v>
      </c>
      <c r="I1484" t="s">
        <v>13</v>
      </c>
      <c r="J1484" t="s">
        <v>21</v>
      </c>
      <c r="K1484" s="2">
        <v>9800</v>
      </c>
      <c r="L1484" s="3">
        <v>25.1</v>
      </c>
      <c r="M1484" s="3">
        <v>64.400000000000006</v>
      </c>
      <c r="N1484" s="3">
        <v>0</v>
      </c>
      <c r="O1484" s="2"/>
      <c r="P1484">
        <v>1</v>
      </c>
      <c r="Q1484" t="s">
        <v>20</v>
      </c>
      <c r="R1484" s="4">
        <v>101.78</v>
      </c>
      <c r="S1484" s="4">
        <v>0</v>
      </c>
      <c r="T1484" t="s">
        <v>37</v>
      </c>
      <c r="U1484" s="4">
        <v>27.51</v>
      </c>
      <c r="V1484" s="4">
        <v>10.385999999999999</v>
      </c>
      <c r="W1484" s="4">
        <v>101.78</v>
      </c>
    </row>
    <row r="1485" spans="1:23" ht="15" customHeight="1" x14ac:dyDescent="0.25">
      <c r="A1485">
        <v>1352</v>
      </c>
      <c r="B1485" s="1">
        <v>45902.833333333343</v>
      </c>
      <c r="C1485">
        <v>20</v>
      </c>
      <c r="D1485" t="s">
        <v>59</v>
      </c>
      <c r="E1485">
        <v>9</v>
      </c>
      <c r="F1485" t="s">
        <v>39</v>
      </c>
      <c r="G1485" t="s">
        <v>33</v>
      </c>
      <c r="H1485" t="s">
        <v>51</v>
      </c>
      <c r="I1485" t="s">
        <v>25</v>
      </c>
      <c r="J1485" t="s">
        <v>15</v>
      </c>
      <c r="K1485" s="2">
        <v>17400</v>
      </c>
      <c r="L1485" s="3">
        <v>28.2</v>
      </c>
      <c r="M1485" s="3">
        <v>54.3</v>
      </c>
      <c r="N1485" s="3">
        <v>0</v>
      </c>
      <c r="O1485" s="2">
        <v>1293</v>
      </c>
      <c r="P1485">
        <v>1</v>
      </c>
      <c r="Q1485" t="s">
        <v>20</v>
      </c>
      <c r="R1485" s="4">
        <v>288.49</v>
      </c>
      <c r="S1485" s="4">
        <v>0</v>
      </c>
      <c r="T1485" t="s">
        <v>37</v>
      </c>
      <c r="U1485" s="4">
        <v>73.39</v>
      </c>
      <c r="V1485" s="4">
        <v>16.579999999999998</v>
      </c>
      <c r="W1485" s="4">
        <v>288.49</v>
      </c>
    </row>
    <row r="1486" spans="1:23" ht="15" customHeight="1" x14ac:dyDescent="0.25">
      <c r="A1486">
        <v>248</v>
      </c>
      <c r="B1486" s="1">
        <v>45902.833333333343</v>
      </c>
      <c r="C1486">
        <v>20</v>
      </c>
      <c r="D1486" t="s">
        <v>59</v>
      </c>
      <c r="E1486">
        <v>9</v>
      </c>
      <c r="F1486" t="s">
        <v>39</v>
      </c>
      <c r="G1486" t="s">
        <v>33</v>
      </c>
      <c r="H1486" t="s">
        <v>53</v>
      </c>
      <c r="I1486" t="s">
        <v>19</v>
      </c>
      <c r="J1486" t="s">
        <v>26</v>
      </c>
      <c r="K1486" s="2">
        <v>12500</v>
      </c>
      <c r="L1486" s="3">
        <v>22.2</v>
      </c>
      <c r="M1486" s="3"/>
      <c r="N1486" s="3">
        <v>0</v>
      </c>
      <c r="O1486" s="2">
        <v>65</v>
      </c>
      <c r="P1486">
        <v>0</v>
      </c>
      <c r="Q1486" t="s">
        <v>14</v>
      </c>
      <c r="R1486" s="4">
        <v>38.92</v>
      </c>
      <c r="S1486" s="4">
        <v>0</v>
      </c>
      <c r="T1486" t="s">
        <v>37</v>
      </c>
      <c r="U1486" s="4">
        <v>10.11</v>
      </c>
      <c r="V1486" s="4">
        <v>3.1139999999999999</v>
      </c>
      <c r="W1486" s="4">
        <v>38.92</v>
      </c>
    </row>
    <row r="1487" spans="1:23" ht="15" customHeight="1" x14ac:dyDescent="0.25">
      <c r="A1487">
        <v>616</v>
      </c>
      <c r="B1487" s="1">
        <v>45902.833333333343</v>
      </c>
      <c r="C1487">
        <v>20</v>
      </c>
      <c r="D1487" t="s">
        <v>59</v>
      </c>
      <c r="E1487">
        <v>9</v>
      </c>
      <c r="F1487" t="s">
        <v>39</v>
      </c>
      <c r="G1487" t="s">
        <v>33</v>
      </c>
      <c r="H1487" t="s">
        <v>54</v>
      </c>
      <c r="I1487" t="s">
        <v>16</v>
      </c>
      <c r="J1487" t="s">
        <v>24</v>
      </c>
      <c r="K1487" s="2">
        <v>8600</v>
      </c>
      <c r="L1487" s="3">
        <v>19.5</v>
      </c>
      <c r="M1487" s="3">
        <v>75.5</v>
      </c>
      <c r="N1487" s="3">
        <v>0</v>
      </c>
      <c r="O1487" s="2">
        <v>67</v>
      </c>
      <c r="P1487">
        <v>0</v>
      </c>
      <c r="Q1487" t="s">
        <v>14</v>
      </c>
      <c r="R1487" s="4">
        <v>21.33</v>
      </c>
      <c r="S1487" s="4">
        <v>0</v>
      </c>
      <c r="T1487" t="s">
        <v>37</v>
      </c>
      <c r="U1487" s="4">
        <v>5.67</v>
      </c>
      <c r="V1487" s="4">
        <v>2.48</v>
      </c>
      <c r="W1487" s="4">
        <v>21.33</v>
      </c>
    </row>
    <row r="1488" spans="1:23" ht="15" customHeight="1" x14ac:dyDescent="0.25">
      <c r="A1488">
        <v>984</v>
      </c>
      <c r="B1488" s="1">
        <v>45902.833333333343</v>
      </c>
      <c r="C1488">
        <v>20</v>
      </c>
      <c r="D1488" t="s">
        <v>59</v>
      </c>
      <c r="E1488">
        <v>9</v>
      </c>
      <c r="F1488" t="s">
        <v>39</v>
      </c>
      <c r="G1488" t="s">
        <v>33</v>
      </c>
      <c r="H1488" t="s">
        <v>50</v>
      </c>
      <c r="I1488" t="s">
        <v>22</v>
      </c>
      <c r="J1488" t="s">
        <v>12</v>
      </c>
      <c r="K1488" s="2">
        <v>21000</v>
      </c>
      <c r="L1488" s="3">
        <v>27.7</v>
      </c>
      <c r="M1488" s="3">
        <v>56</v>
      </c>
      <c r="N1488" s="3">
        <v>0</v>
      </c>
      <c r="O1488" s="2">
        <v>381</v>
      </c>
      <c r="P1488">
        <v>1</v>
      </c>
      <c r="Q1488" t="s">
        <v>20</v>
      </c>
      <c r="R1488" s="4">
        <v>295.98</v>
      </c>
      <c r="S1488" s="4">
        <v>0</v>
      </c>
      <c r="T1488" t="s">
        <v>37</v>
      </c>
      <c r="U1488" s="4">
        <v>75</v>
      </c>
      <c r="V1488" s="4">
        <v>14.093999999999999</v>
      </c>
      <c r="W1488" s="4">
        <v>295.98</v>
      </c>
    </row>
    <row r="1489" spans="1:23" ht="15" customHeight="1" x14ac:dyDescent="0.25">
      <c r="A1489">
        <v>1720</v>
      </c>
      <c r="B1489" s="1">
        <v>45902.833333333343</v>
      </c>
      <c r="C1489">
        <v>20</v>
      </c>
      <c r="D1489" t="s">
        <v>59</v>
      </c>
      <c r="E1489">
        <v>9</v>
      </c>
      <c r="F1489" t="s">
        <v>39</v>
      </c>
      <c r="G1489" t="s">
        <v>33</v>
      </c>
      <c r="H1489" t="s">
        <v>49</v>
      </c>
      <c r="I1489" t="s">
        <v>27</v>
      </c>
      <c r="J1489" t="s">
        <v>18</v>
      </c>
      <c r="K1489" s="2">
        <v>26000</v>
      </c>
      <c r="L1489" s="3">
        <v>23.9</v>
      </c>
      <c r="M1489" s="3">
        <v>55.1</v>
      </c>
      <c r="N1489" s="3">
        <v>0</v>
      </c>
      <c r="O1489" s="2">
        <v>188</v>
      </c>
      <c r="P1489">
        <v>1</v>
      </c>
      <c r="Q1489" t="s">
        <v>23</v>
      </c>
      <c r="R1489" s="4">
        <v>248.04</v>
      </c>
      <c r="S1489" s="4">
        <v>0</v>
      </c>
      <c r="T1489" t="s">
        <v>37</v>
      </c>
      <c r="U1489" s="4">
        <v>65.040000000000006</v>
      </c>
      <c r="V1489" s="4">
        <v>9.5399999999999991</v>
      </c>
      <c r="W1489" s="4">
        <v>248.04</v>
      </c>
    </row>
    <row r="1490" spans="1:23" ht="15" customHeight="1" x14ac:dyDescent="0.25">
      <c r="A1490">
        <v>2089</v>
      </c>
      <c r="B1490" s="1">
        <v>45906</v>
      </c>
      <c r="C1490">
        <v>0</v>
      </c>
      <c r="D1490" t="s">
        <v>60</v>
      </c>
      <c r="E1490">
        <v>9</v>
      </c>
      <c r="F1490" t="s">
        <v>39</v>
      </c>
      <c r="G1490" t="s">
        <v>36</v>
      </c>
      <c r="H1490" t="s">
        <v>52</v>
      </c>
      <c r="I1490" t="s">
        <v>13</v>
      </c>
      <c r="J1490" t="s">
        <v>21</v>
      </c>
      <c r="K1490" s="2">
        <v>9800</v>
      </c>
      <c r="L1490" s="3">
        <v>21.2</v>
      </c>
      <c r="M1490" s="3">
        <v>72.900000000000006</v>
      </c>
      <c r="N1490" s="3">
        <v>0</v>
      </c>
      <c r="O1490" s="2">
        <v>329</v>
      </c>
      <c r="P1490">
        <v>0</v>
      </c>
      <c r="Q1490" t="s">
        <v>14</v>
      </c>
      <c r="R1490" s="4">
        <v>94.15</v>
      </c>
      <c r="S1490" s="4">
        <v>0</v>
      </c>
      <c r="T1490" t="s">
        <v>31</v>
      </c>
      <c r="U1490" s="4">
        <v>9.9700000000000006</v>
      </c>
      <c r="V1490" s="4">
        <v>9.6069999999999993</v>
      </c>
      <c r="W1490" s="4">
        <v>94.15</v>
      </c>
    </row>
    <row r="1491" spans="1:23" ht="15" customHeight="1" x14ac:dyDescent="0.25">
      <c r="A1491">
        <v>985</v>
      </c>
      <c r="B1491" s="1">
        <v>45906</v>
      </c>
      <c r="C1491">
        <v>0</v>
      </c>
      <c r="D1491" t="s">
        <v>60</v>
      </c>
      <c r="E1491">
        <v>9</v>
      </c>
      <c r="F1491" t="s">
        <v>39</v>
      </c>
      <c r="G1491" t="s">
        <v>36</v>
      </c>
      <c r="H1491" t="s">
        <v>50</v>
      </c>
      <c r="I1491" t="s">
        <v>22</v>
      </c>
      <c r="J1491" t="s">
        <v>12</v>
      </c>
      <c r="K1491" s="2">
        <v>21000</v>
      </c>
      <c r="L1491" s="3">
        <v>16.7</v>
      </c>
      <c r="M1491" s="3">
        <v>54.8</v>
      </c>
      <c r="N1491" s="3">
        <v>0</v>
      </c>
      <c r="O1491" s="2">
        <v>232</v>
      </c>
      <c r="P1491">
        <v>0</v>
      </c>
      <c r="Q1491" t="s">
        <v>14</v>
      </c>
      <c r="R1491" s="4">
        <v>168.41</v>
      </c>
      <c r="S1491" s="4">
        <v>0</v>
      </c>
      <c r="T1491" t="s">
        <v>31</v>
      </c>
      <c r="U1491" s="4">
        <v>18.02</v>
      </c>
      <c r="V1491" s="4">
        <v>8.02</v>
      </c>
      <c r="W1491" s="4">
        <v>168.41</v>
      </c>
    </row>
    <row r="1492" spans="1:23" ht="15" customHeight="1" x14ac:dyDescent="0.25">
      <c r="A1492">
        <v>617</v>
      </c>
      <c r="B1492" s="1">
        <v>45906</v>
      </c>
      <c r="C1492">
        <v>0</v>
      </c>
      <c r="D1492" t="s">
        <v>60</v>
      </c>
      <c r="E1492">
        <v>9</v>
      </c>
      <c r="F1492" t="s">
        <v>39</v>
      </c>
      <c r="G1492" t="s">
        <v>36</v>
      </c>
      <c r="H1492" t="s">
        <v>54</v>
      </c>
      <c r="I1492" t="s">
        <v>16</v>
      </c>
      <c r="J1492" t="s">
        <v>24</v>
      </c>
      <c r="K1492" s="2">
        <v>8600</v>
      </c>
      <c r="L1492" s="3">
        <v>14.1</v>
      </c>
      <c r="M1492" s="3">
        <v>93.9</v>
      </c>
      <c r="N1492" s="3">
        <v>0</v>
      </c>
      <c r="O1492" s="2">
        <v>0</v>
      </c>
      <c r="P1492">
        <v>0</v>
      </c>
      <c r="Q1492" t="s">
        <v>14</v>
      </c>
      <c r="R1492" s="4">
        <v>12.21</v>
      </c>
      <c r="S1492" s="4">
        <v>0</v>
      </c>
      <c r="T1492" t="s">
        <v>31</v>
      </c>
      <c r="U1492" s="4">
        <v>1.29</v>
      </c>
      <c r="V1492" s="4">
        <v>1.42</v>
      </c>
      <c r="W1492" s="4">
        <v>12.21</v>
      </c>
    </row>
    <row r="1493" spans="1:23" ht="15" customHeight="1" x14ac:dyDescent="0.25">
      <c r="A1493">
        <v>1721</v>
      </c>
      <c r="B1493" s="1">
        <v>45906</v>
      </c>
      <c r="C1493">
        <v>0</v>
      </c>
      <c r="D1493" t="s">
        <v>60</v>
      </c>
      <c r="E1493">
        <v>9</v>
      </c>
      <c r="F1493" t="s">
        <v>39</v>
      </c>
      <c r="G1493" t="s">
        <v>36</v>
      </c>
      <c r="H1493" t="s">
        <v>49</v>
      </c>
      <c r="I1493" t="s">
        <v>27</v>
      </c>
      <c r="J1493" t="s">
        <v>18</v>
      </c>
      <c r="K1493" s="2">
        <v>26000</v>
      </c>
      <c r="L1493" s="3">
        <v>14.9</v>
      </c>
      <c r="M1493" s="3">
        <v>65.599999999999994</v>
      </c>
      <c r="N1493" s="3">
        <v>0</v>
      </c>
      <c r="O1493" s="2">
        <v>37</v>
      </c>
      <c r="P1493">
        <v>1</v>
      </c>
      <c r="Q1493" t="s">
        <v>23</v>
      </c>
      <c r="R1493" s="4">
        <v>75.260000000000005</v>
      </c>
      <c r="S1493" s="4">
        <v>0</v>
      </c>
      <c r="T1493" t="s">
        <v>31</v>
      </c>
      <c r="U1493" s="4">
        <v>8.2100000000000009</v>
      </c>
      <c r="V1493" s="4">
        <v>2.895</v>
      </c>
      <c r="W1493" s="4">
        <v>75.260000000000005</v>
      </c>
    </row>
    <row r="1494" spans="1:23" ht="15" customHeight="1" x14ac:dyDescent="0.25">
      <c r="A1494">
        <v>1353</v>
      </c>
      <c r="B1494" s="1">
        <v>45906</v>
      </c>
      <c r="C1494">
        <v>0</v>
      </c>
      <c r="D1494" t="s">
        <v>60</v>
      </c>
      <c r="E1494">
        <v>9</v>
      </c>
      <c r="F1494" t="s">
        <v>39</v>
      </c>
      <c r="G1494" t="s">
        <v>36</v>
      </c>
      <c r="H1494" t="s">
        <v>51</v>
      </c>
      <c r="I1494" t="s">
        <v>25</v>
      </c>
      <c r="J1494" t="s">
        <v>15</v>
      </c>
      <c r="K1494" s="2">
        <v>17400</v>
      </c>
      <c r="L1494" s="3">
        <v>19.2</v>
      </c>
      <c r="M1494" s="3">
        <v>78.5</v>
      </c>
      <c r="N1494" s="3">
        <v>0</v>
      </c>
      <c r="O1494" s="2">
        <v>93</v>
      </c>
      <c r="P1494">
        <v>0</v>
      </c>
      <c r="Q1494" t="s">
        <v>14</v>
      </c>
      <c r="R1494" s="4">
        <v>47.31</v>
      </c>
      <c r="S1494" s="4">
        <v>0</v>
      </c>
      <c r="T1494" t="s">
        <v>31</v>
      </c>
      <c r="U1494" s="4">
        <v>5.07</v>
      </c>
      <c r="V1494" s="4">
        <v>2.7189999999999999</v>
      </c>
      <c r="W1494" s="4">
        <v>47.31</v>
      </c>
    </row>
    <row r="1495" spans="1:23" ht="15" customHeight="1" x14ac:dyDescent="0.25">
      <c r="A1495">
        <v>249</v>
      </c>
      <c r="B1495" s="1">
        <v>45906</v>
      </c>
      <c r="C1495">
        <v>0</v>
      </c>
      <c r="D1495" t="s">
        <v>60</v>
      </c>
      <c r="E1495">
        <v>9</v>
      </c>
      <c r="F1495" t="s">
        <v>39</v>
      </c>
      <c r="G1495" t="s">
        <v>36</v>
      </c>
      <c r="H1495" t="s">
        <v>53</v>
      </c>
      <c r="I1495" t="s">
        <v>19</v>
      </c>
      <c r="J1495" t="s">
        <v>26</v>
      </c>
      <c r="K1495" s="2">
        <v>12500</v>
      </c>
      <c r="L1495" s="3">
        <v>19.8</v>
      </c>
      <c r="M1495" s="3">
        <v>58</v>
      </c>
      <c r="N1495" s="3">
        <v>0</v>
      </c>
      <c r="O1495" s="2">
        <v>12</v>
      </c>
      <c r="P1495">
        <v>0</v>
      </c>
      <c r="Q1495" t="s">
        <v>14</v>
      </c>
      <c r="R1495" s="4">
        <v>23.66</v>
      </c>
      <c r="S1495" s="4">
        <v>0</v>
      </c>
      <c r="T1495" t="s">
        <v>31</v>
      </c>
      <c r="U1495" s="4">
        <v>2.5299999999999998</v>
      </c>
      <c r="V1495" s="4">
        <v>1.893</v>
      </c>
      <c r="W1495" s="4">
        <v>23.66</v>
      </c>
    </row>
    <row r="1496" spans="1:23" ht="15" customHeight="1" x14ac:dyDescent="0.25">
      <c r="A1496">
        <v>1354</v>
      </c>
      <c r="B1496" s="1">
        <v>45906.333333333343</v>
      </c>
      <c r="C1496">
        <v>8</v>
      </c>
      <c r="D1496" t="s">
        <v>60</v>
      </c>
      <c r="E1496">
        <v>9</v>
      </c>
      <c r="F1496" t="s">
        <v>39</v>
      </c>
      <c r="G1496" t="s">
        <v>36</v>
      </c>
      <c r="H1496" t="s">
        <v>51</v>
      </c>
      <c r="I1496" t="s">
        <v>25</v>
      </c>
      <c r="J1496" t="s">
        <v>15</v>
      </c>
      <c r="K1496" s="2">
        <v>17400</v>
      </c>
      <c r="L1496" s="3"/>
      <c r="M1496" s="3"/>
      <c r="N1496" s="3">
        <v>231.7</v>
      </c>
      <c r="O1496" s="2">
        <v>18</v>
      </c>
      <c r="P1496">
        <v>0</v>
      </c>
      <c r="Q1496" t="s">
        <v>14</v>
      </c>
      <c r="R1496" s="4">
        <v>37.979999999999997</v>
      </c>
      <c r="S1496" s="4">
        <v>25.76</v>
      </c>
      <c r="T1496" t="s">
        <v>31</v>
      </c>
      <c r="U1496" s="4">
        <v>1.34</v>
      </c>
      <c r="V1496" s="4">
        <v>2.1829999999999998</v>
      </c>
      <c r="W1496" s="4">
        <v>12.22</v>
      </c>
    </row>
    <row r="1497" spans="1:23" ht="15" customHeight="1" x14ac:dyDescent="0.25">
      <c r="A1497">
        <v>1722</v>
      </c>
      <c r="B1497" s="1">
        <v>45906.333333333343</v>
      </c>
      <c r="C1497">
        <v>8</v>
      </c>
      <c r="D1497" t="s">
        <v>60</v>
      </c>
      <c r="E1497">
        <v>9</v>
      </c>
      <c r="F1497" t="s">
        <v>39</v>
      </c>
      <c r="G1497" t="s">
        <v>36</v>
      </c>
      <c r="H1497" t="s">
        <v>49</v>
      </c>
      <c r="I1497" t="s">
        <v>27</v>
      </c>
      <c r="J1497" t="s">
        <v>18</v>
      </c>
      <c r="K1497" s="2">
        <v>26000</v>
      </c>
      <c r="L1497" s="3">
        <v>21</v>
      </c>
      <c r="M1497" s="3">
        <v>62</v>
      </c>
      <c r="N1497" s="3">
        <v>213</v>
      </c>
      <c r="O1497" s="2">
        <v>76</v>
      </c>
      <c r="P1497">
        <v>0</v>
      </c>
      <c r="Q1497" t="s">
        <v>14</v>
      </c>
      <c r="R1497" s="4">
        <v>84.59</v>
      </c>
      <c r="S1497" s="4">
        <v>53.28</v>
      </c>
      <c r="T1497" t="s">
        <v>31</v>
      </c>
      <c r="U1497" s="4">
        <v>3.31</v>
      </c>
      <c r="V1497" s="4">
        <v>3.2530000000000001</v>
      </c>
      <c r="W1497" s="4">
        <v>31.31</v>
      </c>
    </row>
    <row r="1498" spans="1:23" ht="15" customHeight="1" x14ac:dyDescent="0.25">
      <c r="A1498">
        <v>250</v>
      </c>
      <c r="B1498" s="1">
        <v>45906.333333333343</v>
      </c>
      <c r="C1498">
        <v>8</v>
      </c>
      <c r="D1498" t="s">
        <v>60</v>
      </c>
      <c r="E1498">
        <v>9</v>
      </c>
      <c r="F1498" t="s">
        <v>39</v>
      </c>
      <c r="G1498" t="s">
        <v>36</v>
      </c>
      <c r="H1498" t="s">
        <v>53</v>
      </c>
      <c r="I1498" t="s">
        <v>19</v>
      </c>
      <c r="J1498" t="s">
        <v>26</v>
      </c>
      <c r="K1498" s="2">
        <v>12500</v>
      </c>
      <c r="L1498" s="3">
        <v>18</v>
      </c>
      <c r="M1498" s="3">
        <v>72.5</v>
      </c>
      <c r="N1498" s="3">
        <v>244.6</v>
      </c>
      <c r="O1498" s="2">
        <v>6</v>
      </c>
      <c r="P1498">
        <v>0</v>
      </c>
      <c r="Q1498" t="s">
        <v>14</v>
      </c>
      <c r="R1498" s="4">
        <v>16.5</v>
      </c>
      <c r="S1498" s="4">
        <v>35.380000000000003</v>
      </c>
      <c r="T1498" t="s">
        <v>31</v>
      </c>
      <c r="U1498" s="4">
        <v>-0.83</v>
      </c>
      <c r="V1498" s="4">
        <v>1.32</v>
      </c>
      <c r="W1498" s="4">
        <v>0</v>
      </c>
    </row>
    <row r="1499" spans="1:23" ht="15" customHeight="1" x14ac:dyDescent="0.25">
      <c r="A1499">
        <v>2090</v>
      </c>
      <c r="B1499" s="1">
        <v>45906.333333333343</v>
      </c>
      <c r="C1499">
        <v>8</v>
      </c>
      <c r="D1499" t="s">
        <v>60</v>
      </c>
      <c r="E1499">
        <v>9</v>
      </c>
      <c r="F1499" t="s">
        <v>39</v>
      </c>
      <c r="G1499" t="s">
        <v>36</v>
      </c>
      <c r="H1499" t="s">
        <v>52</v>
      </c>
      <c r="I1499" t="s">
        <v>13</v>
      </c>
      <c r="J1499" t="s">
        <v>21</v>
      </c>
      <c r="K1499" s="2">
        <v>9800</v>
      </c>
      <c r="L1499" s="3">
        <v>16.5</v>
      </c>
      <c r="M1499" s="3">
        <v>80.599999999999994</v>
      </c>
      <c r="N1499" s="3">
        <v>206</v>
      </c>
      <c r="O1499" s="2">
        <v>123</v>
      </c>
      <c r="P1499">
        <v>0</v>
      </c>
      <c r="Q1499" t="s">
        <v>14</v>
      </c>
      <c r="R1499" s="4">
        <v>28.65</v>
      </c>
      <c r="S1499" s="4">
        <v>0</v>
      </c>
      <c r="T1499" t="s">
        <v>31</v>
      </c>
      <c r="U1499" s="4">
        <v>3.13</v>
      </c>
      <c r="V1499" s="4">
        <v>2.923</v>
      </c>
      <c r="W1499" s="4">
        <v>28.65</v>
      </c>
    </row>
    <row r="1500" spans="1:23" ht="15" customHeight="1" x14ac:dyDescent="0.25">
      <c r="A1500">
        <v>618</v>
      </c>
      <c r="B1500" s="1">
        <v>45906.333333333343</v>
      </c>
      <c r="C1500">
        <v>8</v>
      </c>
      <c r="D1500" t="s">
        <v>60</v>
      </c>
      <c r="E1500">
        <v>9</v>
      </c>
      <c r="F1500" t="s">
        <v>39</v>
      </c>
      <c r="G1500" t="s">
        <v>36</v>
      </c>
      <c r="H1500" t="s">
        <v>54</v>
      </c>
      <c r="I1500" t="s">
        <v>16</v>
      </c>
      <c r="J1500" t="s">
        <v>24</v>
      </c>
      <c r="K1500" s="2">
        <v>8600</v>
      </c>
      <c r="L1500" s="3">
        <v>18.5</v>
      </c>
      <c r="M1500" s="3">
        <v>73.2</v>
      </c>
      <c r="N1500" s="3">
        <v>221.4</v>
      </c>
      <c r="O1500" s="2">
        <v>0</v>
      </c>
      <c r="P1500">
        <v>0</v>
      </c>
      <c r="Q1500" t="s">
        <v>14</v>
      </c>
      <c r="R1500" s="4">
        <v>7.54</v>
      </c>
      <c r="S1500" s="4">
        <v>16.829999999999998</v>
      </c>
      <c r="T1500" t="s">
        <v>31</v>
      </c>
      <c r="U1500" s="4">
        <v>-0.4</v>
      </c>
      <c r="V1500" s="4">
        <v>0.877</v>
      </c>
      <c r="W1500" s="4">
        <v>0</v>
      </c>
    </row>
    <row r="1501" spans="1:23" ht="15" customHeight="1" x14ac:dyDescent="0.25">
      <c r="A1501">
        <v>986</v>
      </c>
      <c r="B1501" s="1">
        <v>45906.333333333343</v>
      </c>
      <c r="C1501">
        <v>8</v>
      </c>
      <c r="D1501" t="s">
        <v>60</v>
      </c>
      <c r="E1501">
        <v>9</v>
      </c>
      <c r="F1501" t="s">
        <v>39</v>
      </c>
      <c r="G1501" t="s">
        <v>36</v>
      </c>
      <c r="H1501" t="s">
        <v>50</v>
      </c>
      <c r="I1501" t="s">
        <v>22</v>
      </c>
      <c r="J1501" t="s">
        <v>12</v>
      </c>
      <c r="K1501" s="2">
        <v>21000</v>
      </c>
      <c r="L1501" s="3">
        <v>25.9</v>
      </c>
      <c r="M1501" s="3">
        <v>43.4</v>
      </c>
      <c r="N1501" s="3">
        <v>182.8</v>
      </c>
      <c r="O1501" s="2">
        <v>409</v>
      </c>
      <c r="P1501">
        <v>1</v>
      </c>
      <c r="Q1501" t="s">
        <v>20</v>
      </c>
      <c r="R1501" s="4"/>
      <c r="S1501" s="4">
        <v>38.58</v>
      </c>
      <c r="T1501" t="s">
        <v>31</v>
      </c>
      <c r="U1501" s="4">
        <v>18.239999999999998</v>
      </c>
      <c r="V1501" s="4"/>
      <c r="W1501" s="4"/>
    </row>
    <row r="1502" spans="1:23" ht="15" customHeight="1" x14ac:dyDescent="0.25">
      <c r="A1502">
        <v>619</v>
      </c>
      <c r="B1502" s="1">
        <v>45906.583333333343</v>
      </c>
      <c r="C1502">
        <v>14</v>
      </c>
      <c r="D1502" t="s">
        <v>60</v>
      </c>
      <c r="E1502">
        <v>9</v>
      </c>
      <c r="F1502" t="s">
        <v>39</v>
      </c>
      <c r="G1502" t="s">
        <v>36</v>
      </c>
      <c r="H1502" t="s">
        <v>54</v>
      </c>
      <c r="I1502" t="s">
        <v>16</v>
      </c>
      <c r="J1502" t="s">
        <v>24</v>
      </c>
      <c r="K1502" s="2">
        <v>8600</v>
      </c>
      <c r="L1502" s="3">
        <v>20.7</v>
      </c>
      <c r="M1502" s="3">
        <v>77.099999999999994</v>
      </c>
      <c r="N1502" s="3">
        <v>572.20000000000005</v>
      </c>
      <c r="O1502" s="2">
        <v>0</v>
      </c>
      <c r="P1502">
        <v>0</v>
      </c>
      <c r="Q1502" t="s">
        <v>14</v>
      </c>
      <c r="R1502" s="4">
        <v>7.17</v>
      </c>
      <c r="S1502" s="4">
        <v>43.83</v>
      </c>
      <c r="T1502" t="s">
        <v>31</v>
      </c>
      <c r="U1502" s="4">
        <v>-1.53</v>
      </c>
      <c r="V1502" s="4">
        <v>0.83399999999999996</v>
      </c>
      <c r="W1502" s="4">
        <v>0</v>
      </c>
    </row>
    <row r="1503" spans="1:23" ht="15" customHeight="1" x14ac:dyDescent="0.25">
      <c r="A1503">
        <v>987</v>
      </c>
      <c r="B1503" s="1">
        <v>45906.583333333343</v>
      </c>
      <c r="C1503">
        <v>14</v>
      </c>
      <c r="D1503" t="s">
        <v>60</v>
      </c>
      <c r="E1503">
        <v>9</v>
      </c>
      <c r="F1503" t="s">
        <v>39</v>
      </c>
      <c r="G1503" t="s">
        <v>36</v>
      </c>
      <c r="H1503" t="s">
        <v>50</v>
      </c>
      <c r="I1503" t="s">
        <v>22</v>
      </c>
      <c r="J1503" t="s">
        <v>12</v>
      </c>
      <c r="K1503" s="2">
        <v>21000</v>
      </c>
      <c r="L1503" s="3">
        <v>31.7</v>
      </c>
      <c r="M1503" s="3">
        <v>65.3</v>
      </c>
      <c r="N1503" s="3">
        <v>642.70000000000005</v>
      </c>
      <c r="O1503" s="2">
        <v>409</v>
      </c>
      <c r="P1503">
        <v>1</v>
      </c>
      <c r="Q1503" t="s">
        <v>20</v>
      </c>
      <c r="R1503" s="4">
        <v>220.73</v>
      </c>
      <c r="S1503" s="4">
        <v>120.05</v>
      </c>
      <c r="T1503" t="s">
        <v>31</v>
      </c>
      <c r="U1503" s="4">
        <v>10.49</v>
      </c>
      <c r="V1503" s="4">
        <v>10.510999999999999</v>
      </c>
      <c r="W1503" s="4">
        <v>100.68</v>
      </c>
    </row>
    <row r="1504" spans="1:23" ht="15" customHeight="1" x14ac:dyDescent="0.25">
      <c r="A1504">
        <v>1723</v>
      </c>
      <c r="B1504" s="1">
        <v>45906.583333333343</v>
      </c>
      <c r="C1504">
        <v>14</v>
      </c>
      <c r="D1504" t="s">
        <v>60</v>
      </c>
      <c r="E1504">
        <v>9</v>
      </c>
      <c r="F1504" t="s">
        <v>39</v>
      </c>
      <c r="G1504" t="s">
        <v>36</v>
      </c>
      <c r="H1504" t="s">
        <v>49</v>
      </c>
      <c r="I1504" t="s">
        <v>27</v>
      </c>
      <c r="J1504" t="s">
        <v>18</v>
      </c>
      <c r="K1504" s="2">
        <v>26000</v>
      </c>
      <c r="L1504" s="3">
        <v>26.2</v>
      </c>
      <c r="M1504" s="3">
        <v>41.9</v>
      </c>
      <c r="N1504" s="3">
        <v>798.3</v>
      </c>
      <c r="O1504" s="2">
        <v>60</v>
      </c>
      <c r="P1504">
        <v>1</v>
      </c>
      <c r="Q1504" t="s">
        <v>20</v>
      </c>
      <c r="R1504" s="4">
        <v>94.08</v>
      </c>
      <c r="S1504" s="4">
        <v>218.74</v>
      </c>
      <c r="T1504" t="s">
        <v>31</v>
      </c>
      <c r="U1504" s="4">
        <v>-5.47</v>
      </c>
      <c r="V1504" s="4">
        <v>3.6179999999999999</v>
      </c>
      <c r="W1504" s="4">
        <v>0</v>
      </c>
    </row>
    <row r="1505" spans="1:23" ht="15" customHeight="1" x14ac:dyDescent="0.25">
      <c r="A1505">
        <v>1355</v>
      </c>
      <c r="B1505" s="1">
        <v>45906.583333333343</v>
      </c>
      <c r="C1505">
        <v>14</v>
      </c>
      <c r="D1505" t="s">
        <v>60</v>
      </c>
      <c r="E1505">
        <v>9</v>
      </c>
      <c r="F1505" t="s">
        <v>39</v>
      </c>
      <c r="G1505" t="s">
        <v>36</v>
      </c>
      <c r="H1505" t="s">
        <v>51</v>
      </c>
      <c r="I1505" t="s">
        <v>25</v>
      </c>
      <c r="J1505" t="s">
        <v>15</v>
      </c>
      <c r="K1505" s="2">
        <v>17400</v>
      </c>
      <c r="L1505" s="3">
        <v>28.2</v>
      </c>
      <c r="M1505" s="3">
        <v>54.1</v>
      </c>
      <c r="N1505" s="3">
        <v>677.8</v>
      </c>
      <c r="O1505" s="2">
        <v>1633</v>
      </c>
      <c r="P1505">
        <v>1</v>
      </c>
      <c r="Q1505" t="s">
        <v>20</v>
      </c>
      <c r="R1505" s="4">
        <v>245.64</v>
      </c>
      <c r="S1505" s="4">
        <v>82.12</v>
      </c>
      <c r="T1505" t="s">
        <v>31</v>
      </c>
      <c r="U1505" s="4">
        <v>17.48</v>
      </c>
      <c r="V1505" s="4">
        <v>14.117000000000001</v>
      </c>
      <c r="W1505" s="4">
        <v>163.52000000000001</v>
      </c>
    </row>
    <row r="1506" spans="1:23" ht="15" customHeight="1" x14ac:dyDescent="0.25">
      <c r="A1506">
        <v>2091</v>
      </c>
      <c r="B1506" s="1">
        <v>45906.583333333343</v>
      </c>
      <c r="C1506">
        <v>14</v>
      </c>
      <c r="D1506" t="s">
        <v>60</v>
      </c>
      <c r="E1506">
        <v>9</v>
      </c>
      <c r="F1506" t="s">
        <v>39</v>
      </c>
      <c r="G1506" t="s">
        <v>36</v>
      </c>
      <c r="H1506" t="s">
        <v>52</v>
      </c>
      <c r="I1506" t="s">
        <v>13</v>
      </c>
      <c r="J1506" t="s">
        <v>21</v>
      </c>
      <c r="K1506" s="2">
        <v>9800</v>
      </c>
      <c r="L1506" s="3">
        <v>23</v>
      </c>
      <c r="M1506" s="3">
        <v>72.5</v>
      </c>
      <c r="N1506" s="3">
        <v>682.4</v>
      </c>
      <c r="O1506" s="2">
        <v>118</v>
      </c>
      <c r="P1506">
        <v>0</v>
      </c>
      <c r="Q1506" t="s">
        <v>14</v>
      </c>
      <c r="R1506" s="4">
        <v>25.52</v>
      </c>
      <c r="S1506" s="4">
        <v>0</v>
      </c>
      <c r="T1506" t="s">
        <v>31</v>
      </c>
      <c r="U1506" s="4">
        <v>2.72</v>
      </c>
      <c r="V1506" s="4">
        <v>2.6040000000000001</v>
      </c>
      <c r="W1506" s="4">
        <v>25.52</v>
      </c>
    </row>
    <row r="1507" spans="1:23" ht="15" customHeight="1" x14ac:dyDescent="0.25">
      <c r="A1507">
        <v>251</v>
      </c>
      <c r="B1507" s="1">
        <v>45906.583333333343</v>
      </c>
      <c r="C1507">
        <v>14</v>
      </c>
      <c r="D1507" t="s">
        <v>60</v>
      </c>
      <c r="E1507">
        <v>9</v>
      </c>
      <c r="F1507" t="s">
        <v>39</v>
      </c>
      <c r="G1507" t="s">
        <v>36</v>
      </c>
      <c r="H1507" t="s">
        <v>53</v>
      </c>
      <c r="I1507" t="s">
        <v>19</v>
      </c>
      <c r="J1507" t="s">
        <v>26</v>
      </c>
      <c r="K1507" s="2">
        <v>12500</v>
      </c>
      <c r="L1507" s="3">
        <v>29</v>
      </c>
      <c r="M1507" s="3">
        <v>40.799999999999997</v>
      </c>
      <c r="N1507" s="3">
        <v>806.3</v>
      </c>
      <c r="O1507" s="2">
        <v>39</v>
      </c>
      <c r="P1507">
        <v>0</v>
      </c>
      <c r="Q1507" t="s">
        <v>14</v>
      </c>
      <c r="R1507" s="4">
        <v>16.53</v>
      </c>
      <c r="S1507" s="4">
        <v>109.51</v>
      </c>
      <c r="T1507" t="s">
        <v>31</v>
      </c>
      <c r="U1507" s="4">
        <v>-4.04</v>
      </c>
      <c r="V1507" s="4">
        <v>1.3220000000000001</v>
      </c>
      <c r="W1507" s="4">
        <v>0</v>
      </c>
    </row>
    <row r="1508" spans="1:23" ht="15" customHeight="1" x14ac:dyDescent="0.25">
      <c r="A1508">
        <v>1356</v>
      </c>
      <c r="B1508" s="1">
        <v>45906.833333333343</v>
      </c>
      <c r="C1508">
        <v>20</v>
      </c>
      <c r="D1508" t="s">
        <v>60</v>
      </c>
      <c r="E1508">
        <v>9</v>
      </c>
      <c r="F1508" t="s">
        <v>39</v>
      </c>
      <c r="G1508" t="s">
        <v>36</v>
      </c>
      <c r="H1508" t="s">
        <v>51</v>
      </c>
      <c r="I1508" t="s">
        <v>25</v>
      </c>
      <c r="J1508" t="s">
        <v>15</v>
      </c>
      <c r="K1508" s="2">
        <v>17400</v>
      </c>
      <c r="L1508" s="3">
        <v>22.3</v>
      </c>
      <c r="M1508" s="3">
        <v>67.7</v>
      </c>
      <c r="N1508" s="3">
        <v>0</v>
      </c>
      <c r="O1508" s="2">
        <v>1558</v>
      </c>
      <c r="P1508">
        <v>0</v>
      </c>
      <c r="Q1508" t="s">
        <v>14</v>
      </c>
      <c r="R1508" s="4">
        <v>322.39999999999998</v>
      </c>
      <c r="S1508" s="4">
        <v>0</v>
      </c>
      <c r="T1508" t="s">
        <v>31</v>
      </c>
      <c r="U1508" s="4">
        <v>34.92</v>
      </c>
      <c r="V1508" s="4">
        <v>18.529</v>
      </c>
      <c r="W1508" s="4">
        <v>322.39999999999998</v>
      </c>
    </row>
    <row r="1509" spans="1:23" ht="15" customHeight="1" x14ac:dyDescent="0.25">
      <c r="A1509">
        <v>988</v>
      </c>
      <c r="B1509" s="1">
        <v>45906.833333333343</v>
      </c>
      <c r="C1509">
        <v>20</v>
      </c>
      <c r="D1509" t="s">
        <v>60</v>
      </c>
      <c r="E1509">
        <v>9</v>
      </c>
      <c r="F1509" t="s">
        <v>39</v>
      </c>
      <c r="G1509" t="s">
        <v>36</v>
      </c>
      <c r="H1509" t="s">
        <v>50</v>
      </c>
      <c r="I1509" t="s">
        <v>22</v>
      </c>
      <c r="J1509" t="s">
        <v>12</v>
      </c>
      <c r="K1509" s="2">
        <v>21000</v>
      </c>
      <c r="L1509" s="3">
        <v>22</v>
      </c>
      <c r="M1509" s="3">
        <v>59.5</v>
      </c>
      <c r="N1509" s="3">
        <v>0</v>
      </c>
      <c r="O1509" s="2">
        <v>435</v>
      </c>
      <c r="P1509">
        <v>0</v>
      </c>
      <c r="Q1509" t="s">
        <v>14</v>
      </c>
      <c r="R1509" s="4">
        <v>283</v>
      </c>
      <c r="S1509" s="4">
        <v>0</v>
      </c>
      <c r="T1509" t="s">
        <v>31</v>
      </c>
      <c r="U1509" s="4">
        <v>31.64</v>
      </c>
      <c r="V1509" s="4">
        <v>13.476000000000001</v>
      </c>
      <c r="W1509" s="4">
        <v>283</v>
      </c>
    </row>
    <row r="1510" spans="1:23" ht="15" customHeight="1" x14ac:dyDescent="0.25">
      <c r="A1510">
        <v>1724</v>
      </c>
      <c r="B1510" s="1">
        <v>45906.833333333343</v>
      </c>
      <c r="C1510">
        <v>20</v>
      </c>
      <c r="D1510" t="s">
        <v>60</v>
      </c>
      <c r="E1510">
        <v>9</v>
      </c>
      <c r="F1510" t="s">
        <v>39</v>
      </c>
      <c r="G1510" t="s">
        <v>36</v>
      </c>
      <c r="H1510" t="s">
        <v>49</v>
      </c>
      <c r="I1510" t="s">
        <v>27</v>
      </c>
      <c r="J1510" t="s">
        <v>18</v>
      </c>
      <c r="K1510" s="2">
        <v>26000</v>
      </c>
      <c r="L1510" s="3">
        <v>22.1</v>
      </c>
      <c r="M1510" s="3">
        <v>53.4</v>
      </c>
      <c r="N1510" s="3">
        <v>0</v>
      </c>
      <c r="O1510" s="2">
        <v>72</v>
      </c>
      <c r="P1510">
        <v>0</v>
      </c>
      <c r="Q1510" t="s">
        <v>14</v>
      </c>
      <c r="R1510" s="4">
        <v>123.51</v>
      </c>
      <c r="S1510" s="4">
        <v>0</v>
      </c>
      <c r="T1510" t="s">
        <v>31</v>
      </c>
      <c r="U1510" s="4">
        <v>12.82</v>
      </c>
      <c r="V1510" s="4">
        <v>4.75</v>
      </c>
      <c r="W1510" s="4">
        <v>123.51</v>
      </c>
    </row>
    <row r="1511" spans="1:23" ht="15" customHeight="1" x14ac:dyDescent="0.25">
      <c r="A1511">
        <v>252</v>
      </c>
      <c r="B1511" s="1">
        <v>45906.833333333343</v>
      </c>
      <c r="C1511">
        <v>20</v>
      </c>
      <c r="D1511" t="s">
        <v>60</v>
      </c>
      <c r="E1511">
        <v>9</v>
      </c>
      <c r="F1511" t="s">
        <v>39</v>
      </c>
      <c r="G1511" t="s">
        <v>36</v>
      </c>
      <c r="H1511" t="s">
        <v>53</v>
      </c>
      <c r="I1511" t="s">
        <v>19</v>
      </c>
      <c r="J1511" t="s">
        <v>26</v>
      </c>
      <c r="K1511" s="2">
        <v>12500</v>
      </c>
      <c r="L1511" s="3">
        <v>22.2</v>
      </c>
      <c r="M1511" s="3">
        <v>45.5</v>
      </c>
      <c r="N1511" s="3">
        <v>0</v>
      </c>
      <c r="O1511" s="2">
        <v>0</v>
      </c>
      <c r="P1511">
        <v>0</v>
      </c>
      <c r="Q1511" t="s">
        <v>14</v>
      </c>
      <c r="R1511" s="4">
        <v>22.36</v>
      </c>
      <c r="S1511" s="4">
        <v>0</v>
      </c>
      <c r="T1511" t="s">
        <v>31</v>
      </c>
      <c r="U1511" s="4">
        <v>2.35</v>
      </c>
      <c r="V1511" s="4">
        <v>1.7889999999999999</v>
      </c>
      <c r="W1511" s="4">
        <v>22.36</v>
      </c>
    </row>
    <row r="1512" spans="1:23" ht="15" customHeight="1" x14ac:dyDescent="0.25">
      <c r="A1512">
        <v>2092</v>
      </c>
      <c r="B1512" s="1">
        <v>45906.833333333343</v>
      </c>
      <c r="C1512">
        <v>20</v>
      </c>
      <c r="D1512" t="s">
        <v>60</v>
      </c>
      <c r="E1512">
        <v>9</v>
      </c>
      <c r="F1512" t="s">
        <v>39</v>
      </c>
      <c r="G1512" t="s">
        <v>36</v>
      </c>
      <c r="H1512" t="s">
        <v>52</v>
      </c>
      <c r="I1512" t="s">
        <v>13</v>
      </c>
      <c r="J1512" t="s">
        <v>21</v>
      </c>
      <c r="K1512" s="2">
        <v>9800</v>
      </c>
      <c r="L1512" s="3">
        <v>21.1</v>
      </c>
      <c r="M1512" s="3">
        <v>62.4</v>
      </c>
      <c r="N1512" s="3">
        <v>0</v>
      </c>
      <c r="O1512" s="2">
        <v>328</v>
      </c>
      <c r="P1512">
        <v>0</v>
      </c>
      <c r="Q1512" t="s">
        <v>14</v>
      </c>
      <c r="R1512" s="4">
        <v>103</v>
      </c>
      <c r="S1512" s="4">
        <v>0</v>
      </c>
      <c r="T1512" t="s">
        <v>31</v>
      </c>
      <c r="U1512" s="4">
        <v>10.8</v>
      </c>
      <c r="V1512" s="4">
        <v>10.51</v>
      </c>
      <c r="W1512" s="4">
        <v>103</v>
      </c>
    </row>
    <row r="1513" spans="1:23" ht="15" customHeight="1" x14ac:dyDescent="0.25">
      <c r="A1513">
        <v>620</v>
      </c>
      <c r="B1513" s="1">
        <v>45906.833333333343</v>
      </c>
      <c r="C1513">
        <v>20</v>
      </c>
      <c r="D1513" t="s">
        <v>60</v>
      </c>
      <c r="E1513">
        <v>9</v>
      </c>
      <c r="F1513" t="s">
        <v>39</v>
      </c>
      <c r="G1513" t="s">
        <v>36</v>
      </c>
      <c r="H1513" t="s">
        <v>54</v>
      </c>
      <c r="I1513" t="s">
        <v>16</v>
      </c>
      <c r="J1513" t="s">
        <v>24</v>
      </c>
      <c r="K1513" s="2">
        <v>8600</v>
      </c>
      <c r="L1513" s="3">
        <v>19.7</v>
      </c>
      <c r="M1513" s="3">
        <v>71.599999999999994</v>
      </c>
      <c r="N1513" s="3">
        <v>0</v>
      </c>
      <c r="O1513" s="2">
        <v>0</v>
      </c>
      <c r="P1513">
        <v>0</v>
      </c>
      <c r="Q1513" t="s">
        <v>14</v>
      </c>
      <c r="R1513" s="4">
        <v>12.13</v>
      </c>
      <c r="S1513" s="4">
        <v>0</v>
      </c>
      <c r="T1513" t="s">
        <v>31</v>
      </c>
      <c r="U1513" s="4">
        <v>1.33</v>
      </c>
      <c r="V1513" s="4">
        <v>1.41</v>
      </c>
      <c r="W1513" s="4">
        <v>12.13</v>
      </c>
    </row>
    <row r="1514" spans="1:23" ht="15" customHeight="1" x14ac:dyDescent="0.25">
      <c r="A1514">
        <v>1725</v>
      </c>
      <c r="B1514" s="1">
        <v>45910</v>
      </c>
      <c r="C1514">
        <v>0</v>
      </c>
      <c r="D1514" t="s">
        <v>48</v>
      </c>
      <c r="E1514">
        <v>9</v>
      </c>
      <c r="F1514" t="s">
        <v>39</v>
      </c>
      <c r="G1514" t="s">
        <v>33</v>
      </c>
      <c r="H1514" t="s">
        <v>49</v>
      </c>
      <c r="I1514" t="s">
        <v>27</v>
      </c>
      <c r="J1514" t="s">
        <v>18</v>
      </c>
      <c r="K1514" s="2">
        <v>26000</v>
      </c>
      <c r="L1514" s="3">
        <v>16.2</v>
      </c>
      <c r="M1514" s="3">
        <v>60.4</v>
      </c>
      <c r="N1514" s="3">
        <v>0</v>
      </c>
      <c r="O1514" s="2">
        <v>65</v>
      </c>
      <c r="P1514">
        <v>0</v>
      </c>
      <c r="Q1514" t="s">
        <v>14</v>
      </c>
      <c r="R1514" s="4">
        <v>114.72</v>
      </c>
      <c r="S1514" s="4">
        <v>0</v>
      </c>
      <c r="T1514" t="s">
        <v>31</v>
      </c>
      <c r="U1514" s="4">
        <v>12.39</v>
      </c>
      <c r="V1514" s="4">
        <v>4.4119999999999999</v>
      </c>
      <c r="W1514" s="4">
        <v>114.72</v>
      </c>
    </row>
    <row r="1515" spans="1:23" ht="15" customHeight="1" x14ac:dyDescent="0.25">
      <c r="A1515">
        <v>2093</v>
      </c>
      <c r="B1515" s="1">
        <v>45910</v>
      </c>
      <c r="C1515">
        <v>0</v>
      </c>
      <c r="D1515" t="s">
        <v>48</v>
      </c>
      <c r="E1515">
        <v>9</v>
      </c>
      <c r="F1515" t="s">
        <v>39</v>
      </c>
      <c r="G1515" t="s">
        <v>33</v>
      </c>
      <c r="H1515" t="s">
        <v>52</v>
      </c>
      <c r="I1515" t="s">
        <v>13</v>
      </c>
      <c r="J1515" t="s">
        <v>21</v>
      </c>
      <c r="K1515" s="2">
        <v>9800</v>
      </c>
      <c r="L1515" s="3">
        <v>14.4</v>
      </c>
      <c r="M1515" s="3">
        <v>82.6</v>
      </c>
      <c r="N1515" s="3">
        <v>0</v>
      </c>
      <c r="O1515" s="2">
        <v>265</v>
      </c>
      <c r="P1515">
        <v>1</v>
      </c>
      <c r="Q1515" t="s">
        <v>17</v>
      </c>
      <c r="R1515" s="4">
        <v>95.36</v>
      </c>
      <c r="S1515" s="4">
        <v>0</v>
      </c>
      <c r="T1515" t="s">
        <v>31</v>
      </c>
      <c r="U1515" s="4">
        <v>10.220000000000001</v>
      </c>
      <c r="V1515" s="4">
        <v>9.7309999999999999</v>
      </c>
      <c r="W1515" s="4">
        <v>95.36</v>
      </c>
    </row>
    <row r="1516" spans="1:23" ht="15" customHeight="1" x14ac:dyDescent="0.25">
      <c r="A1516">
        <v>621</v>
      </c>
      <c r="B1516" s="1">
        <v>45910</v>
      </c>
      <c r="C1516">
        <v>0</v>
      </c>
      <c r="D1516" t="s">
        <v>48</v>
      </c>
      <c r="E1516">
        <v>9</v>
      </c>
      <c r="F1516" t="s">
        <v>39</v>
      </c>
      <c r="G1516" t="s">
        <v>33</v>
      </c>
      <c r="H1516" t="s">
        <v>54</v>
      </c>
      <c r="I1516" t="s">
        <v>16</v>
      </c>
      <c r="J1516" t="s">
        <v>24</v>
      </c>
      <c r="K1516" s="2">
        <v>8600</v>
      </c>
      <c r="L1516" s="3">
        <v>16.5</v>
      </c>
      <c r="M1516" s="3">
        <v>86.2</v>
      </c>
      <c r="N1516" s="3">
        <v>0</v>
      </c>
      <c r="O1516" s="2">
        <v>93</v>
      </c>
      <c r="P1516">
        <v>0</v>
      </c>
      <c r="Q1516" t="s">
        <v>14</v>
      </c>
      <c r="R1516" s="4">
        <v>22.59</v>
      </c>
      <c r="S1516" s="4">
        <v>0</v>
      </c>
      <c r="T1516" t="s">
        <v>31</v>
      </c>
      <c r="U1516" s="4">
        <v>2.41</v>
      </c>
      <c r="V1516" s="4">
        <v>2.6269999999999998</v>
      </c>
      <c r="W1516" s="4">
        <v>22.59</v>
      </c>
    </row>
    <row r="1517" spans="1:23" ht="15" customHeight="1" x14ac:dyDescent="0.25">
      <c r="A1517">
        <v>1357</v>
      </c>
      <c r="B1517" s="1">
        <v>45910</v>
      </c>
      <c r="C1517">
        <v>0</v>
      </c>
      <c r="D1517" t="s">
        <v>48</v>
      </c>
      <c r="E1517">
        <v>9</v>
      </c>
      <c r="F1517" t="s">
        <v>39</v>
      </c>
      <c r="G1517" t="s">
        <v>33</v>
      </c>
      <c r="H1517" t="s">
        <v>51</v>
      </c>
      <c r="I1517" t="s">
        <v>25</v>
      </c>
      <c r="J1517" t="s">
        <v>15</v>
      </c>
      <c r="K1517" s="2">
        <v>17400</v>
      </c>
      <c r="L1517" s="3">
        <v>17.3</v>
      </c>
      <c r="M1517" s="3">
        <v>76.400000000000006</v>
      </c>
      <c r="N1517" s="3">
        <v>0</v>
      </c>
      <c r="O1517" s="2">
        <v>158</v>
      </c>
      <c r="P1517">
        <v>0</v>
      </c>
      <c r="Q1517" t="s">
        <v>14</v>
      </c>
      <c r="R1517" s="4">
        <v>53.68</v>
      </c>
      <c r="S1517" s="4">
        <v>0</v>
      </c>
      <c r="T1517" t="s">
        <v>31</v>
      </c>
      <c r="U1517" s="4">
        <v>5.68</v>
      </c>
      <c r="V1517" s="4">
        <v>3.085</v>
      </c>
      <c r="W1517" s="4">
        <v>53.68</v>
      </c>
    </row>
    <row r="1518" spans="1:23" ht="15" customHeight="1" x14ac:dyDescent="0.25">
      <c r="A1518">
        <v>989</v>
      </c>
      <c r="B1518" s="1">
        <v>45910</v>
      </c>
      <c r="C1518">
        <v>0</v>
      </c>
      <c r="D1518" t="s">
        <v>48</v>
      </c>
      <c r="E1518">
        <v>9</v>
      </c>
      <c r="F1518" t="s">
        <v>39</v>
      </c>
      <c r="G1518" t="s">
        <v>33</v>
      </c>
      <c r="H1518" t="s">
        <v>50</v>
      </c>
      <c r="I1518" t="s">
        <v>22</v>
      </c>
      <c r="J1518" t="s">
        <v>12</v>
      </c>
      <c r="K1518" s="2">
        <v>21000</v>
      </c>
      <c r="L1518" s="3">
        <v>20.399999999999999</v>
      </c>
      <c r="M1518" s="3">
        <v>64.8</v>
      </c>
      <c r="N1518" s="3">
        <v>0</v>
      </c>
      <c r="O1518" s="2">
        <v>249</v>
      </c>
      <c r="P1518">
        <v>0</v>
      </c>
      <c r="Q1518" t="s">
        <v>14</v>
      </c>
      <c r="R1518" s="4">
        <v>181.1</v>
      </c>
      <c r="S1518" s="4">
        <v>0</v>
      </c>
      <c r="T1518" t="s">
        <v>31</v>
      </c>
      <c r="U1518" s="4">
        <v>19.489999999999998</v>
      </c>
      <c r="V1518" s="4">
        <v>8.6240000000000006</v>
      </c>
      <c r="W1518" s="4">
        <v>181.1</v>
      </c>
    </row>
    <row r="1519" spans="1:23" ht="15" customHeight="1" x14ac:dyDescent="0.25">
      <c r="A1519">
        <v>253</v>
      </c>
      <c r="B1519" s="1">
        <v>45910</v>
      </c>
      <c r="C1519">
        <v>0</v>
      </c>
      <c r="D1519" t="s">
        <v>48</v>
      </c>
      <c r="E1519">
        <v>9</v>
      </c>
      <c r="F1519" t="s">
        <v>39</v>
      </c>
      <c r="G1519" t="s">
        <v>33</v>
      </c>
      <c r="H1519" t="s">
        <v>53</v>
      </c>
      <c r="I1519" t="s">
        <v>19</v>
      </c>
      <c r="J1519" t="s">
        <v>26</v>
      </c>
      <c r="K1519" s="2">
        <v>12500</v>
      </c>
      <c r="L1519" s="3">
        <v>14.4</v>
      </c>
      <c r="M1519" s="3">
        <v>52.8</v>
      </c>
      <c r="N1519" s="3">
        <v>0</v>
      </c>
      <c r="O1519" s="2">
        <v>31</v>
      </c>
      <c r="P1519">
        <v>0</v>
      </c>
      <c r="Q1519" t="s">
        <v>14</v>
      </c>
      <c r="R1519" s="4">
        <v>24.07</v>
      </c>
      <c r="S1519" s="4">
        <v>0</v>
      </c>
      <c r="T1519" t="s">
        <v>31</v>
      </c>
      <c r="U1519" s="4">
        <v>2.59</v>
      </c>
      <c r="V1519" s="4">
        <v>1.9259999999999999</v>
      </c>
      <c r="W1519" s="4">
        <v>24.07</v>
      </c>
    </row>
    <row r="1520" spans="1:23" ht="15" customHeight="1" x14ac:dyDescent="0.25">
      <c r="A1520">
        <v>990</v>
      </c>
      <c r="B1520" s="1">
        <v>45910.333333333343</v>
      </c>
      <c r="C1520">
        <v>8</v>
      </c>
      <c r="D1520" t="s">
        <v>48</v>
      </c>
      <c r="E1520">
        <v>9</v>
      </c>
      <c r="F1520" t="s">
        <v>39</v>
      </c>
      <c r="G1520" t="s">
        <v>33</v>
      </c>
      <c r="H1520" t="s">
        <v>50</v>
      </c>
      <c r="I1520" t="s">
        <v>22</v>
      </c>
      <c r="J1520" t="s">
        <v>12</v>
      </c>
      <c r="K1520" s="2">
        <v>21000</v>
      </c>
      <c r="L1520" s="3">
        <v>23.4</v>
      </c>
      <c r="M1520" s="3">
        <v>52.2</v>
      </c>
      <c r="N1520" s="3">
        <v>253.7</v>
      </c>
      <c r="O1520" s="2">
        <v>360</v>
      </c>
      <c r="P1520">
        <v>1</v>
      </c>
      <c r="Q1520" t="s">
        <v>23</v>
      </c>
      <c r="R1520" s="4">
        <v>178.38</v>
      </c>
      <c r="S1520" s="4">
        <v>53.96</v>
      </c>
      <c r="T1520" t="s">
        <v>34</v>
      </c>
      <c r="U1520" s="4">
        <v>20.7</v>
      </c>
      <c r="V1520" s="4">
        <v>8.4939999999999998</v>
      </c>
      <c r="W1520" s="4">
        <v>124.42</v>
      </c>
    </row>
    <row r="1521" spans="1:23" ht="15" customHeight="1" x14ac:dyDescent="0.25">
      <c r="A1521">
        <v>1726</v>
      </c>
      <c r="B1521" s="1">
        <v>45910.333333333343</v>
      </c>
      <c r="C1521">
        <v>8</v>
      </c>
      <c r="D1521" t="s">
        <v>48</v>
      </c>
      <c r="E1521">
        <v>9</v>
      </c>
      <c r="F1521" t="s">
        <v>39</v>
      </c>
      <c r="G1521" t="s">
        <v>33</v>
      </c>
      <c r="H1521" t="s">
        <v>49</v>
      </c>
      <c r="I1521" t="s">
        <v>27</v>
      </c>
      <c r="J1521" t="s">
        <v>18</v>
      </c>
      <c r="K1521" s="2">
        <v>26000</v>
      </c>
      <c r="L1521" s="3">
        <v>21.3</v>
      </c>
      <c r="M1521" s="3">
        <v>57.2</v>
      </c>
      <c r="N1521" s="3">
        <v>247.7</v>
      </c>
      <c r="O1521" s="2">
        <v>174</v>
      </c>
      <c r="P1521">
        <v>0</v>
      </c>
      <c r="Q1521" t="s">
        <v>14</v>
      </c>
      <c r="R1521" s="4">
        <v>153.15</v>
      </c>
      <c r="S1521" s="4">
        <v>63.62</v>
      </c>
      <c r="T1521" t="s">
        <v>34</v>
      </c>
      <c r="U1521" s="4">
        <v>15.38</v>
      </c>
      <c r="V1521" s="4">
        <v>5.89</v>
      </c>
      <c r="W1521" s="4">
        <v>89.53</v>
      </c>
    </row>
    <row r="1522" spans="1:23" ht="15" customHeight="1" x14ac:dyDescent="0.25">
      <c r="A1522">
        <v>2094</v>
      </c>
      <c r="B1522" s="1">
        <v>45910.333333333343</v>
      </c>
      <c r="C1522">
        <v>8</v>
      </c>
      <c r="D1522" t="s">
        <v>48</v>
      </c>
      <c r="E1522">
        <v>9</v>
      </c>
      <c r="F1522" t="s">
        <v>39</v>
      </c>
      <c r="G1522" t="s">
        <v>33</v>
      </c>
      <c r="H1522" t="s">
        <v>52</v>
      </c>
      <c r="I1522" t="s">
        <v>13</v>
      </c>
      <c r="J1522" t="s">
        <v>21</v>
      </c>
      <c r="K1522" s="2">
        <v>9800</v>
      </c>
      <c r="L1522" s="3">
        <v>19.2</v>
      </c>
      <c r="M1522" s="3">
        <v>78.5</v>
      </c>
      <c r="N1522" s="3">
        <v>145.5</v>
      </c>
      <c r="O1522" s="2">
        <v>54</v>
      </c>
      <c r="P1522">
        <v>0</v>
      </c>
      <c r="Q1522" t="s">
        <v>14</v>
      </c>
      <c r="R1522" s="4">
        <v>17.670000000000002</v>
      </c>
      <c r="S1522" s="4">
        <v>0</v>
      </c>
      <c r="T1522" t="s">
        <v>34</v>
      </c>
      <c r="U1522" s="4">
        <v>3.1</v>
      </c>
      <c r="V1522" s="4">
        <v>1.8029999999999999</v>
      </c>
      <c r="W1522" s="4">
        <v>17.670000000000002</v>
      </c>
    </row>
    <row r="1523" spans="1:23" ht="15" customHeight="1" x14ac:dyDescent="0.25">
      <c r="A1523">
        <v>622</v>
      </c>
      <c r="B1523" s="1">
        <v>45910.333333333343</v>
      </c>
      <c r="C1523">
        <v>8</v>
      </c>
      <c r="D1523" t="s">
        <v>48</v>
      </c>
      <c r="E1523">
        <v>9</v>
      </c>
      <c r="F1523" t="s">
        <v>39</v>
      </c>
      <c r="G1523" t="s">
        <v>33</v>
      </c>
      <c r="H1523" t="s">
        <v>54</v>
      </c>
      <c r="I1523" t="s">
        <v>16</v>
      </c>
      <c r="J1523" t="s">
        <v>24</v>
      </c>
      <c r="K1523" s="2">
        <v>8600</v>
      </c>
      <c r="L1523" s="3">
        <v>17.600000000000001</v>
      </c>
      <c r="M1523" s="3">
        <v>75</v>
      </c>
      <c r="N1523" s="3">
        <v>180.3</v>
      </c>
      <c r="O1523" s="2">
        <v>815</v>
      </c>
      <c r="P1523">
        <v>0</v>
      </c>
      <c r="Q1523" t="s">
        <v>14</v>
      </c>
      <c r="R1523" s="4">
        <v>80.08</v>
      </c>
      <c r="S1523" s="4">
        <v>13.28</v>
      </c>
      <c r="T1523" t="s">
        <v>34</v>
      </c>
      <c r="U1523" s="4">
        <v>11.76</v>
      </c>
      <c r="V1523" s="4">
        <v>9.3119999999999994</v>
      </c>
      <c r="W1523" s="4">
        <v>66.8</v>
      </c>
    </row>
    <row r="1524" spans="1:23" ht="15" customHeight="1" x14ac:dyDescent="0.25">
      <c r="A1524">
        <v>1358</v>
      </c>
      <c r="B1524" s="1">
        <v>45910.333333333343</v>
      </c>
      <c r="C1524">
        <v>8</v>
      </c>
      <c r="D1524" t="s">
        <v>48</v>
      </c>
      <c r="E1524">
        <v>9</v>
      </c>
      <c r="F1524" t="s">
        <v>39</v>
      </c>
      <c r="G1524" t="s">
        <v>33</v>
      </c>
      <c r="H1524" t="s">
        <v>51</v>
      </c>
      <c r="I1524" t="s">
        <v>25</v>
      </c>
      <c r="J1524" t="s">
        <v>15</v>
      </c>
      <c r="K1524" s="2">
        <v>17400</v>
      </c>
      <c r="L1524" s="3">
        <v>20.2</v>
      </c>
      <c r="M1524" s="3">
        <v>71.599999999999994</v>
      </c>
      <c r="N1524" s="3">
        <v>250.2</v>
      </c>
      <c r="O1524" s="2">
        <v>102</v>
      </c>
      <c r="P1524">
        <v>0</v>
      </c>
      <c r="Q1524" t="s">
        <v>14</v>
      </c>
      <c r="R1524" s="4">
        <v>40.15</v>
      </c>
      <c r="S1524" s="4">
        <v>32.380000000000003</v>
      </c>
      <c r="T1524" t="s">
        <v>34</v>
      </c>
      <c r="U1524" s="4">
        <v>1.33</v>
      </c>
      <c r="V1524" s="4">
        <v>2.3069999999999999</v>
      </c>
      <c r="W1524" s="4">
        <v>7.77</v>
      </c>
    </row>
    <row r="1525" spans="1:23" ht="15" customHeight="1" x14ac:dyDescent="0.25">
      <c r="A1525">
        <v>254</v>
      </c>
      <c r="B1525" s="1">
        <v>45910.333333333343</v>
      </c>
      <c r="C1525">
        <v>8</v>
      </c>
      <c r="D1525" t="s">
        <v>48</v>
      </c>
      <c r="E1525">
        <v>9</v>
      </c>
      <c r="F1525" t="s">
        <v>39</v>
      </c>
      <c r="G1525" t="s">
        <v>33</v>
      </c>
      <c r="H1525" t="s">
        <v>53</v>
      </c>
      <c r="I1525" t="s">
        <v>19</v>
      </c>
      <c r="J1525" t="s">
        <v>26</v>
      </c>
      <c r="K1525" s="2">
        <v>12500</v>
      </c>
      <c r="L1525" s="3">
        <v>20</v>
      </c>
      <c r="M1525" s="3">
        <v>56.3</v>
      </c>
      <c r="N1525" s="3">
        <v>273.60000000000002</v>
      </c>
      <c r="O1525" s="2">
        <v>284</v>
      </c>
      <c r="P1525">
        <v>0</v>
      </c>
      <c r="Q1525" t="s">
        <v>14</v>
      </c>
      <c r="R1525" s="4">
        <v>59.62</v>
      </c>
      <c r="S1525" s="4">
        <v>39.36</v>
      </c>
      <c r="T1525" t="s">
        <v>34</v>
      </c>
      <c r="U1525" s="4">
        <v>3.49</v>
      </c>
      <c r="V1525" s="4">
        <v>4.7699999999999996</v>
      </c>
      <c r="W1525" s="4">
        <v>20.260000000000002</v>
      </c>
    </row>
    <row r="1526" spans="1:23" ht="15" customHeight="1" x14ac:dyDescent="0.25">
      <c r="A1526">
        <v>2095</v>
      </c>
      <c r="B1526" s="1">
        <v>45910.583333333343</v>
      </c>
      <c r="C1526">
        <v>14</v>
      </c>
      <c r="D1526" t="s">
        <v>48</v>
      </c>
      <c r="E1526">
        <v>9</v>
      </c>
      <c r="F1526" t="s">
        <v>39</v>
      </c>
      <c r="G1526" t="s">
        <v>33</v>
      </c>
      <c r="H1526" t="s">
        <v>52</v>
      </c>
      <c r="I1526" t="s">
        <v>13</v>
      </c>
      <c r="J1526" t="s">
        <v>21</v>
      </c>
      <c r="K1526" s="2">
        <v>9800</v>
      </c>
      <c r="L1526" s="3">
        <v>23.8</v>
      </c>
      <c r="M1526" s="3">
        <v>74.5</v>
      </c>
      <c r="N1526" s="3">
        <v>542</v>
      </c>
      <c r="O1526" s="2">
        <v>62</v>
      </c>
      <c r="P1526">
        <v>1</v>
      </c>
      <c r="Q1526" t="s">
        <v>23</v>
      </c>
      <c r="R1526" s="4">
        <v>17.71</v>
      </c>
      <c r="S1526" s="4">
        <v>0</v>
      </c>
      <c r="T1526" t="s">
        <v>34</v>
      </c>
      <c r="U1526" s="4">
        <v>3.01</v>
      </c>
      <c r="V1526" s="4">
        <v>1.8069999999999999</v>
      </c>
      <c r="W1526" s="4">
        <v>17.71</v>
      </c>
    </row>
    <row r="1527" spans="1:23" ht="15" customHeight="1" x14ac:dyDescent="0.25">
      <c r="A1527">
        <v>1727</v>
      </c>
      <c r="B1527" s="1">
        <v>45910.583333333343</v>
      </c>
      <c r="C1527">
        <v>14</v>
      </c>
      <c r="D1527" t="s">
        <v>48</v>
      </c>
      <c r="E1527">
        <v>9</v>
      </c>
      <c r="F1527" t="s">
        <v>39</v>
      </c>
      <c r="G1527" t="s">
        <v>33</v>
      </c>
      <c r="H1527" t="s">
        <v>49</v>
      </c>
      <c r="I1527" t="s">
        <v>27</v>
      </c>
      <c r="J1527" t="s">
        <v>18</v>
      </c>
      <c r="K1527" s="2">
        <v>26000</v>
      </c>
      <c r="L1527" s="3">
        <v>25.6</v>
      </c>
      <c r="M1527" s="3">
        <v>56.7</v>
      </c>
      <c r="N1527" s="3">
        <v>720.5</v>
      </c>
      <c r="O1527" s="2">
        <v>186</v>
      </c>
      <c r="P1527">
        <v>1</v>
      </c>
      <c r="Q1527" t="s">
        <v>20</v>
      </c>
      <c r="R1527" s="4">
        <v>185.24</v>
      </c>
      <c r="S1527" s="4">
        <v>194.12</v>
      </c>
      <c r="T1527" t="s">
        <v>34</v>
      </c>
      <c r="U1527" s="4">
        <v>-0.62</v>
      </c>
      <c r="V1527" s="4">
        <v>7.125</v>
      </c>
      <c r="W1527" s="4">
        <v>0</v>
      </c>
    </row>
    <row r="1528" spans="1:23" ht="15" customHeight="1" x14ac:dyDescent="0.25">
      <c r="A1528">
        <v>1359</v>
      </c>
      <c r="B1528" s="1">
        <v>45910.583333333343</v>
      </c>
      <c r="C1528">
        <v>14</v>
      </c>
      <c r="D1528" t="s">
        <v>48</v>
      </c>
      <c r="E1528">
        <v>9</v>
      </c>
      <c r="F1528" t="s">
        <v>39</v>
      </c>
      <c r="G1528" t="s">
        <v>33</v>
      </c>
      <c r="H1528" t="s">
        <v>51</v>
      </c>
      <c r="I1528" t="s">
        <v>25</v>
      </c>
      <c r="J1528" t="s">
        <v>15</v>
      </c>
      <c r="K1528" s="2">
        <v>17400</v>
      </c>
      <c r="L1528" s="3">
        <v>23.5</v>
      </c>
      <c r="M1528" s="3">
        <v>66.3</v>
      </c>
      <c r="N1528" s="3">
        <v>721.4</v>
      </c>
      <c r="O1528" s="2">
        <v>1200</v>
      </c>
      <c r="P1528">
        <v>1</v>
      </c>
      <c r="Q1528" t="s">
        <v>23</v>
      </c>
      <c r="R1528" s="4">
        <v>189.23</v>
      </c>
      <c r="S1528" s="4">
        <v>88.13</v>
      </c>
      <c r="T1528" t="s">
        <v>34</v>
      </c>
      <c r="U1528" s="4">
        <v>17.5</v>
      </c>
      <c r="V1528" s="4">
        <v>10.875</v>
      </c>
      <c r="W1528" s="4">
        <v>101.1</v>
      </c>
    </row>
    <row r="1529" spans="1:23" ht="15" customHeight="1" x14ac:dyDescent="0.25">
      <c r="A1529">
        <v>623</v>
      </c>
      <c r="B1529" s="1">
        <v>45910.583333333343</v>
      </c>
      <c r="C1529">
        <v>14</v>
      </c>
      <c r="D1529" t="s">
        <v>48</v>
      </c>
      <c r="E1529">
        <v>9</v>
      </c>
      <c r="F1529" t="s">
        <v>39</v>
      </c>
      <c r="G1529" t="s">
        <v>33</v>
      </c>
      <c r="H1529" t="s">
        <v>54</v>
      </c>
      <c r="I1529" t="s">
        <v>16</v>
      </c>
      <c r="J1529" t="s">
        <v>24</v>
      </c>
      <c r="K1529" s="2">
        <v>8600</v>
      </c>
      <c r="L1529" s="3">
        <v>22</v>
      </c>
      <c r="M1529" s="3">
        <v>67.8</v>
      </c>
      <c r="N1529" s="3">
        <v>763.5</v>
      </c>
      <c r="O1529" s="2">
        <v>785</v>
      </c>
      <c r="P1529">
        <v>0</v>
      </c>
      <c r="Q1529" t="s">
        <v>14</v>
      </c>
      <c r="R1529" s="4">
        <v>82.36</v>
      </c>
      <c r="S1529" s="4">
        <v>59.39</v>
      </c>
      <c r="T1529" t="s">
        <v>34</v>
      </c>
      <c r="U1529" s="4">
        <v>3.89</v>
      </c>
      <c r="V1529" s="4">
        <v>9.577</v>
      </c>
      <c r="W1529" s="4">
        <v>22.97</v>
      </c>
    </row>
    <row r="1530" spans="1:23" ht="15" customHeight="1" x14ac:dyDescent="0.25">
      <c r="A1530">
        <v>991</v>
      </c>
      <c r="B1530" s="1">
        <v>45910.583333333343</v>
      </c>
      <c r="C1530">
        <v>14</v>
      </c>
      <c r="D1530" t="s">
        <v>48</v>
      </c>
      <c r="E1530">
        <v>9</v>
      </c>
      <c r="F1530" t="s">
        <v>39</v>
      </c>
      <c r="G1530" t="s">
        <v>33</v>
      </c>
      <c r="H1530" t="s">
        <v>50</v>
      </c>
      <c r="I1530" t="s">
        <v>22</v>
      </c>
      <c r="J1530" t="s">
        <v>12</v>
      </c>
      <c r="K1530" s="2">
        <v>21000</v>
      </c>
      <c r="L1530" s="3">
        <v>33.6</v>
      </c>
      <c r="M1530" s="3">
        <v>54</v>
      </c>
      <c r="N1530" s="3">
        <v>639.5</v>
      </c>
      <c r="O1530" s="2">
        <v>437</v>
      </c>
      <c r="P1530">
        <v>1</v>
      </c>
      <c r="Q1530" t="s">
        <v>20</v>
      </c>
      <c r="R1530" s="4">
        <v>229.14</v>
      </c>
      <c r="S1530" s="4">
        <v>122.7</v>
      </c>
      <c r="T1530" t="s">
        <v>34</v>
      </c>
      <c r="U1530" s="4">
        <v>18.37</v>
      </c>
      <c r="V1530" s="4">
        <v>10.911</v>
      </c>
      <c r="W1530" s="4">
        <v>106.44</v>
      </c>
    </row>
    <row r="1531" spans="1:23" ht="15" customHeight="1" x14ac:dyDescent="0.25">
      <c r="A1531">
        <v>255</v>
      </c>
      <c r="B1531" s="1">
        <v>45910.583333333343</v>
      </c>
      <c r="C1531">
        <v>14</v>
      </c>
      <c r="D1531" t="s">
        <v>48</v>
      </c>
      <c r="E1531">
        <v>9</v>
      </c>
      <c r="F1531" t="s">
        <v>39</v>
      </c>
      <c r="G1531" t="s">
        <v>33</v>
      </c>
      <c r="H1531" t="s">
        <v>53</v>
      </c>
      <c r="I1531" t="s">
        <v>19</v>
      </c>
      <c r="J1531" t="s">
        <v>26</v>
      </c>
      <c r="K1531" s="2">
        <v>12500</v>
      </c>
      <c r="L1531" s="3">
        <v>27.9</v>
      </c>
      <c r="M1531" s="3">
        <v>53.1</v>
      </c>
      <c r="N1531" s="3">
        <v>724.7</v>
      </c>
      <c r="O1531" s="2">
        <v>585</v>
      </c>
      <c r="P1531">
        <v>1</v>
      </c>
      <c r="Q1531" t="s">
        <v>20</v>
      </c>
      <c r="R1531" s="4">
        <v>113.42</v>
      </c>
      <c r="S1531" s="4">
        <v>105</v>
      </c>
      <c r="T1531" t="s">
        <v>34</v>
      </c>
      <c r="U1531" s="4">
        <v>1.49</v>
      </c>
      <c r="V1531" s="4">
        <v>9.0739999999999998</v>
      </c>
      <c r="W1531" s="4">
        <v>8.42</v>
      </c>
    </row>
    <row r="1532" spans="1:23" ht="15" customHeight="1" x14ac:dyDescent="0.25">
      <c r="A1532">
        <v>256</v>
      </c>
      <c r="B1532" s="1">
        <v>45910.833333333343</v>
      </c>
      <c r="C1532">
        <v>20</v>
      </c>
      <c r="D1532" t="s">
        <v>48</v>
      </c>
      <c r="E1532">
        <v>9</v>
      </c>
      <c r="F1532" t="s">
        <v>39</v>
      </c>
      <c r="G1532" t="s">
        <v>33</v>
      </c>
      <c r="H1532" t="s">
        <v>53</v>
      </c>
      <c r="I1532" t="s">
        <v>19</v>
      </c>
      <c r="J1532" t="s">
        <v>26</v>
      </c>
      <c r="K1532" s="2">
        <v>12500</v>
      </c>
      <c r="L1532" s="3">
        <v>22.4</v>
      </c>
      <c r="M1532" s="3">
        <v>63.9</v>
      </c>
      <c r="N1532" s="3">
        <v>0</v>
      </c>
      <c r="O1532" s="2">
        <v>79</v>
      </c>
      <c r="P1532">
        <v>0</v>
      </c>
      <c r="Q1532" t="s">
        <v>14</v>
      </c>
      <c r="R1532" s="4">
        <v>41.69</v>
      </c>
      <c r="S1532" s="4">
        <v>0</v>
      </c>
      <c r="T1532" t="s">
        <v>37</v>
      </c>
      <c r="U1532" s="4">
        <v>11.25</v>
      </c>
      <c r="V1532" s="4">
        <v>3.335</v>
      </c>
      <c r="W1532" s="4">
        <v>41.69</v>
      </c>
    </row>
    <row r="1533" spans="1:23" ht="15" customHeight="1" x14ac:dyDescent="0.25">
      <c r="A1533">
        <v>2096</v>
      </c>
      <c r="B1533" s="1">
        <v>45910.833333333343</v>
      </c>
      <c r="C1533">
        <v>20</v>
      </c>
      <c r="D1533" t="s">
        <v>48</v>
      </c>
      <c r="E1533">
        <v>9</v>
      </c>
      <c r="F1533" t="s">
        <v>39</v>
      </c>
      <c r="G1533" t="s">
        <v>33</v>
      </c>
      <c r="H1533" t="s">
        <v>52</v>
      </c>
      <c r="I1533" t="s">
        <v>13</v>
      </c>
      <c r="J1533" t="s">
        <v>21</v>
      </c>
      <c r="K1533" s="2">
        <v>9800</v>
      </c>
      <c r="L1533" s="3">
        <v>20.8</v>
      </c>
      <c r="M1533" s="3">
        <v>71.099999999999994</v>
      </c>
      <c r="N1533" s="3">
        <v>0</v>
      </c>
      <c r="O1533" s="2">
        <v>332</v>
      </c>
      <c r="P1533">
        <v>0</v>
      </c>
      <c r="Q1533" t="s">
        <v>14</v>
      </c>
      <c r="R1533" s="4">
        <v>97.13</v>
      </c>
      <c r="S1533" s="4">
        <v>0</v>
      </c>
      <c r="T1533" t="s">
        <v>37</v>
      </c>
      <c r="U1533" s="4">
        <v>25.65</v>
      </c>
      <c r="V1533" s="4">
        <v>9.9109999999999996</v>
      </c>
      <c r="W1533" s="4">
        <v>97.13</v>
      </c>
    </row>
    <row r="1534" spans="1:23" ht="15" customHeight="1" x14ac:dyDescent="0.25">
      <c r="A1534">
        <v>992</v>
      </c>
      <c r="B1534" s="1">
        <v>45910.833333333343</v>
      </c>
      <c r="C1534">
        <v>20</v>
      </c>
      <c r="D1534" t="s">
        <v>48</v>
      </c>
      <c r="E1534">
        <v>9</v>
      </c>
      <c r="F1534" t="s">
        <v>39</v>
      </c>
      <c r="G1534" t="s">
        <v>33</v>
      </c>
      <c r="H1534" t="s">
        <v>50</v>
      </c>
      <c r="I1534" t="s">
        <v>22</v>
      </c>
      <c r="J1534" t="s">
        <v>12</v>
      </c>
      <c r="K1534" s="2">
        <v>21000</v>
      </c>
      <c r="L1534" s="3">
        <v>28.5</v>
      </c>
      <c r="M1534" s="3">
        <v>57.6</v>
      </c>
      <c r="N1534" s="3">
        <v>0</v>
      </c>
      <c r="O1534" s="2">
        <v>390</v>
      </c>
      <c r="P1534">
        <v>1</v>
      </c>
      <c r="Q1534" t="s">
        <v>20</v>
      </c>
      <c r="R1534" s="4">
        <v>286.63</v>
      </c>
      <c r="S1534" s="4">
        <v>0</v>
      </c>
      <c r="T1534" t="s">
        <v>37</v>
      </c>
      <c r="U1534" s="4">
        <v>72.8</v>
      </c>
      <c r="V1534" s="4">
        <v>13.648999999999999</v>
      </c>
      <c r="W1534" s="4">
        <v>286.63</v>
      </c>
    </row>
    <row r="1535" spans="1:23" ht="15" customHeight="1" x14ac:dyDescent="0.25">
      <c r="A1535">
        <v>1728</v>
      </c>
      <c r="B1535" s="1">
        <v>45910.833333333343</v>
      </c>
      <c r="C1535">
        <v>20</v>
      </c>
      <c r="D1535" t="s">
        <v>48</v>
      </c>
      <c r="E1535">
        <v>9</v>
      </c>
      <c r="F1535" t="s">
        <v>39</v>
      </c>
      <c r="G1535" t="s">
        <v>33</v>
      </c>
      <c r="H1535" t="s">
        <v>49</v>
      </c>
      <c r="I1535" t="s">
        <v>27</v>
      </c>
      <c r="J1535" t="s">
        <v>18</v>
      </c>
      <c r="K1535" s="2">
        <v>26000</v>
      </c>
      <c r="L1535" s="3">
        <v>22.2</v>
      </c>
      <c r="M1535" s="3">
        <v>44.7</v>
      </c>
      <c r="N1535" s="3">
        <v>0</v>
      </c>
      <c r="O1535" s="2">
        <v>175</v>
      </c>
      <c r="P1535">
        <v>0</v>
      </c>
      <c r="Q1535" t="s">
        <v>14</v>
      </c>
      <c r="R1535" s="4">
        <v>243.67</v>
      </c>
      <c r="S1535" s="4">
        <v>0</v>
      </c>
      <c r="T1535" t="s">
        <v>37</v>
      </c>
      <c r="U1535" s="4">
        <v>66.400000000000006</v>
      </c>
      <c r="V1535" s="4">
        <v>9.3719999999999999</v>
      </c>
      <c r="W1535" s="4">
        <v>243.67</v>
      </c>
    </row>
    <row r="1536" spans="1:23" ht="15" customHeight="1" x14ac:dyDescent="0.25">
      <c r="A1536">
        <v>1360</v>
      </c>
      <c r="B1536" s="1">
        <v>45910.833333333343</v>
      </c>
      <c r="C1536">
        <v>20</v>
      </c>
      <c r="D1536" t="s">
        <v>48</v>
      </c>
      <c r="E1536">
        <v>9</v>
      </c>
      <c r="F1536" t="s">
        <v>39</v>
      </c>
      <c r="G1536" t="s">
        <v>33</v>
      </c>
      <c r="H1536" t="s">
        <v>51</v>
      </c>
      <c r="I1536" t="s">
        <v>25</v>
      </c>
      <c r="J1536" t="s">
        <v>15</v>
      </c>
      <c r="K1536" s="2">
        <v>17400</v>
      </c>
      <c r="L1536" s="3">
        <v>24.7</v>
      </c>
      <c r="M1536" s="3">
        <v>70.400000000000006</v>
      </c>
      <c r="N1536" s="3">
        <v>0</v>
      </c>
      <c r="O1536" s="2">
        <v>1360</v>
      </c>
      <c r="P1536">
        <v>1</v>
      </c>
      <c r="Q1536" t="s">
        <v>20</v>
      </c>
      <c r="R1536" s="4">
        <v>291.16000000000003</v>
      </c>
      <c r="S1536" s="4">
        <v>0</v>
      </c>
      <c r="T1536" t="s">
        <v>37</v>
      </c>
      <c r="U1536" s="4">
        <v>75.03</v>
      </c>
      <c r="V1536" s="4">
        <v>16.733000000000001</v>
      </c>
      <c r="W1536" s="4">
        <v>291.16000000000003</v>
      </c>
    </row>
    <row r="1537" spans="1:23" ht="15" customHeight="1" x14ac:dyDescent="0.25">
      <c r="A1537">
        <v>624</v>
      </c>
      <c r="B1537" s="1">
        <v>45910.833333333343</v>
      </c>
      <c r="C1537">
        <v>20</v>
      </c>
      <c r="D1537" t="s">
        <v>48</v>
      </c>
      <c r="E1537">
        <v>9</v>
      </c>
      <c r="F1537" t="s">
        <v>39</v>
      </c>
      <c r="G1537" t="s">
        <v>33</v>
      </c>
      <c r="H1537" t="s">
        <v>54</v>
      </c>
      <c r="I1537" t="s">
        <v>16</v>
      </c>
      <c r="J1537" t="s">
        <v>24</v>
      </c>
      <c r="K1537" s="2">
        <v>8600</v>
      </c>
      <c r="L1537" s="3">
        <v>20.399999999999999</v>
      </c>
      <c r="M1537" s="3">
        <v>86.8</v>
      </c>
      <c r="N1537" s="3">
        <v>0</v>
      </c>
      <c r="O1537" s="2">
        <v>119</v>
      </c>
      <c r="P1537">
        <v>0</v>
      </c>
      <c r="Q1537" t="s">
        <v>14</v>
      </c>
      <c r="R1537" s="4">
        <v>24.21</v>
      </c>
      <c r="S1537" s="4">
        <v>0</v>
      </c>
      <c r="T1537" t="s">
        <v>37</v>
      </c>
      <c r="U1537" s="4">
        <v>6.57</v>
      </c>
      <c r="V1537" s="4">
        <v>2.8149999999999999</v>
      </c>
      <c r="W1537" s="4">
        <v>24.21</v>
      </c>
    </row>
    <row r="1538" spans="1:23" ht="15" customHeight="1" x14ac:dyDescent="0.25">
      <c r="A1538">
        <v>993</v>
      </c>
      <c r="B1538" s="1">
        <v>45914</v>
      </c>
      <c r="C1538">
        <v>0</v>
      </c>
      <c r="D1538" t="s">
        <v>55</v>
      </c>
      <c r="E1538">
        <v>9</v>
      </c>
      <c r="F1538" t="s">
        <v>39</v>
      </c>
      <c r="G1538" t="s">
        <v>36</v>
      </c>
      <c r="H1538" t="s">
        <v>50</v>
      </c>
      <c r="I1538" t="s">
        <v>22</v>
      </c>
      <c r="J1538" t="s">
        <v>12</v>
      </c>
      <c r="K1538" s="2">
        <v>21000</v>
      </c>
      <c r="L1538" s="3">
        <v>21.5</v>
      </c>
      <c r="M1538" s="3">
        <v>68.599999999999994</v>
      </c>
      <c r="N1538" s="3">
        <v>0</v>
      </c>
      <c r="O1538" s="2">
        <v>261</v>
      </c>
      <c r="P1538">
        <v>0</v>
      </c>
      <c r="Q1538" t="s">
        <v>14</v>
      </c>
      <c r="R1538" s="4">
        <v>174.81</v>
      </c>
      <c r="S1538" s="4">
        <v>0</v>
      </c>
      <c r="T1538" t="s">
        <v>31</v>
      </c>
      <c r="U1538" s="4">
        <v>17.739999999999998</v>
      </c>
      <c r="V1538" s="4">
        <v>8.3239999999999998</v>
      </c>
      <c r="W1538" s="4">
        <v>174.81</v>
      </c>
    </row>
    <row r="1539" spans="1:23" ht="15" customHeight="1" x14ac:dyDescent="0.25">
      <c r="A1539">
        <v>2097</v>
      </c>
      <c r="B1539" s="1">
        <v>45914</v>
      </c>
      <c r="C1539">
        <v>0</v>
      </c>
      <c r="D1539" t="s">
        <v>55</v>
      </c>
      <c r="E1539">
        <v>9</v>
      </c>
      <c r="F1539" t="s">
        <v>39</v>
      </c>
      <c r="G1539" t="s">
        <v>36</v>
      </c>
      <c r="H1539" t="s">
        <v>52</v>
      </c>
      <c r="I1539" t="s">
        <v>13</v>
      </c>
      <c r="J1539" t="s">
        <v>21</v>
      </c>
      <c r="K1539" s="2">
        <v>9800</v>
      </c>
      <c r="L1539" s="3">
        <v>17.7</v>
      </c>
      <c r="M1539" s="3">
        <v>69.2</v>
      </c>
      <c r="N1539" s="3">
        <v>0</v>
      </c>
      <c r="O1539" s="2">
        <v>273</v>
      </c>
      <c r="P1539">
        <v>0</v>
      </c>
      <c r="Q1539" t="s">
        <v>14</v>
      </c>
      <c r="R1539" s="4">
        <v>92.75</v>
      </c>
      <c r="S1539" s="4">
        <v>0</v>
      </c>
      <c r="T1539" t="s">
        <v>31</v>
      </c>
      <c r="U1539" s="4">
        <v>9.98</v>
      </c>
      <c r="V1539" s="4">
        <v>9.4640000000000004</v>
      </c>
      <c r="W1539" s="4">
        <v>92.75</v>
      </c>
    </row>
    <row r="1540" spans="1:23" ht="15" customHeight="1" x14ac:dyDescent="0.25">
      <c r="A1540">
        <v>625</v>
      </c>
      <c r="B1540" s="1">
        <v>45914</v>
      </c>
      <c r="C1540">
        <v>0</v>
      </c>
      <c r="D1540" t="s">
        <v>55</v>
      </c>
      <c r="E1540">
        <v>9</v>
      </c>
      <c r="F1540" t="s">
        <v>39</v>
      </c>
      <c r="G1540" t="s">
        <v>36</v>
      </c>
      <c r="H1540" t="s">
        <v>54</v>
      </c>
      <c r="I1540" t="s">
        <v>16</v>
      </c>
      <c r="J1540" t="s">
        <v>24</v>
      </c>
      <c r="K1540" s="2">
        <v>8600</v>
      </c>
      <c r="L1540" s="3">
        <v>15</v>
      </c>
      <c r="M1540" s="3">
        <v>76.599999999999994</v>
      </c>
      <c r="N1540" s="3">
        <v>0</v>
      </c>
      <c r="O1540" s="2">
        <v>1</v>
      </c>
      <c r="P1540">
        <v>0</v>
      </c>
      <c r="Q1540" t="s">
        <v>14</v>
      </c>
      <c r="R1540" s="4">
        <v>12.65</v>
      </c>
      <c r="S1540" s="4">
        <v>0</v>
      </c>
      <c r="T1540" t="s">
        <v>31</v>
      </c>
      <c r="U1540" s="4">
        <v>1.35</v>
      </c>
      <c r="V1540" s="4">
        <v>1.4710000000000001</v>
      </c>
      <c r="W1540" s="4">
        <v>12.65</v>
      </c>
    </row>
    <row r="1541" spans="1:23" ht="15" customHeight="1" x14ac:dyDescent="0.25">
      <c r="A1541">
        <v>257</v>
      </c>
      <c r="B1541" s="1">
        <v>45914</v>
      </c>
      <c r="C1541">
        <v>0</v>
      </c>
      <c r="D1541" t="s">
        <v>55</v>
      </c>
      <c r="E1541">
        <v>9</v>
      </c>
      <c r="F1541" t="s">
        <v>39</v>
      </c>
      <c r="G1541" t="s">
        <v>36</v>
      </c>
      <c r="H1541" t="s">
        <v>53</v>
      </c>
      <c r="I1541" t="s">
        <v>19</v>
      </c>
      <c r="J1541" t="s">
        <v>26</v>
      </c>
      <c r="K1541" s="2">
        <v>12500</v>
      </c>
      <c r="L1541" s="3">
        <v>16.100000000000001</v>
      </c>
      <c r="M1541" s="3">
        <v>60</v>
      </c>
      <c r="N1541" s="3">
        <v>0</v>
      </c>
      <c r="O1541" s="2">
        <v>0</v>
      </c>
      <c r="P1541">
        <v>0</v>
      </c>
      <c r="Q1541" t="s">
        <v>14</v>
      </c>
      <c r="R1541" s="4">
        <v>23.57</v>
      </c>
      <c r="S1541" s="4">
        <v>0</v>
      </c>
      <c r="T1541" t="s">
        <v>31</v>
      </c>
      <c r="U1541" s="4">
        <v>2.56</v>
      </c>
      <c r="V1541" s="4">
        <v>1.8859999999999999</v>
      </c>
      <c r="W1541" s="4">
        <v>23.57</v>
      </c>
    </row>
    <row r="1542" spans="1:23" ht="15" customHeight="1" x14ac:dyDescent="0.25">
      <c r="A1542">
        <v>1729</v>
      </c>
      <c r="B1542" s="1">
        <v>45914</v>
      </c>
      <c r="C1542">
        <v>0</v>
      </c>
      <c r="D1542" t="s">
        <v>55</v>
      </c>
      <c r="E1542">
        <v>9</v>
      </c>
      <c r="F1542" t="s">
        <v>39</v>
      </c>
      <c r="G1542" t="s">
        <v>36</v>
      </c>
      <c r="H1542" t="s">
        <v>49</v>
      </c>
      <c r="I1542" t="s">
        <v>27</v>
      </c>
      <c r="J1542" t="s">
        <v>18</v>
      </c>
      <c r="K1542" s="2">
        <v>26000</v>
      </c>
      <c r="L1542" s="3">
        <v>15.4</v>
      </c>
      <c r="M1542" s="3">
        <v>79.099999999999994</v>
      </c>
      <c r="N1542" s="3">
        <v>0</v>
      </c>
      <c r="O1542" s="2">
        <v>16</v>
      </c>
      <c r="P1542">
        <v>1</v>
      </c>
      <c r="Q1542" t="s">
        <v>23</v>
      </c>
      <c r="R1542" s="4">
        <v>67.11</v>
      </c>
      <c r="S1542" s="4">
        <v>0</v>
      </c>
      <c r="T1542" t="s">
        <v>31</v>
      </c>
      <c r="U1542" s="4">
        <v>7.47</v>
      </c>
      <c r="V1542" s="4">
        <v>2.581</v>
      </c>
      <c r="W1542" s="4">
        <v>67.11</v>
      </c>
    </row>
    <row r="1543" spans="1:23" ht="15" customHeight="1" x14ac:dyDescent="0.25">
      <c r="A1543">
        <v>1361</v>
      </c>
      <c r="B1543" s="1">
        <v>45914</v>
      </c>
      <c r="C1543">
        <v>0</v>
      </c>
      <c r="D1543" t="s">
        <v>55</v>
      </c>
      <c r="E1543">
        <v>9</v>
      </c>
      <c r="F1543" t="s">
        <v>39</v>
      </c>
      <c r="G1543" t="s">
        <v>36</v>
      </c>
      <c r="H1543" t="s">
        <v>51</v>
      </c>
      <c r="I1543" t="s">
        <v>25</v>
      </c>
      <c r="J1543" t="s">
        <v>15</v>
      </c>
      <c r="K1543" s="2">
        <v>17400</v>
      </c>
      <c r="L1543" s="3">
        <v>21.5</v>
      </c>
      <c r="M1543" s="3">
        <v>70.400000000000006</v>
      </c>
      <c r="N1543" s="3">
        <v>0</v>
      </c>
      <c r="O1543" s="2">
        <v>38</v>
      </c>
      <c r="P1543">
        <v>0</v>
      </c>
      <c r="Q1543" t="s">
        <v>14</v>
      </c>
      <c r="R1543" s="4">
        <v>50.51</v>
      </c>
      <c r="S1543" s="4">
        <v>0</v>
      </c>
      <c r="T1543" t="s">
        <v>31</v>
      </c>
      <c r="U1543" s="4">
        <v>5.48</v>
      </c>
      <c r="V1543" s="4">
        <v>2.903</v>
      </c>
      <c r="W1543" s="4">
        <v>50.51</v>
      </c>
    </row>
    <row r="1544" spans="1:23" ht="15" customHeight="1" x14ac:dyDescent="0.25">
      <c r="A1544">
        <v>1730</v>
      </c>
      <c r="B1544" s="1">
        <v>45914.333333333343</v>
      </c>
      <c r="C1544">
        <v>8</v>
      </c>
      <c r="D1544" t="s">
        <v>55</v>
      </c>
      <c r="E1544">
        <v>9</v>
      </c>
      <c r="F1544" t="s">
        <v>39</v>
      </c>
      <c r="G1544" t="s">
        <v>36</v>
      </c>
      <c r="H1544" t="s">
        <v>49</v>
      </c>
      <c r="I1544" t="s">
        <v>27</v>
      </c>
      <c r="J1544" t="s">
        <v>18</v>
      </c>
      <c r="K1544" s="2">
        <v>26000</v>
      </c>
      <c r="L1544" s="3">
        <v>19</v>
      </c>
      <c r="M1544" s="3">
        <v>71.5</v>
      </c>
      <c r="N1544" s="3">
        <v>218.1</v>
      </c>
      <c r="O1544" s="2">
        <v>44</v>
      </c>
      <c r="P1544">
        <v>0</v>
      </c>
      <c r="Q1544" t="s">
        <v>14</v>
      </c>
      <c r="R1544" s="4">
        <v>79.84</v>
      </c>
      <c r="S1544" s="4">
        <v>59.35</v>
      </c>
      <c r="T1544" t="s">
        <v>31</v>
      </c>
      <c r="U1544" s="4">
        <v>2.34</v>
      </c>
      <c r="V1544" s="4">
        <v>3.0710000000000002</v>
      </c>
      <c r="W1544" s="4">
        <v>20.49</v>
      </c>
    </row>
    <row r="1545" spans="1:23" ht="15" customHeight="1" x14ac:dyDescent="0.25">
      <c r="A1545">
        <v>626</v>
      </c>
      <c r="B1545" s="1">
        <v>45914.333333333343</v>
      </c>
      <c r="C1545">
        <v>8</v>
      </c>
      <c r="D1545" t="s">
        <v>55</v>
      </c>
      <c r="E1545">
        <v>9</v>
      </c>
      <c r="F1545" t="s">
        <v>39</v>
      </c>
      <c r="G1545" t="s">
        <v>36</v>
      </c>
      <c r="H1545" t="s">
        <v>54</v>
      </c>
      <c r="I1545" t="s">
        <v>16</v>
      </c>
      <c r="J1545" t="s">
        <v>24</v>
      </c>
      <c r="K1545" s="2">
        <v>8600</v>
      </c>
      <c r="L1545" s="3">
        <v>15</v>
      </c>
      <c r="M1545" s="3">
        <v>85.7</v>
      </c>
      <c r="N1545" s="3">
        <v>208.2</v>
      </c>
      <c r="O1545" s="2">
        <v>0</v>
      </c>
      <c r="P1545">
        <v>0</v>
      </c>
      <c r="Q1545" t="s">
        <v>14</v>
      </c>
      <c r="R1545" s="4">
        <v>8.08</v>
      </c>
      <c r="S1545" s="4">
        <v>16.309999999999999</v>
      </c>
      <c r="T1545" t="s">
        <v>31</v>
      </c>
      <c r="U1545" s="4">
        <v>-0.35</v>
      </c>
      <c r="V1545" s="4">
        <v>0.94</v>
      </c>
      <c r="W1545" s="4">
        <v>0</v>
      </c>
    </row>
    <row r="1546" spans="1:23" ht="15" customHeight="1" x14ac:dyDescent="0.25">
      <c r="A1546">
        <v>2098</v>
      </c>
      <c r="B1546" s="1">
        <v>45914.333333333343</v>
      </c>
      <c r="C1546">
        <v>8</v>
      </c>
      <c r="D1546" t="s">
        <v>55</v>
      </c>
      <c r="E1546">
        <v>9</v>
      </c>
      <c r="F1546" t="s">
        <v>39</v>
      </c>
      <c r="G1546" t="s">
        <v>36</v>
      </c>
      <c r="H1546" t="s">
        <v>52</v>
      </c>
      <c r="I1546" t="s">
        <v>13</v>
      </c>
      <c r="J1546" t="s">
        <v>21</v>
      </c>
      <c r="K1546" s="2">
        <v>9800</v>
      </c>
      <c r="L1546" s="3">
        <v>21.7</v>
      </c>
      <c r="M1546" s="3">
        <v>71.900000000000006</v>
      </c>
      <c r="N1546" s="3">
        <v>196.7</v>
      </c>
      <c r="O1546" s="2">
        <v>97</v>
      </c>
      <c r="P1546">
        <v>0</v>
      </c>
      <c r="Q1546" t="s">
        <v>14</v>
      </c>
      <c r="R1546" s="4">
        <v>24.1</v>
      </c>
      <c r="S1546" s="4">
        <v>0</v>
      </c>
      <c r="T1546" t="s">
        <v>31</v>
      </c>
      <c r="U1546" s="4">
        <v>2.57</v>
      </c>
      <c r="V1546" s="4">
        <v>2.4590000000000001</v>
      </c>
      <c r="W1546" s="4">
        <v>24.1</v>
      </c>
    </row>
    <row r="1547" spans="1:23" ht="15" customHeight="1" x14ac:dyDescent="0.25">
      <c r="A1547">
        <v>1362</v>
      </c>
      <c r="B1547" s="1">
        <v>45914.333333333343</v>
      </c>
      <c r="C1547">
        <v>8</v>
      </c>
      <c r="D1547" t="s">
        <v>55</v>
      </c>
      <c r="E1547">
        <v>9</v>
      </c>
      <c r="F1547" t="s">
        <v>39</v>
      </c>
      <c r="G1547" t="s">
        <v>36</v>
      </c>
      <c r="H1547" t="s">
        <v>51</v>
      </c>
      <c r="I1547" t="s">
        <v>25</v>
      </c>
      <c r="J1547" t="s">
        <v>15</v>
      </c>
      <c r="K1547" s="2">
        <v>17400</v>
      </c>
      <c r="L1547" s="3">
        <v>19.7</v>
      </c>
      <c r="M1547" s="3">
        <v>79.400000000000006</v>
      </c>
      <c r="N1547" s="3">
        <v>167.9</v>
      </c>
      <c r="O1547" s="2">
        <v>86</v>
      </c>
      <c r="P1547">
        <v>0</v>
      </c>
      <c r="Q1547" t="s">
        <v>14</v>
      </c>
      <c r="R1547" s="4">
        <v>41.61</v>
      </c>
      <c r="S1547" s="4">
        <v>20.81</v>
      </c>
      <c r="T1547" t="s">
        <v>31</v>
      </c>
      <c r="U1547" s="4">
        <v>2.2599999999999998</v>
      </c>
      <c r="V1547" s="4">
        <v>2.391</v>
      </c>
      <c r="W1547" s="4">
        <v>20.8</v>
      </c>
    </row>
    <row r="1548" spans="1:23" ht="15" customHeight="1" x14ac:dyDescent="0.25">
      <c r="A1548">
        <v>994</v>
      </c>
      <c r="B1548" s="1">
        <v>45914.333333333343</v>
      </c>
      <c r="C1548">
        <v>8</v>
      </c>
      <c r="D1548" t="s">
        <v>55</v>
      </c>
      <c r="E1548">
        <v>9</v>
      </c>
      <c r="F1548" t="s">
        <v>39</v>
      </c>
      <c r="G1548" t="s">
        <v>36</v>
      </c>
      <c r="H1548" t="s">
        <v>50</v>
      </c>
      <c r="I1548" t="s">
        <v>22</v>
      </c>
      <c r="J1548" t="s">
        <v>12</v>
      </c>
      <c r="K1548" s="2">
        <v>21000</v>
      </c>
      <c r="L1548" s="3">
        <v>21.8</v>
      </c>
      <c r="M1548" s="3">
        <v>40.299999999999997</v>
      </c>
      <c r="N1548" s="3">
        <v>239.3</v>
      </c>
      <c r="O1548" s="2">
        <v>423</v>
      </c>
      <c r="P1548">
        <v>0</v>
      </c>
      <c r="Q1548" t="s">
        <v>14</v>
      </c>
      <c r="R1548" s="4">
        <v>204.6</v>
      </c>
      <c r="S1548" s="4">
        <v>49.16</v>
      </c>
      <c r="T1548" t="s">
        <v>31</v>
      </c>
      <c r="U1548" s="4">
        <v>16.760000000000002</v>
      </c>
      <c r="V1548" s="4">
        <v>9.7430000000000003</v>
      </c>
      <c r="W1548" s="4">
        <v>155.44</v>
      </c>
    </row>
    <row r="1549" spans="1:23" ht="15" customHeight="1" x14ac:dyDescent="0.25">
      <c r="A1549">
        <v>258</v>
      </c>
      <c r="B1549" s="1">
        <v>45914.333333333343</v>
      </c>
      <c r="C1549">
        <v>8</v>
      </c>
      <c r="D1549" t="s">
        <v>55</v>
      </c>
      <c r="E1549">
        <v>9</v>
      </c>
      <c r="F1549" t="s">
        <v>39</v>
      </c>
      <c r="G1549" t="s">
        <v>36</v>
      </c>
      <c r="H1549" t="s">
        <v>53</v>
      </c>
      <c r="I1549" t="s">
        <v>19</v>
      </c>
      <c r="J1549" t="s">
        <v>26</v>
      </c>
      <c r="K1549" s="2">
        <v>12500</v>
      </c>
      <c r="L1549" s="3">
        <v>17.899999999999999</v>
      </c>
      <c r="M1549" s="3">
        <v>55.5</v>
      </c>
      <c r="N1549" s="3">
        <v>232.3</v>
      </c>
      <c r="O1549" s="2">
        <v>0</v>
      </c>
      <c r="P1549">
        <v>0</v>
      </c>
      <c r="Q1549" t="s">
        <v>14</v>
      </c>
      <c r="R1549" s="4">
        <v>15.07</v>
      </c>
      <c r="S1549" s="4">
        <v>37.299999999999997</v>
      </c>
      <c r="T1549" t="s">
        <v>31</v>
      </c>
      <c r="U1549" s="4">
        <v>-0.97</v>
      </c>
      <c r="V1549" s="4">
        <v>1.206</v>
      </c>
      <c r="W1549" s="4">
        <v>0</v>
      </c>
    </row>
    <row r="1550" spans="1:23" ht="15" customHeight="1" x14ac:dyDescent="0.25">
      <c r="A1550">
        <v>627</v>
      </c>
      <c r="B1550" s="1">
        <v>45914.583333333343</v>
      </c>
      <c r="C1550">
        <v>14</v>
      </c>
      <c r="D1550" t="s">
        <v>55</v>
      </c>
      <c r="E1550">
        <v>9</v>
      </c>
      <c r="F1550" t="s">
        <v>39</v>
      </c>
      <c r="G1550" t="s">
        <v>36</v>
      </c>
      <c r="H1550" t="s">
        <v>54</v>
      </c>
      <c r="I1550" t="s">
        <v>16</v>
      </c>
      <c r="J1550" t="s">
        <v>24</v>
      </c>
      <c r="K1550" s="2">
        <v>8600</v>
      </c>
      <c r="L1550" s="3">
        <v>21</v>
      </c>
      <c r="M1550" s="3">
        <v>87.1</v>
      </c>
      <c r="N1550" s="3">
        <v>520.6</v>
      </c>
      <c r="O1550" s="2">
        <v>39</v>
      </c>
      <c r="P1550">
        <v>0</v>
      </c>
      <c r="Q1550" t="s">
        <v>14</v>
      </c>
      <c r="R1550" s="4">
        <v>9.49</v>
      </c>
      <c r="S1550" s="4">
        <v>39.83</v>
      </c>
      <c r="T1550" t="s">
        <v>31</v>
      </c>
      <c r="U1550" s="4">
        <v>-1.3</v>
      </c>
      <c r="V1550" s="4">
        <v>1.103</v>
      </c>
      <c r="W1550" s="4">
        <v>0</v>
      </c>
    </row>
    <row r="1551" spans="1:23" ht="15" customHeight="1" x14ac:dyDescent="0.25">
      <c r="A1551">
        <v>259</v>
      </c>
      <c r="B1551" s="1">
        <v>45914.583333333343</v>
      </c>
      <c r="C1551">
        <v>14</v>
      </c>
      <c r="D1551" t="s">
        <v>55</v>
      </c>
      <c r="E1551">
        <v>9</v>
      </c>
      <c r="F1551" t="s">
        <v>39</v>
      </c>
      <c r="G1551" t="s">
        <v>36</v>
      </c>
      <c r="H1551" t="s">
        <v>53</v>
      </c>
      <c r="I1551" t="s">
        <v>19</v>
      </c>
      <c r="J1551" t="s">
        <v>26</v>
      </c>
      <c r="K1551" s="2">
        <v>12500</v>
      </c>
      <c r="L1551" s="3">
        <v>25.4</v>
      </c>
      <c r="M1551" s="3">
        <v>50.9</v>
      </c>
      <c r="N1551" s="3">
        <v>779.2</v>
      </c>
      <c r="O1551" s="2">
        <v>7</v>
      </c>
      <c r="P1551">
        <v>0</v>
      </c>
      <c r="Q1551" t="s">
        <v>14</v>
      </c>
      <c r="R1551" s="4">
        <v>15.46</v>
      </c>
      <c r="S1551" s="4">
        <v>123.86</v>
      </c>
      <c r="T1551" t="s">
        <v>31</v>
      </c>
      <c r="U1551" s="4">
        <v>-4.53</v>
      </c>
      <c r="V1551" s="4">
        <v>1.2370000000000001</v>
      </c>
      <c r="W1551" s="4">
        <v>0</v>
      </c>
    </row>
    <row r="1552" spans="1:23" ht="15" customHeight="1" x14ac:dyDescent="0.25">
      <c r="A1552">
        <v>2099</v>
      </c>
      <c r="B1552" s="1">
        <v>45914.583333333343</v>
      </c>
      <c r="C1552">
        <v>14</v>
      </c>
      <c r="D1552" t="s">
        <v>55</v>
      </c>
      <c r="E1552">
        <v>9</v>
      </c>
      <c r="F1552" t="s">
        <v>39</v>
      </c>
      <c r="G1552" t="s">
        <v>36</v>
      </c>
      <c r="H1552" t="s">
        <v>52</v>
      </c>
      <c r="I1552" t="s">
        <v>13</v>
      </c>
      <c r="J1552" t="s">
        <v>21</v>
      </c>
      <c r="K1552" s="2">
        <v>9800</v>
      </c>
      <c r="L1552" s="3">
        <v>23.7</v>
      </c>
      <c r="M1552" s="3">
        <v>70.900000000000006</v>
      </c>
      <c r="N1552" s="3">
        <v>723.2</v>
      </c>
      <c r="O1552" s="2">
        <v>104</v>
      </c>
      <c r="P1552">
        <v>1</v>
      </c>
      <c r="Q1552" t="s">
        <v>23</v>
      </c>
      <c r="R1552" s="4">
        <v>24.94</v>
      </c>
      <c r="S1552" s="4">
        <v>0</v>
      </c>
      <c r="T1552" t="s">
        <v>31</v>
      </c>
      <c r="U1552" s="4">
        <v>2.69</v>
      </c>
      <c r="V1552" s="4">
        <v>2.5449999999999999</v>
      </c>
      <c r="W1552" s="4">
        <v>24.94</v>
      </c>
    </row>
    <row r="1553" spans="1:23" ht="15" customHeight="1" x14ac:dyDescent="0.25">
      <c r="A1553">
        <v>1731</v>
      </c>
      <c r="B1553" s="1">
        <v>45914.583333333343</v>
      </c>
      <c r="C1553">
        <v>14</v>
      </c>
      <c r="D1553" t="s">
        <v>55</v>
      </c>
      <c r="E1553">
        <v>9</v>
      </c>
      <c r="F1553" t="s">
        <v>39</v>
      </c>
      <c r="G1553" t="s">
        <v>36</v>
      </c>
      <c r="H1553" t="s">
        <v>49</v>
      </c>
      <c r="I1553" t="s">
        <v>27</v>
      </c>
      <c r="J1553" t="s">
        <v>18</v>
      </c>
      <c r="K1553" s="2">
        <v>26000</v>
      </c>
      <c r="L1553" s="3">
        <v>26.9</v>
      </c>
      <c r="M1553" s="3">
        <v>65.900000000000006</v>
      </c>
      <c r="N1553" s="3">
        <v>561.20000000000005</v>
      </c>
      <c r="O1553" s="2">
        <v>48</v>
      </c>
      <c r="P1553">
        <v>1</v>
      </c>
      <c r="Q1553" t="s">
        <v>20</v>
      </c>
      <c r="R1553" s="4">
        <v>87.24</v>
      </c>
      <c r="S1553" s="4">
        <v>144.53</v>
      </c>
      <c r="T1553" t="s">
        <v>31</v>
      </c>
      <c r="U1553" s="4">
        <v>-2.5299999999999998</v>
      </c>
      <c r="V1553" s="4">
        <v>3.355</v>
      </c>
      <c r="W1553" s="4">
        <v>0</v>
      </c>
    </row>
    <row r="1554" spans="1:23" ht="15" customHeight="1" x14ac:dyDescent="0.25">
      <c r="A1554">
        <v>1363</v>
      </c>
      <c r="B1554" s="1">
        <v>45914.583333333343</v>
      </c>
      <c r="C1554">
        <v>14</v>
      </c>
      <c r="D1554" t="s">
        <v>55</v>
      </c>
      <c r="E1554">
        <v>9</v>
      </c>
      <c r="F1554" t="s">
        <v>39</v>
      </c>
      <c r="G1554" t="s">
        <v>36</v>
      </c>
      <c r="H1554" t="s">
        <v>51</v>
      </c>
      <c r="I1554" t="s">
        <v>25</v>
      </c>
      <c r="J1554" t="s">
        <v>15</v>
      </c>
      <c r="K1554" s="2">
        <v>17400</v>
      </c>
      <c r="L1554" s="3">
        <v>23.6</v>
      </c>
      <c r="M1554" s="3">
        <v>68.5</v>
      </c>
      <c r="N1554" s="3">
        <v>817.8</v>
      </c>
      <c r="O1554" s="2">
        <v>1538</v>
      </c>
      <c r="P1554">
        <v>1</v>
      </c>
      <c r="Q1554" t="s">
        <v>23</v>
      </c>
      <c r="R1554" s="4">
        <v>247.49</v>
      </c>
      <c r="S1554" s="4">
        <v>105.01</v>
      </c>
      <c r="T1554" t="s">
        <v>31</v>
      </c>
      <c r="U1554" s="4">
        <v>15.54</v>
      </c>
      <c r="V1554" s="4">
        <v>14.224</v>
      </c>
      <c r="W1554" s="4">
        <v>142.47999999999999</v>
      </c>
    </row>
    <row r="1555" spans="1:23" ht="15" customHeight="1" x14ac:dyDescent="0.25">
      <c r="A1555">
        <v>995</v>
      </c>
      <c r="B1555" s="1">
        <v>45914.583333333343</v>
      </c>
      <c r="C1555">
        <v>14</v>
      </c>
      <c r="D1555" t="s">
        <v>55</v>
      </c>
      <c r="E1555">
        <v>9</v>
      </c>
      <c r="F1555" t="s">
        <v>39</v>
      </c>
      <c r="G1555" t="s">
        <v>36</v>
      </c>
      <c r="H1555" t="s">
        <v>50</v>
      </c>
      <c r="I1555" t="s">
        <v>22</v>
      </c>
      <c r="J1555" t="s">
        <v>12</v>
      </c>
      <c r="K1555" s="2">
        <v>21000</v>
      </c>
      <c r="L1555" s="3">
        <v>29.7</v>
      </c>
      <c r="M1555" s="3">
        <v>59.3</v>
      </c>
      <c r="N1555" s="3">
        <v>711.3</v>
      </c>
      <c r="O1555" s="2">
        <v>429</v>
      </c>
      <c r="P1555">
        <v>1</v>
      </c>
      <c r="Q1555" t="s">
        <v>20</v>
      </c>
      <c r="R1555" s="4">
        <v>228.28</v>
      </c>
      <c r="S1555" s="4">
        <v>135.82</v>
      </c>
      <c r="T1555" t="s">
        <v>31</v>
      </c>
      <c r="U1555" s="4">
        <v>9.93</v>
      </c>
      <c r="V1555" s="4">
        <v>10.87</v>
      </c>
      <c r="W1555" s="4">
        <v>92.46</v>
      </c>
    </row>
    <row r="1556" spans="1:23" ht="15" customHeight="1" x14ac:dyDescent="0.25">
      <c r="A1556">
        <v>628</v>
      </c>
      <c r="B1556" s="1">
        <v>45914.833333333343</v>
      </c>
      <c r="C1556">
        <v>20</v>
      </c>
      <c r="D1556" t="s">
        <v>55</v>
      </c>
      <c r="E1556">
        <v>9</v>
      </c>
      <c r="F1556" t="s">
        <v>39</v>
      </c>
      <c r="G1556" t="s">
        <v>36</v>
      </c>
      <c r="H1556" t="s">
        <v>54</v>
      </c>
      <c r="I1556" t="s">
        <v>16</v>
      </c>
      <c r="J1556" t="s">
        <v>24</v>
      </c>
      <c r="K1556" s="2">
        <v>8600</v>
      </c>
      <c r="L1556" s="3">
        <v>21</v>
      </c>
      <c r="M1556" s="3">
        <v>84</v>
      </c>
      <c r="N1556" s="3">
        <v>0</v>
      </c>
      <c r="O1556" s="2">
        <v>23</v>
      </c>
      <c r="P1556">
        <v>0</v>
      </c>
      <c r="Q1556" t="s">
        <v>14</v>
      </c>
      <c r="R1556" s="4">
        <v>123.82</v>
      </c>
      <c r="S1556" s="4">
        <v>0</v>
      </c>
      <c r="T1556" t="s">
        <v>31</v>
      </c>
      <c r="U1556" s="4">
        <v>1.57</v>
      </c>
      <c r="V1556" s="4">
        <v>14.398</v>
      </c>
      <c r="W1556" s="4">
        <v>123.82</v>
      </c>
    </row>
    <row r="1557" spans="1:23" ht="15" customHeight="1" x14ac:dyDescent="0.25">
      <c r="A1557">
        <v>1732</v>
      </c>
      <c r="B1557" s="1">
        <v>45914.833333333343</v>
      </c>
      <c r="C1557">
        <v>20</v>
      </c>
      <c r="D1557" t="s">
        <v>55</v>
      </c>
      <c r="E1557">
        <v>9</v>
      </c>
      <c r="F1557" t="s">
        <v>39</v>
      </c>
      <c r="G1557" t="s">
        <v>36</v>
      </c>
      <c r="H1557" t="s">
        <v>49</v>
      </c>
      <c r="I1557" t="s">
        <v>27</v>
      </c>
      <c r="J1557" t="s">
        <v>18</v>
      </c>
      <c r="K1557" s="2">
        <v>26000</v>
      </c>
      <c r="L1557" s="3">
        <v>22.4</v>
      </c>
      <c r="M1557" s="3">
        <v>54.8</v>
      </c>
      <c r="N1557" s="3">
        <v>0</v>
      </c>
      <c r="O1557" s="2">
        <v>62</v>
      </c>
      <c r="P1557">
        <v>0</v>
      </c>
      <c r="Q1557" t="s">
        <v>14</v>
      </c>
      <c r="R1557" s="4">
        <v>140.21</v>
      </c>
      <c r="S1557" s="4">
        <v>0</v>
      </c>
      <c r="T1557" t="s">
        <v>31</v>
      </c>
      <c r="U1557" s="4">
        <v>15.41</v>
      </c>
      <c r="V1557" s="4">
        <v>5.3929999999999998</v>
      </c>
      <c r="W1557" s="4">
        <v>140.21</v>
      </c>
    </row>
    <row r="1558" spans="1:23" ht="15" customHeight="1" x14ac:dyDescent="0.25">
      <c r="A1558">
        <v>996</v>
      </c>
      <c r="B1558" s="1">
        <v>45914.833333333343</v>
      </c>
      <c r="C1558">
        <v>20</v>
      </c>
      <c r="D1558" t="s">
        <v>55</v>
      </c>
      <c r="E1558">
        <v>9</v>
      </c>
      <c r="F1558" t="s">
        <v>39</v>
      </c>
      <c r="G1558" t="s">
        <v>36</v>
      </c>
      <c r="H1558" t="s">
        <v>50</v>
      </c>
      <c r="I1558" t="s">
        <v>22</v>
      </c>
      <c r="J1558" t="s">
        <v>12</v>
      </c>
      <c r="K1558" s="2">
        <v>21000</v>
      </c>
      <c r="L1558" s="3">
        <v>22.6</v>
      </c>
      <c r="M1558" s="3">
        <v>63.7</v>
      </c>
      <c r="N1558" s="3"/>
      <c r="O1558" s="2">
        <v>440</v>
      </c>
      <c r="P1558">
        <v>0</v>
      </c>
      <c r="Q1558" t="s">
        <v>14</v>
      </c>
      <c r="R1558" s="4">
        <v>278.45999999999998</v>
      </c>
      <c r="S1558" s="4">
        <v>0</v>
      </c>
      <c r="T1558" t="s">
        <v>31</v>
      </c>
      <c r="U1558" s="4">
        <v>29.57</v>
      </c>
      <c r="V1558" s="4">
        <v>13.26</v>
      </c>
      <c r="W1558" s="4">
        <v>278.45999999999998</v>
      </c>
    </row>
    <row r="1559" spans="1:23" ht="15" customHeight="1" x14ac:dyDescent="0.25">
      <c r="A1559">
        <v>260</v>
      </c>
      <c r="B1559" s="1">
        <v>45914.833333333343</v>
      </c>
      <c r="C1559">
        <v>20</v>
      </c>
      <c r="D1559" t="s">
        <v>55</v>
      </c>
      <c r="E1559">
        <v>9</v>
      </c>
      <c r="F1559" t="s">
        <v>39</v>
      </c>
      <c r="G1559" t="s">
        <v>36</v>
      </c>
      <c r="H1559" t="s">
        <v>53</v>
      </c>
      <c r="I1559" t="s">
        <v>19</v>
      </c>
      <c r="J1559" t="s">
        <v>26</v>
      </c>
      <c r="K1559" s="2">
        <v>12500</v>
      </c>
      <c r="L1559" s="3">
        <v>22</v>
      </c>
      <c r="M1559" s="3">
        <v>52.3</v>
      </c>
      <c r="N1559" s="3">
        <v>0</v>
      </c>
      <c r="O1559" s="2">
        <v>0</v>
      </c>
      <c r="P1559">
        <v>0</v>
      </c>
      <c r="Q1559" t="s">
        <v>14</v>
      </c>
      <c r="R1559" s="4">
        <v>24.84</v>
      </c>
      <c r="S1559" s="4">
        <v>0</v>
      </c>
      <c r="T1559" t="s">
        <v>31</v>
      </c>
      <c r="U1559" s="4">
        <v>2.71</v>
      </c>
      <c r="V1559" s="4">
        <v>1.9870000000000001</v>
      </c>
      <c r="W1559" s="4">
        <v>24.84</v>
      </c>
    </row>
    <row r="1560" spans="1:23" ht="15" customHeight="1" x14ac:dyDescent="0.25">
      <c r="A1560">
        <v>2100</v>
      </c>
      <c r="B1560" s="1">
        <v>45914.833333333343</v>
      </c>
      <c r="C1560">
        <v>20</v>
      </c>
      <c r="D1560" t="s">
        <v>55</v>
      </c>
      <c r="E1560">
        <v>9</v>
      </c>
      <c r="F1560" t="s">
        <v>39</v>
      </c>
      <c r="G1560" t="s">
        <v>36</v>
      </c>
      <c r="H1560" t="s">
        <v>52</v>
      </c>
      <c r="I1560" t="s">
        <v>13</v>
      </c>
      <c r="J1560" t="s">
        <v>21</v>
      </c>
      <c r="K1560" s="2">
        <v>9800</v>
      </c>
      <c r="L1560" s="3">
        <v>20.8</v>
      </c>
      <c r="M1560" s="3">
        <v>73.5</v>
      </c>
      <c r="N1560" s="3">
        <v>0</v>
      </c>
      <c r="O1560" s="2">
        <v>283</v>
      </c>
      <c r="P1560">
        <v>0</v>
      </c>
      <c r="Q1560" t="s">
        <v>14</v>
      </c>
      <c r="R1560" s="4">
        <v>96.16</v>
      </c>
      <c r="S1560" s="4">
        <v>0</v>
      </c>
      <c r="T1560" t="s">
        <v>31</v>
      </c>
      <c r="U1560" s="4">
        <v>10.130000000000001</v>
      </c>
      <c r="V1560" s="4">
        <v>9.8119999999999994</v>
      </c>
      <c r="W1560" s="4">
        <v>96.16</v>
      </c>
    </row>
    <row r="1561" spans="1:23" ht="15" customHeight="1" x14ac:dyDescent="0.25">
      <c r="A1561">
        <v>1364</v>
      </c>
      <c r="B1561" s="1">
        <v>45914.833333333343</v>
      </c>
      <c r="C1561">
        <v>20</v>
      </c>
      <c r="D1561" t="s">
        <v>55</v>
      </c>
      <c r="E1561">
        <v>9</v>
      </c>
      <c r="F1561" t="s">
        <v>39</v>
      </c>
      <c r="G1561" t="s">
        <v>36</v>
      </c>
      <c r="H1561" t="s">
        <v>51</v>
      </c>
      <c r="I1561" t="s">
        <v>25</v>
      </c>
      <c r="J1561" t="s">
        <v>15</v>
      </c>
      <c r="K1561" s="2">
        <v>17400</v>
      </c>
      <c r="L1561" s="3">
        <v>24.6</v>
      </c>
      <c r="M1561" s="3">
        <v>69.3</v>
      </c>
      <c r="N1561" s="3">
        <v>0</v>
      </c>
      <c r="O1561" s="2">
        <v>1481</v>
      </c>
      <c r="P1561">
        <v>1</v>
      </c>
      <c r="Q1561" t="s">
        <v>20</v>
      </c>
      <c r="R1561" s="4">
        <v>300.57</v>
      </c>
      <c r="S1561" s="4">
        <v>0</v>
      </c>
      <c r="T1561" t="s">
        <v>31</v>
      </c>
      <c r="U1561" s="4">
        <v>31.38</v>
      </c>
      <c r="V1561" s="4">
        <v>17.274000000000001</v>
      </c>
      <c r="W1561" s="4">
        <v>300.57</v>
      </c>
    </row>
    <row r="1562" spans="1:23" ht="15" customHeight="1" x14ac:dyDescent="0.25">
      <c r="A1562">
        <v>629</v>
      </c>
      <c r="B1562" s="1">
        <v>45918</v>
      </c>
      <c r="C1562">
        <v>0</v>
      </c>
      <c r="D1562" t="s">
        <v>56</v>
      </c>
      <c r="E1562">
        <v>9</v>
      </c>
      <c r="F1562" t="s">
        <v>39</v>
      </c>
      <c r="G1562" t="s">
        <v>33</v>
      </c>
      <c r="H1562" t="s">
        <v>54</v>
      </c>
      <c r="I1562" t="s">
        <v>16</v>
      </c>
      <c r="J1562" t="s">
        <v>24</v>
      </c>
      <c r="K1562" s="2">
        <v>8600</v>
      </c>
      <c r="L1562" s="3">
        <v>14.2</v>
      </c>
      <c r="M1562" s="3">
        <v>95.1</v>
      </c>
      <c r="N1562" s="3">
        <v>0</v>
      </c>
      <c r="O1562" s="2">
        <v>142</v>
      </c>
      <c r="P1562">
        <v>1</v>
      </c>
      <c r="Q1562" t="s">
        <v>17</v>
      </c>
      <c r="R1562" s="4">
        <v>27.51</v>
      </c>
      <c r="S1562" s="4">
        <v>0</v>
      </c>
      <c r="T1562" t="s">
        <v>31</v>
      </c>
      <c r="U1562" s="4">
        <v>2.96</v>
      </c>
      <c r="V1562" s="4">
        <v>3.1989999999999998</v>
      </c>
      <c r="W1562" s="4">
        <v>27.51</v>
      </c>
    </row>
    <row r="1563" spans="1:23" ht="15" customHeight="1" x14ac:dyDescent="0.25">
      <c r="A1563">
        <v>1733</v>
      </c>
      <c r="B1563" s="1">
        <v>45918</v>
      </c>
      <c r="C1563">
        <v>0</v>
      </c>
      <c r="D1563" t="s">
        <v>56</v>
      </c>
      <c r="E1563">
        <v>9</v>
      </c>
      <c r="F1563" t="s">
        <v>39</v>
      </c>
      <c r="G1563" t="s">
        <v>33</v>
      </c>
      <c r="H1563" t="s">
        <v>49</v>
      </c>
      <c r="I1563" t="s">
        <v>27</v>
      </c>
      <c r="J1563" t="s">
        <v>18</v>
      </c>
      <c r="K1563" s="2">
        <v>26000</v>
      </c>
      <c r="L1563" s="3">
        <v>18.100000000000001</v>
      </c>
      <c r="M1563" s="3">
        <v>63.7</v>
      </c>
      <c r="N1563" s="3">
        <v>0</v>
      </c>
      <c r="O1563" s="2">
        <v>54</v>
      </c>
      <c r="P1563">
        <v>0</v>
      </c>
      <c r="Q1563" t="s">
        <v>14</v>
      </c>
      <c r="R1563" s="4">
        <v>106.96</v>
      </c>
      <c r="S1563" s="4">
        <v>0</v>
      </c>
      <c r="T1563" t="s">
        <v>31</v>
      </c>
      <c r="U1563" s="4">
        <v>11.78</v>
      </c>
      <c r="V1563" s="4">
        <v>4.1139999999999999</v>
      </c>
      <c r="W1563" s="4">
        <v>106.96</v>
      </c>
    </row>
    <row r="1564" spans="1:23" ht="15" customHeight="1" x14ac:dyDescent="0.25">
      <c r="A1564">
        <v>1365</v>
      </c>
      <c r="B1564" s="1">
        <v>45918</v>
      </c>
      <c r="C1564">
        <v>0</v>
      </c>
      <c r="D1564" t="s">
        <v>56</v>
      </c>
      <c r="E1564">
        <v>9</v>
      </c>
      <c r="F1564" t="s">
        <v>39</v>
      </c>
      <c r="G1564" t="s">
        <v>33</v>
      </c>
      <c r="H1564" t="s">
        <v>51</v>
      </c>
      <c r="I1564" t="s">
        <v>25</v>
      </c>
      <c r="J1564" t="s">
        <v>15</v>
      </c>
      <c r="K1564" s="2">
        <v>17400</v>
      </c>
      <c r="L1564" s="3">
        <v>20.5</v>
      </c>
      <c r="M1564" s="3">
        <v>62.2</v>
      </c>
      <c r="N1564" s="3">
        <v>0</v>
      </c>
      <c r="O1564" s="2">
        <v>0</v>
      </c>
      <c r="P1564">
        <v>0</v>
      </c>
      <c r="Q1564" t="s">
        <v>14</v>
      </c>
      <c r="R1564" s="4">
        <v>47.29</v>
      </c>
      <c r="S1564" s="4">
        <v>0</v>
      </c>
      <c r="T1564" t="s">
        <v>31</v>
      </c>
      <c r="U1564" s="4">
        <v>5.04</v>
      </c>
      <c r="V1564" s="4">
        <v>2.718</v>
      </c>
      <c r="W1564" s="4">
        <v>47.29</v>
      </c>
    </row>
    <row r="1565" spans="1:23" ht="15" customHeight="1" x14ac:dyDescent="0.25">
      <c r="A1565">
        <v>261</v>
      </c>
      <c r="B1565" s="1">
        <v>45918</v>
      </c>
      <c r="C1565">
        <v>0</v>
      </c>
      <c r="D1565" t="s">
        <v>56</v>
      </c>
      <c r="E1565">
        <v>9</v>
      </c>
      <c r="F1565" t="s">
        <v>39</v>
      </c>
      <c r="G1565" t="s">
        <v>33</v>
      </c>
      <c r="H1565" t="s">
        <v>53</v>
      </c>
      <c r="I1565" t="s">
        <v>19</v>
      </c>
      <c r="J1565" t="s">
        <v>26</v>
      </c>
      <c r="K1565" s="2">
        <v>12500</v>
      </c>
      <c r="L1565" s="3">
        <v>19.5</v>
      </c>
      <c r="M1565" s="3">
        <v>48.9</v>
      </c>
      <c r="N1565" s="3">
        <v>0</v>
      </c>
      <c r="O1565" s="2">
        <v>0</v>
      </c>
      <c r="P1565">
        <v>0</v>
      </c>
      <c r="Q1565" t="s">
        <v>14</v>
      </c>
      <c r="R1565" s="4">
        <v>23.6</v>
      </c>
      <c r="S1565" s="4">
        <v>0</v>
      </c>
      <c r="T1565" t="s">
        <v>31</v>
      </c>
      <c r="U1565" s="4">
        <v>2.61</v>
      </c>
      <c r="V1565" s="4">
        <v>1.8879999999999999</v>
      </c>
      <c r="W1565" s="4">
        <v>23.6</v>
      </c>
    </row>
    <row r="1566" spans="1:23" ht="15" customHeight="1" x14ac:dyDescent="0.25">
      <c r="A1566">
        <v>997</v>
      </c>
      <c r="B1566" s="1">
        <v>45918</v>
      </c>
      <c r="C1566">
        <v>0</v>
      </c>
      <c r="D1566" t="s">
        <v>56</v>
      </c>
      <c r="E1566">
        <v>9</v>
      </c>
      <c r="F1566" t="s">
        <v>39</v>
      </c>
      <c r="G1566" t="s">
        <v>33</v>
      </c>
      <c r="H1566" t="s">
        <v>50</v>
      </c>
      <c r="I1566" t="s">
        <v>22</v>
      </c>
      <c r="J1566" t="s">
        <v>12</v>
      </c>
      <c r="K1566" s="2">
        <v>21000</v>
      </c>
      <c r="L1566" s="3">
        <v>17.5</v>
      </c>
      <c r="M1566" s="3">
        <v>60.4</v>
      </c>
      <c r="N1566" s="3">
        <v>0</v>
      </c>
      <c r="O1566" s="2">
        <v>191</v>
      </c>
      <c r="P1566">
        <v>0</v>
      </c>
      <c r="Q1566" t="s">
        <v>14</v>
      </c>
      <c r="R1566" s="4">
        <v>167.01</v>
      </c>
      <c r="S1566" s="4">
        <v>0</v>
      </c>
      <c r="T1566" t="s">
        <v>31</v>
      </c>
      <c r="U1566" s="4">
        <v>18</v>
      </c>
      <c r="V1566" s="4">
        <v>7.9530000000000003</v>
      </c>
      <c r="W1566" s="4">
        <v>167.01</v>
      </c>
    </row>
    <row r="1567" spans="1:23" ht="15" customHeight="1" x14ac:dyDescent="0.25">
      <c r="A1567">
        <v>2101</v>
      </c>
      <c r="B1567" s="1">
        <v>45918</v>
      </c>
      <c r="C1567">
        <v>0</v>
      </c>
      <c r="D1567" t="s">
        <v>56</v>
      </c>
      <c r="E1567">
        <v>9</v>
      </c>
      <c r="F1567" t="s">
        <v>39</v>
      </c>
      <c r="G1567" t="s">
        <v>33</v>
      </c>
      <c r="H1567" t="s">
        <v>52</v>
      </c>
      <c r="I1567" t="s">
        <v>13</v>
      </c>
      <c r="J1567" t="s">
        <v>21</v>
      </c>
      <c r="K1567" s="2">
        <v>9800</v>
      </c>
      <c r="L1567" s="3">
        <v>18.7</v>
      </c>
      <c r="M1567" s="3">
        <v>67.3</v>
      </c>
      <c r="N1567" s="3">
        <v>0</v>
      </c>
      <c r="O1567" s="2">
        <v>306</v>
      </c>
      <c r="P1567">
        <v>0</v>
      </c>
      <c r="Q1567" t="s">
        <v>14</v>
      </c>
      <c r="R1567" s="4">
        <v>90.55</v>
      </c>
      <c r="S1567" s="4">
        <v>0</v>
      </c>
      <c r="T1567" t="s">
        <v>31</v>
      </c>
      <c r="U1567" s="4">
        <v>9.9600000000000009</v>
      </c>
      <c r="V1567" s="4">
        <v>9.24</v>
      </c>
      <c r="W1567" s="4">
        <v>90.55</v>
      </c>
    </row>
    <row r="1568" spans="1:23" ht="15" customHeight="1" x14ac:dyDescent="0.25">
      <c r="A1568">
        <v>998</v>
      </c>
      <c r="B1568" s="1">
        <v>45918.333333333343</v>
      </c>
      <c r="C1568">
        <v>8</v>
      </c>
      <c r="D1568" t="s">
        <v>56</v>
      </c>
      <c r="E1568">
        <v>9</v>
      </c>
      <c r="F1568" t="s">
        <v>39</v>
      </c>
      <c r="G1568" t="s">
        <v>33</v>
      </c>
      <c r="H1568" t="s">
        <v>50</v>
      </c>
      <c r="I1568" t="s">
        <v>22</v>
      </c>
      <c r="J1568" t="s">
        <v>12</v>
      </c>
      <c r="K1568" s="2">
        <v>21000</v>
      </c>
      <c r="L1568" s="3">
        <v>21.2</v>
      </c>
      <c r="M1568" s="3">
        <v>60.1</v>
      </c>
      <c r="N1568" s="3">
        <v>199.7</v>
      </c>
      <c r="O1568" s="2">
        <v>364</v>
      </c>
      <c r="P1568">
        <v>0</v>
      </c>
      <c r="Q1568" t="s">
        <v>14</v>
      </c>
      <c r="R1568" s="4">
        <v>192.08</v>
      </c>
      <c r="S1568" s="4">
        <v>37.47</v>
      </c>
      <c r="T1568" t="s">
        <v>34</v>
      </c>
      <c r="U1568" s="4">
        <v>26.38</v>
      </c>
      <c r="V1568" s="4">
        <v>9.1470000000000002</v>
      </c>
      <c r="W1568" s="4">
        <v>154.61000000000001</v>
      </c>
    </row>
    <row r="1569" spans="1:23" ht="15" customHeight="1" x14ac:dyDescent="0.25">
      <c r="A1569">
        <v>1366</v>
      </c>
      <c r="B1569" s="1">
        <v>45918.333333333343</v>
      </c>
      <c r="C1569">
        <v>8</v>
      </c>
      <c r="D1569" t="s">
        <v>56</v>
      </c>
      <c r="E1569">
        <v>9</v>
      </c>
      <c r="F1569" t="s">
        <v>39</v>
      </c>
      <c r="G1569" t="s">
        <v>33</v>
      </c>
      <c r="H1569" t="s">
        <v>51</v>
      </c>
      <c r="I1569" t="s">
        <v>25</v>
      </c>
      <c r="J1569" t="s">
        <v>15</v>
      </c>
      <c r="K1569" s="2">
        <v>17400</v>
      </c>
      <c r="L1569" s="3">
        <v>21.8</v>
      </c>
      <c r="M1569" s="3">
        <v>78</v>
      </c>
      <c r="N1569" s="3">
        <v>181.9</v>
      </c>
      <c r="O1569" s="2">
        <v>80</v>
      </c>
      <c r="P1569">
        <v>0</v>
      </c>
      <c r="Q1569" t="s">
        <v>14</v>
      </c>
      <c r="R1569" s="4">
        <v>40.130000000000003</v>
      </c>
      <c r="S1569" s="4">
        <v>20.61</v>
      </c>
      <c r="T1569" t="s">
        <v>34</v>
      </c>
      <c r="U1569" s="4">
        <v>3.36</v>
      </c>
      <c r="V1569" s="4">
        <v>2.306</v>
      </c>
      <c r="W1569" s="4">
        <v>19.52</v>
      </c>
    </row>
    <row r="1570" spans="1:23" ht="15" customHeight="1" x14ac:dyDescent="0.25">
      <c r="A1570">
        <v>1734</v>
      </c>
      <c r="B1570" s="1">
        <v>45918.333333333343</v>
      </c>
      <c r="C1570">
        <v>8</v>
      </c>
      <c r="D1570" t="s">
        <v>56</v>
      </c>
      <c r="E1570">
        <v>9</v>
      </c>
      <c r="F1570" t="s">
        <v>39</v>
      </c>
      <c r="G1570" t="s">
        <v>33</v>
      </c>
      <c r="H1570" t="s">
        <v>49</v>
      </c>
      <c r="I1570" t="s">
        <v>27</v>
      </c>
      <c r="J1570" t="s">
        <v>18</v>
      </c>
      <c r="K1570" s="2">
        <v>26000</v>
      </c>
      <c r="L1570" s="3"/>
      <c r="M1570" s="3">
        <v>60.4</v>
      </c>
      <c r="N1570" s="3">
        <v>245</v>
      </c>
      <c r="O1570" s="2">
        <v>167</v>
      </c>
      <c r="P1570">
        <v>0</v>
      </c>
      <c r="Q1570" t="s">
        <v>14</v>
      </c>
      <c r="R1570" s="4">
        <v>152.83000000000001</v>
      </c>
      <c r="S1570" s="4">
        <v>64.349999999999994</v>
      </c>
      <c r="T1570" t="s">
        <v>34</v>
      </c>
      <c r="U1570" s="4">
        <v>14.91</v>
      </c>
      <c r="V1570" s="4">
        <v>5.8780000000000001</v>
      </c>
      <c r="W1570" s="4">
        <v>88.48</v>
      </c>
    </row>
    <row r="1571" spans="1:23" ht="15" customHeight="1" x14ac:dyDescent="0.25">
      <c r="A1571">
        <v>2102</v>
      </c>
      <c r="B1571" s="1">
        <v>45918.333333333343</v>
      </c>
      <c r="C1571">
        <v>8</v>
      </c>
      <c r="D1571" t="s">
        <v>56</v>
      </c>
      <c r="E1571">
        <v>9</v>
      </c>
      <c r="F1571" t="s">
        <v>39</v>
      </c>
      <c r="G1571" t="s">
        <v>33</v>
      </c>
      <c r="H1571" t="s">
        <v>52</v>
      </c>
      <c r="I1571" t="s">
        <v>13</v>
      </c>
      <c r="J1571" t="s">
        <v>21</v>
      </c>
      <c r="K1571" s="2">
        <v>9800</v>
      </c>
      <c r="L1571" s="3">
        <v>17.5</v>
      </c>
      <c r="M1571" s="3">
        <v>73.599999999999994</v>
      </c>
      <c r="N1571" s="3">
        <v>198.3</v>
      </c>
      <c r="O1571" s="2">
        <v>35</v>
      </c>
      <c r="P1571">
        <v>0</v>
      </c>
      <c r="Q1571" t="s">
        <v>14</v>
      </c>
      <c r="R1571" s="4">
        <v>17.309999999999999</v>
      </c>
      <c r="S1571" s="4">
        <v>0</v>
      </c>
      <c r="T1571" t="s">
        <v>34</v>
      </c>
      <c r="U1571" s="4">
        <v>2.98</v>
      </c>
      <c r="V1571" s="4">
        <v>1.766</v>
      </c>
      <c r="W1571" s="4">
        <v>17.309999999999999</v>
      </c>
    </row>
    <row r="1572" spans="1:23" ht="15" customHeight="1" x14ac:dyDescent="0.25">
      <c r="A1572">
        <v>262</v>
      </c>
      <c r="B1572" s="1">
        <v>45918.333333333343</v>
      </c>
      <c r="C1572">
        <v>8</v>
      </c>
      <c r="D1572" t="s">
        <v>56</v>
      </c>
      <c r="E1572">
        <v>9</v>
      </c>
      <c r="F1572" t="s">
        <v>39</v>
      </c>
      <c r="G1572" t="s">
        <v>33</v>
      </c>
      <c r="H1572" t="s">
        <v>53</v>
      </c>
      <c r="I1572" t="s">
        <v>19</v>
      </c>
      <c r="J1572" t="s">
        <v>26</v>
      </c>
      <c r="K1572" s="2">
        <v>12500</v>
      </c>
      <c r="L1572" s="3">
        <v>17.399999999999999</v>
      </c>
      <c r="M1572" s="3">
        <v>57</v>
      </c>
      <c r="N1572" s="3">
        <v>190.9</v>
      </c>
      <c r="O1572" s="2">
        <v>326</v>
      </c>
      <c r="P1572">
        <v>0</v>
      </c>
      <c r="Q1572" t="s">
        <v>14</v>
      </c>
      <c r="R1572" s="4">
        <v>67.92</v>
      </c>
      <c r="S1572" s="4">
        <v>31.27</v>
      </c>
      <c r="T1572" t="s">
        <v>34</v>
      </c>
      <c r="U1572" s="4">
        <v>6.19</v>
      </c>
      <c r="V1572" s="4">
        <v>5.4340000000000002</v>
      </c>
      <c r="W1572" s="4">
        <v>36.65</v>
      </c>
    </row>
    <row r="1573" spans="1:23" ht="15" customHeight="1" x14ac:dyDescent="0.25">
      <c r="A1573">
        <v>630</v>
      </c>
      <c r="B1573" s="1">
        <v>45918.333333333343</v>
      </c>
      <c r="C1573">
        <v>8</v>
      </c>
      <c r="D1573" t="s">
        <v>56</v>
      </c>
      <c r="E1573">
        <v>9</v>
      </c>
      <c r="F1573" t="s">
        <v>39</v>
      </c>
      <c r="G1573" t="s">
        <v>33</v>
      </c>
      <c r="H1573" t="s">
        <v>54</v>
      </c>
      <c r="I1573" t="s">
        <v>16</v>
      </c>
      <c r="J1573" t="s">
        <v>24</v>
      </c>
      <c r="K1573" s="2">
        <v>8600</v>
      </c>
      <c r="L1573" s="3">
        <v>17.8</v>
      </c>
      <c r="M1573" s="3">
        <v>81.3</v>
      </c>
      <c r="N1573" s="3">
        <v>108.9</v>
      </c>
      <c r="O1573" s="2">
        <v>847</v>
      </c>
      <c r="P1573">
        <v>0</v>
      </c>
      <c r="Q1573" t="s">
        <v>14</v>
      </c>
      <c r="R1573" s="4">
        <v>111.74</v>
      </c>
      <c r="S1573" s="4">
        <v>7.91</v>
      </c>
      <c r="T1573" t="s">
        <v>34</v>
      </c>
      <c r="U1573" s="4">
        <v>17.170000000000002</v>
      </c>
      <c r="V1573" s="4">
        <v>12.993</v>
      </c>
      <c r="W1573" s="4">
        <v>103.83</v>
      </c>
    </row>
    <row r="1574" spans="1:23" ht="15" customHeight="1" x14ac:dyDescent="0.25">
      <c r="A1574">
        <v>631</v>
      </c>
      <c r="B1574" s="1">
        <v>45918.583333333343</v>
      </c>
      <c r="C1574">
        <v>14</v>
      </c>
      <c r="D1574" t="s">
        <v>56</v>
      </c>
      <c r="E1574">
        <v>9</v>
      </c>
      <c r="F1574" t="s">
        <v>39</v>
      </c>
      <c r="G1574" t="s">
        <v>33</v>
      </c>
      <c r="H1574" t="s">
        <v>54</v>
      </c>
      <c r="I1574" t="s">
        <v>16</v>
      </c>
      <c r="J1574" t="s">
        <v>24</v>
      </c>
      <c r="K1574" s="2">
        <v>8600</v>
      </c>
      <c r="L1574" s="3">
        <v>20.6</v>
      </c>
      <c r="M1574" s="3">
        <v>73.900000000000006</v>
      </c>
      <c r="N1574" s="3">
        <v>620.6</v>
      </c>
      <c r="O1574" s="2">
        <v>730</v>
      </c>
      <c r="P1574">
        <v>0</v>
      </c>
      <c r="Q1574" t="s">
        <v>14</v>
      </c>
      <c r="R1574" s="4">
        <v>72.72</v>
      </c>
      <c r="S1574" s="4">
        <v>45.38</v>
      </c>
      <c r="T1574" t="s">
        <v>34</v>
      </c>
      <c r="U1574" s="4">
        <v>4.84</v>
      </c>
      <c r="V1574" s="4">
        <v>8.4559999999999995</v>
      </c>
      <c r="W1574" s="4">
        <v>27.34</v>
      </c>
    </row>
    <row r="1575" spans="1:23" ht="15" customHeight="1" x14ac:dyDescent="0.25">
      <c r="A1575">
        <v>999</v>
      </c>
      <c r="B1575" s="1">
        <v>45918.583333333343</v>
      </c>
      <c r="C1575">
        <v>14</v>
      </c>
      <c r="D1575" t="s">
        <v>56</v>
      </c>
      <c r="E1575">
        <v>9</v>
      </c>
      <c r="F1575" t="s">
        <v>39</v>
      </c>
      <c r="G1575" t="s">
        <v>33</v>
      </c>
      <c r="H1575" t="s">
        <v>50</v>
      </c>
      <c r="I1575" t="s">
        <v>22</v>
      </c>
      <c r="J1575" t="s">
        <v>12</v>
      </c>
      <c r="K1575" s="2">
        <v>21000</v>
      </c>
      <c r="L1575" s="3">
        <v>31.9</v>
      </c>
      <c r="M1575" s="3">
        <v>39.6</v>
      </c>
      <c r="N1575" s="3">
        <v>677</v>
      </c>
      <c r="O1575" s="2">
        <v>399</v>
      </c>
      <c r="P1575">
        <v>1</v>
      </c>
      <c r="Q1575" t="s">
        <v>20</v>
      </c>
      <c r="R1575" s="4">
        <v>232.95</v>
      </c>
      <c r="S1575" s="4">
        <v>137.24</v>
      </c>
      <c r="T1575" t="s">
        <v>34</v>
      </c>
      <c r="U1575" s="4">
        <v>16.41</v>
      </c>
      <c r="V1575" s="4">
        <v>11.093</v>
      </c>
      <c r="W1575" s="4">
        <v>95.71</v>
      </c>
    </row>
    <row r="1576" spans="1:23" ht="15" customHeight="1" x14ac:dyDescent="0.25">
      <c r="A1576">
        <v>263</v>
      </c>
      <c r="B1576" s="1">
        <v>45918.583333333343</v>
      </c>
      <c r="C1576">
        <v>14</v>
      </c>
      <c r="D1576" t="s">
        <v>56</v>
      </c>
      <c r="E1576">
        <v>9</v>
      </c>
      <c r="F1576" t="s">
        <v>39</v>
      </c>
      <c r="G1576" t="s">
        <v>33</v>
      </c>
      <c r="H1576" t="s">
        <v>53</v>
      </c>
      <c r="I1576" t="s">
        <v>19</v>
      </c>
      <c r="J1576" t="s">
        <v>26</v>
      </c>
      <c r="K1576" s="2">
        <v>12500</v>
      </c>
      <c r="L1576" s="3">
        <v>26.2</v>
      </c>
      <c r="M1576" s="3">
        <v>50.8</v>
      </c>
      <c r="N1576" s="3">
        <v>727.5</v>
      </c>
      <c r="O1576" s="2">
        <v>576</v>
      </c>
      <c r="P1576">
        <v>1</v>
      </c>
      <c r="Q1576" t="s">
        <v>20</v>
      </c>
      <c r="R1576" s="4">
        <v>104.87</v>
      </c>
      <c r="S1576" s="4">
        <v>115.45</v>
      </c>
      <c r="T1576" t="s">
        <v>34</v>
      </c>
      <c r="U1576" s="4">
        <v>-0.73</v>
      </c>
      <c r="V1576" s="4">
        <v>8.39</v>
      </c>
      <c r="W1576" s="4">
        <v>0</v>
      </c>
    </row>
    <row r="1577" spans="1:23" ht="15" customHeight="1" x14ac:dyDescent="0.25">
      <c r="A1577">
        <v>1367</v>
      </c>
      <c r="B1577" s="1">
        <v>45918.583333333343</v>
      </c>
      <c r="C1577">
        <v>14</v>
      </c>
      <c r="D1577" t="s">
        <v>56</v>
      </c>
      <c r="E1577">
        <v>9</v>
      </c>
      <c r="F1577" t="s">
        <v>39</v>
      </c>
      <c r="G1577" t="s">
        <v>33</v>
      </c>
      <c r="H1577" t="s">
        <v>51</v>
      </c>
      <c r="I1577" t="s">
        <v>25</v>
      </c>
      <c r="J1577" t="s">
        <v>15</v>
      </c>
      <c r="K1577" s="2">
        <v>17400</v>
      </c>
      <c r="L1577" s="3">
        <v>25.9</v>
      </c>
      <c r="M1577" s="3">
        <v>59.6</v>
      </c>
      <c r="N1577" s="3">
        <v>717.9</v>
      </c>
      <c r="O1577" s="2">
        <v>1370</v>
      </c>
      <c r="P1577">
        <v>1</v>
      </c>
      <c r="Q1577" t="s">
        <v>20</v>
      </c>
      <c r="R1577" s="4">
        <v>203.78</v>
      </c>
      <c r="S1577" s="4">
        <v>88.85</v>
      </c>
      <c r="T1577" t="s">
        <v>34</v>
      </c>
      <c r="U1577" s="4">
        <v>20.100000000000001</v>
      </c>
      <c r="V1577" s="4">
        <v>11.711</v>
      </c>
      <c r="W1577" s="4">
        <v>114.93</v>
      </c>
    </row>
    <row r="1578" spans="1:23" ht="15" customHeight="1" x14ac:dyDescent="0.25">
      <c r="A1578">
        <v>2103</v>
      </c>
      <c r="B1578" s="1">
        <v>45918.583333333343</v>
      </c>
      <c r="C1578">
        <v>14</v>
      </c>
      <c r="D1578" t="s">
        <v>56</v>
      </c>
      <c r="E1578">
        <v>9</v>
      </c>
      <c r="F1578" t="s">
        <v>39</v>
      </c>
      <c r="G1578" t="s">
        <v>33</v>
      </c>
      <c r="H1578" t="s">
        <v>52</v>
      </c>
      <c r="I1578" t="s">
        <v>13</v>
      </c>
      <c r="J1578" t="s">
        <v>21</v>
      </c>
      <c r="K1578" s="2">
        <v>9800</v>
      </c>
      <c r="L1578" s="3">
        <v>24.9</v>
      </c>
      <c r="M1578" s="3">
        <v>54.5</v>
      </c>
      <c r="N1578" s="3">
        <v>791.9</v>
      </c>
      <c r="O1578" s="2">
        <v>70</v>
      </c>
      <c r="P1578">
        <v>1</v>
      </c>
      <c r="Q1578" t="s">
        <v>20</v>
      </c>
      <c r="R1578" s="4">
        <v>21.7</v>
      </c>
      <c r="S1578" s="4">
        <v>0</v>
      </c>
      <c r="T1578" t="s">
        <v>34</v>
      </c>
      <c r="U1578" s="4">
        <v>3.66</v>
      </c>
      <c r="V1578" s="4">
        <v>2.214</v>
      </c>
      <c r="W1578" s="4">
        <v>21.7</v>
      </c>
    </row>
    <row r="1579" spans="1:23" ht="15" customHeight="1" x14ac:dyDescent="0.25">
      <c r="A1579">
        <v>1735</v>
      </c>
      <c r="B1579" s="1">
        <v>45918.583333333343</v>
      </c>
      <c r="C1579">
        <v>14</v>
      </c>
      <c r="D1579" t="s">
        <v>56</v>
      </c>
      <c r="E1579">
        <v>9</v>
      </c>
      <c r="F1579" t="s">
        <v>39</v>
      </c>
      <c r="G1579" t="s">
        <v>33</v>
      </c>
      <c r="H1579" t="s">
        <v>49</v>
      </c>
      <c r="I1579" t="s">
        <v>27</v>
      </c>
      <c r="J1579" t="s">
        <v>18</v>
      </c>
      <c r="K1579" s="2">
        <v>26000</v>
      </c>
      <c r="L1579" s="3">
        <v>25.2</v>
      </c>
      <c r="M1579" s="3">
        <v>61.5</v>
      </c>
      <c r="N1579" s="3">
        <v>680.8</v>
      </c>
      <c r="O1579" s="2">
        <v>176</v>
      </c>
      <c r="P1579">
        <v>1</v>
      </c>
      <c r="Q1579" t="s">
        <v>20</v>
      </c>
      <c r="R1579" s="4">
        <v>174.85</v>
      </c>
      <c r="S1579" s="4">
        <v>167.35</v>
      </c>
      <c r="T1579" t="s">
        <v>34</v>
      </c>
      <c r="U1579" s="4">
        <v>1.31</v>
      </c>
      <c r="V1579" s="4">
        <v>6.7249999999999996</v>
      </c>
      <c r="W1579" s="4">
        <v>7.5</v>
      </c>
    </row>
    <row r="1580" spans="1:23" ht="15" customHeight="1" x14ac:dyDescent="0.25">
      <c r="A1580">
        <v>1000</v>
      </c>
      <c r="B1580" s="1">
        <v>45918.833333333343</v>
      </c>
      <c r="C1580">
        <v>20</v>
      </c>
      <c r="D1580" t="s">
        <v>56</v>
      </c>
      <c r="E1580">
        <v>9</v>
      </c>
      <c r="F1580" t="s">
        <v>39</v>
      </c>
      <c r="G1580" t="s">
        <v>33</v>
      </c>
      <c r="H1580" t="s">
        <v>50</v>
      </c>
      <c r="I1580" t="s">
        <v>22</v>
      </c>
      <c r="J1580" t="s">
        <v>12</v>
      </c>
      <c r="K1580" s="2">
        <v>21000</v>
      </c>
      <c r="L1580" s="3">
        <v>25.7</v>
      </c>
      <c r="M1580" s="3">
        <v>61.2</v>
      </c>
      <c r="N1580" s="3">
        <v>0</v>
      </c>
      <c r="O1580" s="2">
        <v>448</v>
      </c>
      <c r="P1580">
        <v>1</v>
      </c>
      <c r="Q1580" t="s">
        <v>20</v>
      </c>
      <c r="R1580" s="4">
        <v>293.37</v>
      </c>
      <c r="S1580" s="4">
        <v>0</v>
      </c>
      <c r="T1580" t="s">
        <v>37</v>
      </c>
      <c r="U1580" s="4">
        <v>79.94</v>
      </c>
      <c r="V1580" s="4">
        <v>13.97</v>
      </c>
      <c r="W1580" s="4">
        <v>293.37</v>
      </c>
    </row>
    <row r="1581" spans="1:23" ht="15" customHeight="1" x14ac:dyDescent="0.25">
      <c r="A1581">
        <v>2104</v>
      </c>
      <c r="B1581" s="1">
        <v>45918.833333333343</v>
      </c>
      <c r="C1581">
        <v>20</v>
      </c>
      <c r="D1581" t="s">
        <v>56</v>
      </c>
      <c r="E1581">
        <v>9</v>
      </c>
      <c r="F1581" t="s">
        <v>39</v>
      </c>
      <c r="G1581" t="s">
        <v>33</v>
      </c>
      <c r="H1581" t="s">
        <v>52</v>
      </c>
      <c r="I1581" t="s">
        <v>13</v>
      </c>
      <c r="J1581" t="s">
        <v>21</v>
      </c>
      <c r="K1581" s="2">
        <v>9800</v>
      </c>
      <c r="L1581" s="3">
        <v>19.8</v>
      </c>
      <c r="M1581" s="3">
        <v>70.599999999999994</v>
      </c>
      <c r="N1581" s="3">
        <v>0</v>
      </c>
      <c r="O1581" s="2">
        <v>315</v>
      </c>
      <c r="P1581">
        <v>0</v>
      </c>
      <c r="Q1581" t="s">
        <v>14</v>
      </c>
      <c r="R1581" s="4">
        <v>93.96</v>
      </c>
      <c r="S1581" s="4">
        <v>0</v>
      </c>
      <c r="T1581" t="s">
        <v>37</v>
      </c>
      <c r="U1581" s="4">
        <v>24.7</v>
      </c>
      <c r="V1581" s="4">
        <v>9.5879999999999992</v>
      </c>
      <c r="W1581" s="4">
        <v>93.96</v>
      </c>
    </row>
    <row r="1582" spans="1:23" ht="15" customHeight="1" x14ac:dyDescent="0.25">
      <c r="A1582">
        <v>1368</v>
      </c>
      <c r="B1582" s="1">
        <v>45918.833333333343</v>
      </c>
      <c r="C1582">
        <v>20</v>
      </c>
      <c r="D1582" t="s">
        <v>56</v>
      </c>
      <c r="E1582">
        <v>9</v>
      </c>
      <c r="F1582" t="s">
        <v>39</v>
      </c>
      <c r="G1582" t="s">
        <v>33</v>
      </c>
      <c r="H1582" t="s">
        <v>51</v>
      </c>
      <c r="I1582" t="s">
        <v>25</v>
      </c>
      <c r="J1582" t="s">
        <v>15</v>
      </c>
      <c r="K1582" s="2">
        <v>17400</v>
      </c>
      <c r="L1582" s="3">
        <v>24.5</v>
      </c>
      <c r="M1582" s="3">
        <v>68.900000000000006</v>
      </c>
      <c r="N1582" s="3"/>
      <c r="O1582" s="2">
        <v>1386</v>
      </c>
      <c r="P1582">
        <v>1</v>
      </c>
      <c r="Q1582" t="s">
        <v>20</v>
      </c>
      <c r="R1582" s="4">
        <v>278.39999999999998</v>
      </c>
      <c r="S1582" s="4">
        <v>0</v>
      </c>
      <c r="T1582" t="s">
        <v>37</v>
      </c>
      <c r="U1582" s="4">
        <v>74.11</v>
      </c>
      <c r="V1582" s="4">
        <v>16</v>
      </c>
      <c r="W1582" s="4">
        <v>278.39999999999998</v>
      </c>
    </row>
    <row r="1583" spans="1:23" ht="15" customHeight="1" x14ac:dyDescent="0.25">
      <c r="A1583">
        <v>1736</v>
      </c>
      <c r="B1583" s="1">
        <v>45918.833333333343</v>
      </c>
      <c r="C1583">
        <v>20</v>
      </c>
      <c r="D1583" t="s">
        <v>56</v>
      </c>
      <c r="E1583">
        <v>9</v>
      </c>
      <c r="F1583" t="s">
        <v>39</v>
      </c>
      <c r="G1583" t="s">
        <v>33</v>
      </c>
      <c r="H1583" t="s">
        <v>49</v>
      </c>
      <c r="I1583" t="s">
        <v>27</v>
      </c>
      <c r="J1583" t="s">
        <v>18</v>
      </c>
      <c r="K1583" s="2">
        <v>26000</v>
      </c>
      <c r="L1583" s="3"/>
      <c r="M1583" s="3">
        <v>75.099999999999994</v>
      </c>
      <c r="N1583" s="3">
        <v>0</v>
      </c>
      <c r="O1583" s="2">
        <v>188</v>
      </c>
      <c r="P1583">
        <v>0</v>
      </c>
      <c r="Q1583" t="s">
        <v>14</v>
      </c>
      <c r="R1583" s="4">
        <v>248.38</v>
      </c>
      <c r="S1583" s="4">
        <v>0</v>
      </c>
      <c r="T1583" t="s">
        <v>37</v>
      </c>
      <c r="U1583" s="4">
        <v>64.38</v>
      </c>
      <c r="V1583" s="4">
        <v>9.5530000000000008</v>
      </c>
      <c r="W1583" s="4">
        <v>248.38</v>
      </c>
    </row>
    <row r="1584" spans="1:23" ht="15" customHeight="1" x14ac:dyDescent="0.25">
      <c r="A1584">
        <v>632</v>
      </c>
      <c r="B1584" s="1">
        <v>45918.833333333343</v>
      </c>
      <c r="C1584">
        <v>20</v>
      </c>
      <c r="D1584" t="s">
        <v>56</v>
      </c>
      <c r="E1584">
        <v>9</v>
      </c>
      <c r="F1584" t="s">
        <v>39</v>
      </c>
      <c r="G1584" t="s">
        <v>33</v>
      </c>
      <c r="H1584" t="s">
        <v>54</v>
      </c>
      <c r="I1584" t="s">
        <v>16</v>
      </c>
      <c r="J1584" t="s">
        <v>24</v>
      </c>
      <c r="K1584" s="2">
        <v>8600</v>
      </c>
      <c r="L1584" s="3">
        <v>20</v>
      </c>
      <c r="M1584" s="3">
        <v>75.900000000000006</v>
      </c>
      <c r="N1584" s="3">
        <v>0</v>
      </c>
      <c r="O1584" s="2">
        <v>70</v>
      </c>
      <c r="P1584">
        <v>0</v>
      </c>
      <c r="Q1584" t="s">
        <v>14</v>
      </c>
      <c r="R1584" s="4">
        <v>22.24</v>
      </c>
      <c r="S1584" s="4">
        <v>0</v>
      </c>
      <c r="T1584" t="s">
        <v>37</v>
      </c>
      <c r="U1584" s="4">
        <v>5.85</v>
      </c>
      <c r="V1584" s="4">
        <v>2.5859999999999999</v>
      </c>
      <c r="W1584" s="4">
        <v>22.24</v>
      </c>
    </row>
    <row r="1585" spans="1:23" ht="15" customHeight="1" x14ac:dyDescent="0.25">
      <c r="A1585">
        <v>264</v>
      </c>
      <c r="B1585" s="1">
        <v>45918.833333333343</v>
      </c>
      <c r="C1585">
        <v>20</v>
      </c>
      <c r="D1585" t="s">
        <v>56</v>
      </c>
      <c r="E1585">
        <v>9</v>
      </c>
      <c r="F1585" t="s">
        <v>39</v>
      </c>
      <c r="G1585" t="s">
        <v>33</v>
      </c>
      <c r="H1585" t="s">
        <v>53</v>
      </c>
      <c r="I1585" t="s">
        <v>19</v>
      </c>
      <c r="J1585" t="s">
        <v>26</v>
      </c>
      <c r="K1585" s="2">
        <v>12500</v>
      </c>
      <c r="L1585" s="3">
        <v>17.7</v>
      </c>
      <c r="M1585" s="3">
        <v>49.6</v>
      </c>
      <c r="N1585" s="3">
        <v>0</v>
      </c>
      <c r="O1585" s="2">
        <v>80</v>
      </c>
      <c r="P1585">
        <v>0</v>
      </c>
      <c r="Q1585" t="s">
        <v>14</v>
      </c>
      <c r="R1585" s="4">
        <v>39.549999999999997</v>
      </c>
      <c r="S1585" s="4">
        <v>0</v>
      </c>
      <c r="T1585" t="s">
        <v>37</v>
      </c>
      <c r="U1585" s="4">
        <v>10.09</v>
      </c>
      <c r="V1585" s="4">
        <v>3.1640000000000001</v>
      </c>
      <c r="W1585" s="4">
        <v>39.549999999999997</v>
      </c>
    </row>
    <row r="1586" spans="1:23" ht="15" customHeight="1" x14ac:dyDescent="0.25">
      <c r="A1586">
        <v>1369</v>
      </c>
      <c r="B1586" s="1">
        <v>45922</v>
      </c>
      <c r="C1586">
        <v>0</v>
      </c>
      <c r="D1586" t="s">
        <v>57</v>
      </c>
      <c r="E1586">
        <v>9</v>
      </c>
      <c r="F1586" t="s">
        <v>39</v>
      </c>
      <c r="G1586" t="s">
        <v>33</v>
      </c>
      <c r="H1586" t="s">
        <v>51</v>
      </c>
      <c r="I1586" t="s">
        <v>25</v>
      </c>
      <c r="J1586" t="s">
        <v>15</v>
      </c>
      <c r="K1586" s="2">
        <v>17400</v>
      </c>
      <c r="L1586" s="3">
        <v>16.399999999999999</v>
      </c>
      <c r="M1586" s="3">
        <v>79.599999999999994</v>
      </c>
      <c r="N1586" s="3">
        <v>0</v>
      </c>
      <c r="O1586" s="2">
        <v>163</v>
      </c>
      <c r="P1586">
        <v>0</v>
      </c>
      <c r="Q1586" t="s">
        <v>14</v>
      </c>
      <c r="R1586" s="4">
        <v>57.14</v>
      </c>
      <c r="S1586" s="4">
        <v>0</v>
      </c>
      <c r="T1586" t="s">
        <v>31</v>
      </c>
      <c r="U1586" s="4">
        <v>6.17</v>
      </c>
      <c r="V1586" s="4">
        <v>3.2839999999999998</v>
      </c>
      <c r="W1586" s="4">
        <v>57.14</v>
      </c>
    </row>
    <row r="1587" spans="1:23" ht="15" customHeight="1" x14ac:dyDescent="0.25">
      <c r="A1587">
        <v>1001</v>
      </c>
      <c r="B1587" s="1">
        <v>45922</v>
      </c>
      <c r="C1587">
        <v>0</v>
      </c>
      <c r="D1587" t="s">
        <v>57</v>
      </c>
      <c r="E1587">
        <v>9</v>
      </c>
      <c r="F1587" t="s">
        <v>39</v>
      </c>
      <c r="G1587" t="s">
        <v>33</v>
      </c>
      <c r="H1587" t="s">
        <v>50</v>
      </c>
      <c r="I1587" t="s">
        <v>22</v>
      </c>
      <c r="J1587" t="s">
        <v>12</v>
      </c>
      <c r="K1587" s="2">
        <v>21000</v>
      </c>
      <c r="L1587" s="3">
        <v>21.1</v>
      </c>
      <c r="M1587" s="3">
        <v>60.4</v>
      </c>
      <c r="N1587" s="3">
        <v>0</v>
      </c>
      <c r="O1587" s="2">
        <v>212</v>
      </c>
      <c r="P1587">
        <v>0</v>
      </c>
      <c r="Q1587" t="s">
        <v>14</v>
      </c>
      <c r="R1587" s="4">
        <v>183.38</v>
      </c>
      <c r="S1587" s="4">
        <v>0</v>
      </c>
      <c r="T1587" t="s">
        <v>31</v>
      </c>
      <c r="U1587" s="4">
        <v>20.149999999999999</v>
      </c>
      <c r="V1587" s="4">
        <v>8.7319999999999993</v>
      </c>
      <c r="W1587" s="4">
        <v>183.38</v>
      </c>
    </row>
    <row r="1588" spans="1:23" ht="15" customHeight="1" x14ac:dyDescent="0.25">
      <c r="A1588">
        <v>1737</v>
      </c>
      <c r="B1588" s="1">
        <v>45922</v>
      </c>
      <c r="C1588">
        <v>0</v>
      </c>
      <c r="D1588" t="s">
        <v>57</v>
      </c>
      <c r="E1588">
        <v>9</v>
      </c>
      <c r="F1588" t="s">
        <v>39</v>
      </c>
      <c r="G1588" t="s">
        <v>33</v>
      </c>
      <c r="H1588" t="s">
        <v>49</v>
      </c>
      <c r="I1588" t="s">
        <v>27</v>
      </c>
      <c r="J1588" t="s">
        <v>18</v>
      </c>
      <c r="K1588" s="2">
        <v>26000</v>
      </c>
      <c r="L1588" s="3">
        <v>14.6</v>
      </c>
      <c r="M1588" s="3">
        <v>64.2</v>
      </c>
      <c r="N1588" s="3">
        <v>0</v>
      </c>
      <c r="O1588" s="2">
        <v>55</v>
      </c>
      <c r="P1588">
        <v>1</v>
      </c>
      <c r="Q1588" t="s">
        <v>23</v>
      </c>
      <c r="R1588" s="4">
        <v>125.04</v>
      </c>
      <c r="S1588" s="4">
        <v>0</v>
      </c>
      <c r="T1588" t="s">
        <v>31</v>
      </c>
      <c r="U1588" s="4">
        <v>13.7</v>
      </c>
      <c r="V1588" s="4">
        <v>4.8090000000000002</v>
      </c>
      <c r="W1588" s="4">
        <v>125.04</v>
      </c>
    </row>
    <row r="1589" spans="1:23" ht="15" customHeight="1" x14ac:dyDescent="0.25">
      <c r="A1589">
        <v>265</v>
      </c>
      <c r="B1589" s="1">
        <v>45922</v>
      </c>
      <c r="C1589">
        <v>0</v>
      </c>
      <c r="D1589" t="s">
        <v>57</v>
      </c>
      <c r="E1589">
        <v>9</v>
      </c>
      <c r="F1589" t="s">
        <v>39</v>
      </c>
      <c r="G1589" t="s">
        <v>33</v>
      </c>
      <c r="H1589" t="s">
        <v>53</v>
      </c>
      <c r="I1589" t="s">
        <v>19</v>
      </c>
      <c r="J1589" t="s">
        <v>26</v>
      </c>
      <c r="K1589" s="2">
        <v>12500</v>
      </c>
      <c r="L1589" s="3">
        <v>16</v>
      </c>
      <c r="M1589" s="3">
        <v>59.5</v>
      </c>
      <c r="N1589" s="3">
        <v>0</v>
      </c>
      <c r="O1589" s="2">
        <v>0</v>
      </c>
      <c r="P1589">
        <v>0</v>
      </c>
      <c r="Q1589" t="s">
        <v>14</v>
      </c>
      <c r="R1589" s="4">
        <v>23.87</v>
      </c>
      <c r="S1589" s="4">
        <v>0</v>
      </c>
      <c r="T1589" t="s">
        <v>31</v>
      </c>
      <c r="U1589" s="4">
        <v>2.58</v>
      </c>
      <c r="V1589" s="4">
        <v>1.91</v>
      </c>
      <c r="W1589" s="4">
        <v>23.87</v>
      </c>
    </row>
    <row r="1590" spans="1:23" ht="15" customHeight="1" x14ac:dyDescent="0.25">
      <c r="A1590">
        <v>633</v>
      </c>
      <c r="B1590" s="1">
        <v>45922</v>
      </c>
      <c r="C1590">
        <v>0</v>
      </c>
      <c r="D1590" t="s">
        <v>57</v>
      </c>
      <c r="E1590">
        <v>9</v>
      </c>
      <c r="F1590" t="s">
        <v>39</v>
      </c>
      <c r="G1590" t="s">
        <v>33</v>
      </c>
      <c r="H1590" t="s">
        <v>54</v>
      </c>
      <c r="I1590" t="s">
        <v>16</v>
      </c>
      <c r="J1590" t="s">
        <v>24</v>
      </c>
      <c r="K1590" s="2">
        <v>8600</v>
      </c>
      <c r="L1590" s="3">
        <v>16.7</v>
      </c>
      <c r="M1590" s="3">
        <v>93.4</v>
      </c>
      <c r="N1590" s="3">
        <v>0</v>
      </c>
      <c r="O1590" s="2">
        <v>56</v>
      </c>
      <c r="P1590">
        <v>0</v>
      </c>
      <c r="Q1590" t="s">
        <v>14</v>
      </c>
      <c r="R1590" s="4">
        <v>23.5</v>
      </c>
      <c r="S1590" s="4">
        <v>0</v>
      </c>
      <c r="T1590" t="s">
        <v>31</v>
      </c>
      <c r="U1590" s="4">
        <v>2.52</v>
      </c>
      <c r="V1590" s="4">
        <v>2.7330000000000001</v>
      </c>
      <c r="W1590" s="4">
        <v>23.5</v>
      </c>
    </row>
    <row r="1591" spans="1:23" ht="15" customHeight="1" x14ac:dyDescent="0.25">
      <c r="A1591">
        <v>2105</v>
      </c>
      <c r="B1591" s="1">
        <v>45922</v>
      </c>
      <c r="C1591">
        <v>0</v>
      </c>
      <c r="D1591" t="s">
        <v>57</v>
      </c>
      <c r="E1591">
        <v>9</v>
      </c>
      <c r="F1591" t="s">
        <v>39</v>
      </c>
      <c r="G1591" t="s">
        <v>33</v>
      </c>
      <c r="H1591" t="s">
        <v>52</v>
      </c>
      <c r="I1591" t="s">
        <v>13</v>
      </c>
      <c r="J1591" t="s">
        <v>21</v>
      </c>
      <c r="K1591" s="2">
        <v>9800</v>
      </c>
      <c r="L1591" s="3">
        <v>14</v>
      </c>
      <c r="M1591" s="3">
        <v>84.4</v>
      </c>
      <c r="N1591" s="3">
        <v>0</v>
      </c>
      <c r="O1591" s="2">
        <v>318</v>
      </c>
      <c r="P1591">
        <v>1</v>
      </c>
      <c r="Q1591" t="s">
        <v>17</v>
      </c>
      <c r="R1591" s="4">
        <v>101.1</v>
      </c>
      <c r="S1591" s="4">
        <v>0</v>
      </c>
      <c r="T1591" t="s">
        <v>31</v>
      </c>
      <c r="U1591" s="4">
        <v>10.78</v>
      </c>
      <c r="V1591" s="4">
        <v>10.316000000000001</v>
      </c>
      <c r="W1591" s="4">
        <v>101.1</v>
      </c>
    </row>
    <row r="1592" spans="1:23" ht="15" customHeight="1" x14ac:dyDescent="0.25">
      <c r="A1592">
        <v>1738</v>
      </c>
      <c r="B1592" s="1">
        <v>45922.333333333343</v>
      </c>
      <c r="C1592">
        <v>8</v>
      </c>
      <c r="D1592" t="s">
        <v>57</v>
      </c>
      <c r="E1592">
        <v>9</v>
      </c>
      <c r="F1592" t="s">
        <v>39</v>
      </c>
      <c r="G1592" t="s">
        <v>33</v>
      </c>
      <c r="H1592" t="s">
        <v>49</v>
      </c>
      <c r="I1592" t="s">
        <v>27</v>
      </c>
      <c r="J1592" t="s">
        <v>18</v>
      </c>
      <c r="K1592" s="2">
        <v>26000</v>
      </c>
      <c r="L1592" s="3">
        <v>15.8</v>
      </c>
      <c r="M1592" s="3">
        <v>65.099999999999994</v>
      </c>
      <c r="N1592" s="3">
        <v>153.80000000000001</v>
      </c>
      <c r="O1592" s="2">
        <v>183</v>
      </c>
      <c r="P1592">
        <v>1</v>
      </c>
      <c r="Q1592" t="s">
        <v>23</v>
      </c>
      <c r="R1592" s="4">
        <v>146.31</v>
      </c>
      <c r="S1592" s="4">
        <v>40.130000000000003</v>
      </c>
      <c r="T1592" t="s">
        <v>34</v>
      </c>
      <c r="U1592" s="4">
        <v>18.739999999999998</v>
      </c>
      <c r="V1592" s="4">
        <v>5.6269999999999998</v>
      </c>
      <c r="W1592" s="4">
        <v>106.18</v>
      </c>
    </row>
    <row r="1593" spans="1:23" ht="15" customHeight="1" x14ac:dyDescent="0.25">
      <c r="A1593">
        <v>1370</v>
      </c>
      <c r="B1593" s="1">
        <v>45922.333333333343</v>
      </c>
      <c r="C1593">
        <v>8</v>
      </c>
      <c r="D1593" t="s">
        <v>57</v>
      </c>
      <c r="E1593">
        <v>9</v>
      </c>
      <c r="F1593" t="s">
        <v>39</v>
      </c>
      <c r="G1593" t="s">
        <v>33</v>
      </c>
      <c r="H1593" t="s">
        <v>51</v>
      </c>
      <c r="I1593" t="s">
        <v>25</v>
      </c>
      <c r="J1593" t="s">
        <v>15</v>
      </c>
      <c r="K1593" s="2">
        <v>17400</v>
      </c>
      <c r="L1593" s="3">
        <v>19.5</v>
      </c>
      <c r="M1593" s="3">
        <v>62.6</v>
      </c>
      <c r="N1593" s="3">
        <v>213.3</v>
      </c>
      <c r="O1593" s="2"/>
      <c r="P1593">
        <v>0</v>
      </c>
      <c r="Q1593" t="s">
        <v>14</v>
      </c>
      <c r="R1593" s="4">
        <v>44.14</v>
      </c>
      <c r="S1593" s="4">
        <v>27.36</v>
      </c>
      <c r="T1593" t="s">
        <v>34</v>
      </c>
      <c r="U1593" s="4">
        <v>2.98</v>
      </c>
      <c r="V1593" s="4">
        <v>2.5369999999999999</v>
      </c>
      <c r="W1593" s="4">
        <v>16.78</v>
      </c>
    </row>
    <row r="1594" spans="1:23" ht="15" customHeight="1" x14ac:dyDescent="0.25">
      <c r="A1594">
        <v>2106</v>
      </c>
      <c r="B1594" s="1">
        <v>45922.333333333343</v>
      </c>
      <c r="C1594">
        <v>8</v>
      </c>
      <c r="D1594" t="s">
        <v>57</v>
      </c>
      <c r="E1594">
        <v>9</v>
      </c>
      <c r="F1594" t="s">
        <v>39</v>
      </c>
      <c r="G1594" t="s">
        <v>33</v>
      </c>
      <c r="H1594" t="s">
        <v>52</v>
      </c>
      <c r="I1594" t="s">
        <v>13</v>
      </c>
      <c r="J1594" t="s">
        <v>21</v>
      </c>
      <c r="K1594" s="2">
        <v>9800</v>
      </c>
      <c r="L1594" s="3">
        <v>16.8</v>
      </c>
      <c r="M1594" s="3">
        <v>76.5</v>
      </c>
      <c r="N1594" s="3">
        <v>158.69999999999999</v>
      </c>
      <c r="O1594" s="2">
        <v>102</v>
      </c>
      <c r="P1594">
        <v>0</v>
      </c>
      <c r="Q1594" t="s">
        <v>14</v>
      </c>
      <c r="R1594" s="4">
        <v>21.44</v>
      </c>
      <c r="S1594" s="4">
        <v>0</v>
      </c>
      <c r="T1594" t="s">
        <v>34</v>
      </c>
      <c r="U1594" s="4">
        <v>3.6</v>
      </c>
      <c r="V1594" s="4">
        <v>2.1880000000000002</v>
      </c>
      <c r="W1594" s="4">
        <v>21.44</v>
      </c>
    </row>
    <row r="1595" spans="1:23" ht="15" customHeight="1" x14ac:dyDescent="0.25">
      <c r="A1595">
        <v>266</v>
      </c>
      <c r="B1595" s="1">
        <v>45922.333333333343</v>
      </c>
      <c r="C1595">
        <v>8</v>
      </c>
      <c r="D1595" t="s">
        <v>57</v>
      </c>
      <c r="E1595">
        <v>9</v>
      </c>
      <c r="F1595" t="s">
        <v>39</v>
      </c>
      <c r="G1595" t="s">
        <v>33</v>
      </c>
      <c r="H1595" t="s">
        <v>53</v>
      </c>
      <c r="I1595" t="s">
        <v>19</v>
      </c>
      <c r="J1595" t="s">
        <v>26</v>
      </c>
      <c r="K1595" s="2">
        <v>12500</v>
      </c>
      <c r="L1595" s="3">
        <v>14.6</v>
      </c>
      <c r="M1595" s="3">
        <v>55.2</v>
      </c>
      <c r="N1595" s="3">
        <v>202.6</v>
      </c>
      <c r="O1595" s="2">
        <v>379</v>
      </c>
      <c r="P1595">
        <v>1</v>
      </c>
      <c r="Q1595" t="s">
        <v>23</v>
      </c>
      <c r="R1595" s="4">
        <v>69.14</v>
      </c>
      <c r="S1595" s="4">
        <v>31.91</v>
      </c>
      <c r="T1595" t="s">
        <v>34</v>
      </c>
      <c r="U1595" s="4">
        <v>6.51</v>
      </c>
      <c r="V1595" s="4">
        <v>5.5309999999999997</v>
      </c>
      <c r="W1595" s="4">
        <v>37.229999999999997</v>
      </c>
    </row>
    <row r="1596" spans="1:23" ht="15" customHeight="1" x14ac:dyDescent="0.25">
      <c r="A1596">
        <v>1002</v>
      </c>
      <c r="B1596" s="1">
        <v>45922.333333333343</v>
      </c>
      <c r="C1596">
        <v>8</v>
      </c>
      <c r="D1596" t="s">
        <v>57</v>
      </c>
      <c r="E1596">
        <v>9</v>
      </c>
      <c r="F1596" t="s">
        <v>39</v>
      </c>
      <c r="G1596" t="s">
        <v>33</v>
      </c>
      <c r="H1596" t="s">
        <v>50</v>
      </c>
      <c r="I1596" t="s">
        <v>22</v>
      </c>
      <c r="J1596" t="s">
        <v>12</v>
      </c>
      <c r="K1596" s="2">
        <v>21000</v>
      </c>
      <c r="L1596" s="3">
        <v>19.8</v>
      </c>
      <c r="M1596" s="3">
        <v>54</v>
      </c>
      <c r="N1596" s="3">
        <v>168.7</v>
      </c>
      <c r="O1596" s="2">
        <v>431</v>
      </c>
      <c r="P1596">
        <v>0</v>
      </c>
      <c r="Q1596" t="s">
        <v>14</v>
      </c>
      <c r="R1596" s="4">
        <v>198.61</v>
      </c>
      <c r="S1596" s="4">
        <v>33.729999999999997</v>
      </c>
      <c r="T1596" t="s">
        <v>34</v>
      </c>
      <c r="U1596" s="4">
        <v>29.4</v>
      </c>
      <c r="V1596" s="4">
        <v>9.4580000000000002</v>
      </c>
      <c r="W1596" s="4">
        <v>164.88</v>
      </c>
    </row>
    <row r="1597" spans="1:23" ht="15" customHeight="1" x14ac:dyDescent="0.25">
      <c r="A1597">
        <v>634</v>
      </c>
      <c r="B1597" s="1">
        <v>45922.333333333343</v>
      </c>
      <c r="C1597">
        <v>8</v>
      </c>
      <c r="D1597" t="s">
        <v>57</v>
      </c>
      <c r="E1597">
        <v>9</v>
      </c>
      <c r="F1597" t="s">
        <v>39</v>
      </c>
      <c r="G1597" t="s">
        <v>33</v>
      </c>
      <c r="H1597" t="s">
        <v>54</v>
      </c>
      <c r="I1597" t="s">
        <v>16</v>
      </c>
      <c r="J1597" t="s">
        <v>24</v>
      </c>
      <c r="K1597" s="2">
        <v>8600</v>
      </c>
      <c r="L1597" s="3">
        <v>16.2</v>
      </c>
      <c r="M1597" s="3">
        <v>76.7</v>
      </c>
      <c r="N1597" s="3">
        <v>111.4</v>
      </c>
      <c r="O1597" s="2">
        <v>814</v>
      </c>
      <c r="P1597">
        <v>0</v>
      </c>
      <c r="Q1597" t="s">
        <v>14</v>
      </c>
      <c r="R1597" s="4">
        <v>114.74</v>
      </c>
      <c r="S1597" s="4">
        <v>8.26</v>
      </c>
      <c r="T1597" t="s">
        <v>34</v>
      </c>
      <c r="U1597" s="4">
        <v>18.829999999999998</v>
      </c>
      <c r="V1597" s="4">
        <v>13.342000000000001</v>
      </c>
      <c r="W1597" s="4">
        <v>106.48</v>
      </c>
    </row>
    <row r="1598" spans="1:23" ht="15" customHeight="1" x14ac:dyDescent="0.25">
      <c r="A1598">
        <v>267</v>
      </c>
      <c r="B1598" s="1">
        <v>45922.583333333343</v>
      </c>
      <c r="C1598">
        <v>14</v>
      </c>
      <c r="D1598" t="s">
        <v>57</v>
      </c>
      <c r="E1598">
        <v>9</v>
      </c>
      <c r="F1598" t="s">
        <v>39</v>
      </c>
      <c r="G1598" t="s">
        <v>33</v>
      </c>
      <c r="H1598" t="s">
        <v>53</v>
      </c>
      <c r="I1598" t="s">
        <v>19</v>
      </c>
      <c r="J1598" t="s">
        <v>26</v>
      </c>
      <c r="K1598" s="2">
        <v>12500</v>
      </c>
      <c r="L1598" s="3">
        <v>23.8</v>
      </c>
      <c r="M1598" s="3">
        <v>50.7</v>
      </c>
      <c r="N1598" s="3">
        <v>591.29999999999995</v>
      </c>
      <c r="O1598" s="2">
        <v>576</v>
      </c>
      <c r="P1598">
        <v>1</v>
      </c>
      <c r="Q1598" t="s">
        <v>23</v>
      </c>
      <c r="R1598" s="4">
        <v>111.05</v>
      </c>
      <c r="S1598" s="4">
        <v>86.8</v>
      </c>
      <c r="T1598" t="s">
        <v>34</v>
      </c>
      <c r="U1598" s="4">
        <v>4.1100000000000003</v>
      </c>
      <c r="V1598" s="4">
        <v>8.8840000000000003</v>
      </c>
      <c r="W1598" s="4">
        <v>24.25</v>
      </c>
    </row>
    <row r="1599" spans="1:23" ht="15" customHeight="1" x14ac:dyDescent="0.25">
      <c r="A1599">
        <v>1003</v>
      </c>
      <c r="B1599" s="1">
        <v>45922.583333333343</v>
      </c>
      <c r="C1599">
        <v>14</v>
      </c>
      <c r="D1599" t="s">
        <v>57</v>
      </c>
      <c r="E1599">
        <v>9</v>
      </c>
      <c r="F1599" t="s">
        <v>39</v>
      </c>
      <c r="G1599" t="s">
        <v>33</v>
      </c>
      <c r="H1599" t="s">
        <v>50</v>
      </c>
      <c r="I1599" t="s">
        <v>22</v>
      </c>
      <c r="J1599" t="s">
        <v>12</v>
      </c>
      <c r="K1599" s="2">
        <v>21000</v>
      </c>
      <c r="L1599" s="3">
        <v>27.5</v>
      </c>
      <c r="M1599" s="3">
        <v>54.6</v>
      </c>
      <c r="N1599" s="3">
        <v>681.9</v>
      </c>
      <c r="O1599" s="2">
        <v>384</v>
      </c>
      <c r="P1599">
        <v>1</v>
      </c>
      <c r="Q1599" t="s">
        <v>20</v>
      </c>
      <c r="R1599" s="4">
        <v>196.45</v>
      </c>
      <c r="S1599" s="4">
        <v>133.47</v>
      </c>
      <c r="T1599" t="s">
        <v>34</v>
      </c>
      <c r="U1599" s="4">
        <v>10.98</v>
      </c>
      <c r="V1599" s="4">
        <v>9.3550000000000004</v>
      </c>
      <c r="W1599" s="4">
        <v>62.98</v>
      </c>
    </row>
    <row r="1600" spans="1:23" ht="15" customHeight="1" x14ac:dyDescent="0.25">
      <c r="A1600">
        <v>1371</v>
      </c>
      <c r="B1600" s="1">
        <v>45922.583333333343</v>
      </c>
      <c r="C1600">
        <v>14</v>
      </c>
      <c r="D1600" t="s">
        <v>57</v>
      </c>
      <c r="E1600">
        <v>9</v>
      </c>
      <c r="F1600" t="s">
        <v>39</v>
      </c>
      <c r="G1600" t="s">
        <v>33</v>
      </c>
      <c r="H1600" t="s">
        <v>51</v>
      </c>
      <c r="I1600" t="s">
        <v>25</v>
      </c>
      <c r="J1600" t="s">
        <v>15</v>
      </c>
      <c r="K1600" s="2">
        <v>17400</v>
      </c>
      <c r="L1600" s="3">
        <v>23.5</v>
      </c>
      <c r="M1600" s="3">
        <v>74.2</v>
      </c>
      <c r="N1600" s="3">
        <v>735</v>
      </c>
      <c r="O1600" s="2">
        <v>1248</v>
      </c>
      <c r="P1600">
        <v>1</v>
      </c>
      <c r="Q1600" t="s">
        <v>23</v>
      </c>
      <c r="R1600" s="4">
        <v>2295.19</v>
      </c>
      <c r="S1600" s="4">
        <v>96.67</v>
      </c>
      <c r="T1600" t="s">
        <v>34</v>
      </c>
      <c r="U1600" s="4">
        <v>19.87</v>
      </c>
      <c r="V1600" s="4">
        <v>131.90700000000001</v>
      </c>
      <c r="W1600" s="4">
        <v>2198.52</v>
      </c>
    </row>
    <row r="1601" spans="1:23" ht="15" customHeight="1" x14ac:dyDescent="0.25">
      <c r="A1601">
        <v>2107</v>
      </c>
      <c r="B1601" s="1">
        <v>45922.583333333343</v>
      </c>
      <c r="C1601">
        <v>14</v>
      </c>
      <c r="D1601" t="s">
        <v>57</v>
      </c>
      <c r="E1601">
        <v>9</v>
      </c>
      <c r="F1601" t="s">
        <v>39</v>
      </c>
      <c r="G1601" t="s">
        <v>33</v>
      </c>
      <c r="H1601" t="s">
        <v>52</v>
      </c>
      <c r="I1601" t="s">
        <v>13</v>
      </c>
      <c r="J1601" t="s">
        <v>21</v>
      </c>
      <c r="K1601" s="2">
        <v>9800</v>
      </c>
      <c r="L1601" s="3"/>
      <c r="M1601" s="3">
        <v>79.8</v>
      </c>
      <c r="N1601" s="3">
        <v>598.6</v>
      </c>
      <c r="O1601" s="2">
        <v>63</v>
      </c>
      <c r="P1601">
        <v>0</v>
      </c>
      <c r="Q1601" t="s">
        <v>14</v>
      </c>
      <c r="R1601" s="4">
        <v>16.79</v>
      </c>
      <c r="S1601" s="4">
        <v>0</v>
      </c>
      <c r="T1601" t="s">
        <v>34</v>
      </c>
      <c r="U1601" s="4">
        <v>2.84</v>
      </c>
      <c r="V1601" s="4">
        <v>1.7130000000000001</v>
      </c>
      <c r="W1601" s="4">
        <v>16.79</v>
      </c>
    </row>
    <row r="1602" spans="1:23" ht="15" customHeight="1" x14ac:dyDescent="0.25">
      <c r="A1602">
        <v>635</v>
      </c>
      <c r="B1602" s="1">
        <v>45922.583333333343</v>
      </c>
      <c r="C1602">
        <v>14</v>
      </c>
      <c r="D1602" t="s">
        <v>57</v>
      </c>
      <c r="E1602">
        <v>9</v>
      </c>
      <c r="F1602" t="s">
        <v>39</v>
      </c>
      <c r="G1602" t="s">
        <v>33</v>
      </c>
      <c r="H1602" t="s">
        <v>54</v>
      </c>
      <c r="I1602" t="s">
        <v>16</v>
      </c>
      <c r="J1602" t="s">
        <v>24</v>
      </c>
      <c r="K1602" s="2">
        <v>8600</v>
      </c>
      <c r="L1602" s="3">
        <v>23.6</v>
      </c>
      <c r="M1602" s="3">
        <v>69.8</v>
      </c>
      <c r="N1602" s="3">
        <v>666.2</v>
      </c>
      <c r="O1602" s="2">
        <v>799</v>
      </c>
      <c r="P1602">
        <v>1</v>
      </c>
      <c r="Q1602" t="s">
        <v>23</v>
      </c>
      <c r="R1602" s="4">
        <v>84.39</v>
      </c>
      <c r="S1602" s="4">
        <v>52.73</v>
      </c>
      <c r="T1602" t="s">
        <v>34</v>
      </c>
      <c r="U1602" s="4">
        <v>5.62</v>
      </c>
      <c r="V1602" s="4">
        <v>9.8130000000000006</v>
      </c>
      <c r="W1602" s="4">
        <v>31.66</v>
      </c>
    </row>
    <row r="1603" spans="1:23" ht="15" customHeight="1" x14ac:dyDescent="0.25">
      <c r="A1603">
        <v>1739</v>
      </c>
      <c r="B1603" s="1">
        <v>45922.583333333343</v>
      </c>
      <c r="C1603">
        <v>14</v>
      </c>
      <c r="D1603" t="s">
        <v>57</v>
      </c>
      <c r="E1603">
        <v>9</v>
      </c>
      <c r="F1603" t="s">
        <v>39</v>
      </c>
      <c r="G1603" t="s">
        <v>33</v>
      </c>
      <c r="H1603" t="s">
        <v>49</v>
      </c>
      <c r="I1603" t="s">
        <v>27</v>
      </c>
      <c r="J1603" t="s">
        <v>18</v>
      </c>
      <c r="K1603" s="2">
        <v>26000</v>
      </c>
      <c r="L1603" s="3">
        <v>27</v>
      </c>
      <c r="M1603" s="3">
        <v>53.6</v>
      </c>
      <c r="N1603" s="3">
        <v>597.29999999999995</v>
      </c>
      <c r="O1603" s="2">
        <v>187</v>
      </c>
      <c r="P1603">
        <v>1</v>
      </c>
      <c r="Q1603" t="s">
        <v>20</v>
      </c>
      <c r="R1603" s="4">
        <v>161.32</v>
      </c>
      <c r="S1603" s="4">
        <v>147.71</v>
      </c>
      <c r="T1603" t="s">
        <v>34</v>
      </c>
      <c r="U1603" s="4"/>
      <c r="V1603" s="4">
        <v>6.2050000000000001</v>
      </c>
      <c r="W1603" s="4">
        <v>13.61</v>
      </c>
    </row>
    <row r="1604" spans="1:23" ht="15" customHeight="1" x14ac:dyDescent="0.25">
      <c r="A1604">
        <v>2108</v>
      </c>
      <c r="B1604" s="1">
        <v>45922.833333333343</v>
      </c>
      <c r="C1604">
        <v>20</v>
      </c>
      <c r="D1604" t="s">
        <v>57</v>
      </c>
      <c r="E1604">
        <v>9</v>
      </c>
      <c r="F1604" t="s">
        <v>39</v>
      </c>
      <c r="G1604" t="s">
        <v>33</v>
      </c>
      <c r="H1604" t="s">
        <v>52</v>
      </c>
      <c r="I1604" t="s">
        <v>13</v>
      </c>
      <c r="J1604" t="s">
        <v>21</v>
      </c>
      <c r="K1604" s="2">
        <v>9800</v>
      </c>
      <c r="L1604" s="3">
        <v>21.3</v>
      </c>
      <c r="M1604" s="3">
        <v>64.5</v>
      </c>
      <c r="N1604" s="3">
        <v>0</v>
      </c>
      <c r="O1604" s="2">
        <v>294</v>
      </c>
      <c r="P1604">
        <v>0</v>
      </c>
      <c r="Q1604" t="s">
        <v>14</v>
      </c>
      <c r="R1604" s="4">
        <v>94.09</v>
      </c>
      <c r="S1604" s="4">
        <v>0</v>
      </c>
      <c r="T1604" t="s">
        <v>37</v>
      </c>
      <c r="U1604" s="4">
        <v>24.51</v>
      </c>
      <c r="V1604" s="4">
        <v>9.6010000000000009</v>
      </c>
      <c r="W1604" s="4">
        <v>94.09</v>
      </c>
    </row>
    <row r="1605" spans="1:23" ht="15" customHeight="1" x14ac:dyDescent="0.25">
      <c r="A1605">
        <v>268</v>
      </c>
      <c r="B1605" s="1">
        <v>45922.833333333343</v>
      </c>
      <c r="C1605">
        <v>20</v>
      </c>
      <c r="D1605" t="s">
        <v>57</v>
      </c>
      <c r="E1605">
        <v>9</v>
      </c>
      <c r="F1605" t="s">
        <v>39</v>
      </c>
      <c r="G1605" t="s">
        <v>33</v>
      </c>
      <c r="H1605" t="s">
        <v>53</v>
      </c>
      <c r="I1605" t="s">
        <v>19</v>
      </c>
      <c r="J1605" t="s">
        <v>26</v>
      </c>
      <c r="K1605" s="2">
        <v>12500</v>
      </c>
      <c r="L1605" s="3"/>
      <c r="M1605" s="3">
        <v>52.1</v>
      </c>
      <c r="N1605" s="3">
        <v>0</v>
      </c>
      <c r="O1605" s="2">
        <v>47</v>
      </c>
      <c r="P1605">
        <v>0</v>
      </c>
      <c r="Q1605" t="s">
        <v>14</v>
      </c>
      <c r="R1605" s="4">
        <v>34.659999999999997</v>
      </c>
      <c r="S1605" s="4">
        <v>0</v>
      </c>
      <c r="T1605" t="s">
        <v>37</v>
      </c>
      <c r="U1605" s="4">
        <v>9.26</v>
      </c>
      <c r="V1605" s="4">
        <v>2.7730000000000001</v>
      </c>
      <c r="W1605" s="4">
        <v>34.659999999999997</v>
      </c>
    </row>
    <row r="1606" spans="1:23" ht="15" customHeight="1" x14ac:dyDescent="0.25">
      <c r="A1606">
        <v>1372</v>
      </c>
      <c r="B1606" s="1">
        <v>45922.833333333343</v>
      </c>
      <c r="C1606">
        <v>20</v>
      </c>
      <c r="D1606" t="s">
        <v>57</v>
      </c>
      <c r="E1606">
        <v>9</v>
      </c>
      <c r="F1606" t="s">
        <v>39</v>
      </c>
      <c r="G1606" t="s">
        <v>33</v>
      </c>
      <c r="H1606" t="s">
        <v>51</v>
      </c>
      <c r="I1606" t="s">
        <v>25</v>
      </c>
      <c r="J1606" t="s">
        <v>15</v>
      </c>
      <c r="K1606" s="2">
        <v>17400</v>
      </c>
      <c r="L1606" s="3">
        <v>23.4</v>
      </c>
      <c r="M1606" s="3">
        <v>57.5</v>
      </c>
      <c r="N1606" s="3">
        <v>0</v>
      </c>
      <c r="O1606" s="2">
        <v>1231</v>
      </c>
      <c r="P1606">
        <v>1</v>
      </c>
      <c r="Q1606" t="s">
        <v>23</v>
      </c>
      <c r="R1606" s="4">
        <v>288.77999999999997</v>
      </c>
      <c r="S1606" s="4">
        <v>0</v>
      </c>
      <c r="T1606" t="s">
        <v>37</v>
      </c>
      <c r="U1606" s="4">
        <v>76.44</v>
      </c>
      <c r="V1606" s="4">
        <v>16.597000000000001</v>
      </c>
      <c r="W1606" s="4">
        <v>288.77999999999997</v>
      </c>
    </row>
    <row r="1607" spans="1:23" ht="15" customHeight="1" x14ac:dyDescent="0.25">
      <c r="A1607">
        <v>636</v>
      </c>
      <c r="B1607" s="1">
        <v>45922.833333333343</v>
      </c>
      <c r="C1607">
        <v>20</v>
      </c>
      <c r="D1607" t="s">
        <v>57</v>
      </c>
      <c r="E1607">
        <v>9</v>
      </c>
      <c r="F1607" t="s">
        <v>39</v>
      </c>
      <c r="G1607" t="s">
        <v>33</v>
      </c>
      <c r="H1607" t="s">
        <v>54</v>
      </c>
      <c r="I1607" t="s">
        <v>16</v>
      </c>
      <c r="J1607" t="s">
        <v>24</v>
      </c>
      <c r="K1607" s="2">
        <v>8600</v>
      </c>
      <c r="L1607" s="3">
        <v>16.5</v>
      </c>
      <c r="M1607" s="3">
        <v>73.8</v>
      </c>
      <c r="N1607" s="3">
        <v>0</v>
      </c>
      <c r="O1607" s="2">
        <v>14</v>
      </c>
      <c r="P1607">
        <v>0</v>
      </c>
      <c r="Q1607" t="s">
        <v>14</v>
      </c>
      <c r="R1607" s="4">
        <v>18.420000000000002</v>
      </c>
      <c r="S1607" s="4">
        <v>0</v>
      </c>
      <c r="T1607" t="s">
        <v>37</v>
      </c>
      <c r="U1607" s="4">
        <v>4.96</v>
      </c>
      <c r="V1607" s="4">
        <v>2.1419999999999999</v>
      </c>
      <c r="W1607" s="4">
        <v>18.420000000000002</v>
      </c>
    </row>
    <row r="1608" spans="1:23" ht="15" customHeight="1" x14ac:dyDescent="0.25">
      <c r="A1608">
        <v>1004</v>
      </c>
      <c r="B1608" s="1">
        <v>45922.833333333343</v>
      </c>
      <c r="C1608">
        <v>20</v>
      </c>
      <c r="D1608" t="s">
        <v>57</v>
      </c>
      <c r="E1608">
        <v>9</v>
      </c>
      <c r="F1608" t="s">
        <v>39</v>
      </c>
      <c r="G1608" t="s">
        <v>33</v>
      </c>
      <c r="H1608" t="s">
        <v>50</v>
      </c>
      <c r="I1608" t="s">
        <v>22</v>
      </c>
      <c r="J1608" t="s">
        <v>12</v>
      </c>
      <c r="K1608" s="2">
        <v>21000</v>
      </c>
      <c r="L1608" s="3">
        <v>23.9</v>
      </c>
      <c r="M1608" s="3">
        <v>59.1</v>
      </c>
      <c r="N1608" s="3">
        <v>0</v>
      </c>
      <c r="O1608" s="2">
        <v>403</v>
      </c>
      <c r="P1608">
        <v>1</v>
      </c>
      <c r="Q1608" t="s">
        <v>23</v>
      </c>
      <c r="R1608" s="4">
        <v>299.81</v>
      </c>
      <c r="S1608" s="4">
        <v>0</v>
      </c>
      <c r="T1608" t="s">
        <v>37</v>
      </c>
      <c r="U1608" s="4">
        <v>80.98</v>
      </c>
      <c r="V1608" s="4">
        <v>14.276999999999999</v>
      </c>
      <c r="W1608" s="4">
        <v>299.81</v>
      </c>
    </row>
    <row r="1609" spans="1:23" ht="15" customHeight="1" x14ac:dyDescent="0.25">
      <c r="A1609">
        <v>1740</v>
      </c>
      <c r="B1609" s="1">
        <v>45922.833333333343</v>
      </c>
      <c r="C1609">
        <v>20</v>
      </c>
      <c r="D1609" t="s">
        <v>57</v>
      </c>
      <c r="E1609">
        <v>9</v>
      </c>
      <c r="F1609" t="s">
        <v>39</v>
      </c>
      <c r="G1609" t="s">
        <v>33</v>
      </c>
      <c r="H1609" t="s">
        <v>49</v>
      </c>
      <c r="I1609" t="s">
        <v>27</v>
      </c>
      <c r="J1609" t="s">
        <v>18</v>
      </c>
      <c r="K1609" s="2">
        <v>26000</v>
      </c>
      <c r="L1609" s="3">
        <v>21.6</v>
      </c>
      <c r="M1609" s="3">
        <v>61.6</v>
      </c>
      <c r="N1609" s="3">
        <v>0</v>
      </c>
      <c r="O1609" s="2">
        <v>170</v>
      </c>
      <c r="P1609">
        <v>0</v>
      </c>
      <c r="Q1609" t="s">
        <v>14</v>
      </c>
      <c r="R1609" s="4"/>
      <c r="S1609" s="4">
        <v>0</v>
      </c>
      <c r="T1609" t="s">
        <v>37</v>
      </c>
      <c r="U1609" s="4">
        <v>62.81</v>
      </c>
      <c r="V1609" s="4"/>
      <c r="W1609" s="4"/>
    </row>
    <row r="1610" spans="1:23" ht="15" customHeight="1" x14ac:dyDescent="0.25">
      <c r="A1610">
        <v>2109</v>
      </c>
      <c r="B1610" s="1">
        <v>45926</v>
      </c>
      <c r="C1610">
        <v>0</v>
      </c>
      <c r="D1610" t="s">
        <v>58</v>
      </c>
      <c r="E1610">
        <v>9</v>
      </c>
      <c r="F1610" t="s">
        <v>39</v>
      </c>
      <c r="G1610" t="s">
        <v>33</v>
      </c>
      <c r="H1610" t="s">
        <v>52</v>
      </c>
      <c r="I1610" t="s">
        <v>13</v>
      </c>
      <c r="J1610" t="s">
        <v>21</v>
      </c>
      <c r="K1610" s="2">
        <v>9800</v>
      </c>
      <c r="L1610" s="3">
        <v>15.8</v>
      </c>
      <c r="M1610" s="3">
        <v>73.900000000000006</v>
      </c>
      <c r="N1610" s="3">
        <v>0</v>
      </c>
      <c r="O1610" s="2">
        <v>319</v>
      </c>
      <c r="P1610">
        <v>1</v>
      </c>
      <c r="Q1610" t="s">
        <v>23</v>
      </c>
      <c r="R1610" s="4">
        <v>95.05</v>
      </c>
      <c r="S1610" s="4">
        <v>0</v>
      </c>
      <c r="T1610" t="s">
        <v>31</v>
      </c>
      <c r="U1610" s="4">
        <v>10.5</v>
      </c>
      <c r="V1610" s="4">
        <v>9.6989999999999998</v>
      </c>
      <c r="W1610" s="4">
        <v>95.05</v>
      </c>
    </row>
    <row r="1611" spans="1:23" ht="15" customHeight="1" x14ac:dyDescent="0.25">
      <c r="A1611">
        <v>269</v>
      </c>
      <c r="B1611" s="1">
        <v>45926</v>
      </c>
      <c r="C1611">
        <v>0</v>
      </c>
      <c r="D1611" t="s">
        <v>58</v>
      </c>
      <c r="E1611">
        <v>9</v>
      </c>
      <c r="F1611" t="s">
        <v>39</v>
      </c>
      <c r="G1611" t="s">
        <v>33</v>
      </c>
      <c r="H1611" t="s">
        <v>53</v>
      </c>
      <c r="I1611" t="s">
        <v>19</v>
      </c>
      <c r="J1611" t="s">
        <v>26</v>
      </c>
      <c r="K1611" s="2">
        <v>12500</v>
      </c>
      <c r="L1611" s="3">
        <v>12.1</v>
      </c>
      <c r="M1611" s="3">
        <v>61.8</v>
      </c>
      <c r="N1611" s="3">
        <v>0</v>
      </c>
      <c r="O1611" s="2">
        <v>0</v>
      </c>
      <c r="P1611">
        <v>0</v>
      </c>
      <c r="Q1611" t="s">
        <v>14</v>
      </c>
      <c r="R1611" s="4">
        <v>22.76</v>
      </c>
      <c r="S1611" s="4">
        <v>0</v>
      </c>
      <c r="T1611" t="s">
        <v>31</v>
      </c>
      <c r="U1611" s="4">
        <v>2.46</v>
      </c>
      <c r="V1611" s="4">
        <v>1.821</v>
      </c>
      <c r="W1611" s="4">
        <v>22.76</v>
      </c>
    </row>
    <row r="1612" spans="1:23" ht="15" customHeight="1" x14ac:dyDescent="0.25">
      <c r="A1612">
        <v>637</v>
      </c>
      <c r="B1612" s="1">
        <v>45926</v>
      </c>
      <c r="C1612">
        <v>0</v>
      </c>
      <c r="D1612" t="s">
        <v>58</v>
      </c>
      <c r="E1612">
        <v>9</v>
      </c>
      <c r="F1612" t="s">
        <v>39</v>
      </c>
      <c r="G1612" t="s">
        <v>33</v>
      </c>
      <c r="H1612" t="s">
        <v>54</v>
      </c>
      <c r="I1612" t="s">
        <v>16</v>
      </c>
      <c r="J1612" t="s">
        <v>24</v>
      </c>
      <c r="K1612" s="2">
        <v>8600</v>
      </c>
      <c r="L1612" s="3">
        <v>10.8</v>
      </c>
      <c r="M1612" s="3">
        <v>81</v>
      </c>
      <c r="N1612" s="3">
        <v>0</v>
      </c>
      <c r="O1612" s="2">
        <v>56</v>
      </c>
      <c r="P1612">
        <v>1</v>
      </c>
      <c r="Q1612" t="s">
        <v>17</v>
      </c>
      <c r="R1612" s="4">
        <v>25.33</v>
      </c>
      <c r="S1612" s="4">
        <v>0</v>
      </c>
      <c r="T1612" t="s">
        <v>31</v>
      </c>
      <c r="U1612" s="4">
        <v>2.74</v>
      </c>
      <c r="V1612" s="4">
        <v>2.9449999999999998</v>
      </c>
      <c r="W1612" s="4">
        <v>25.33</v>
      </c>
    </row>
    <row r="1613" spans="1:23" ht="15" customHeight="1" x14ac:dyDescent="0.25">
      <c r="A1613">
        <v>1005</v>
      </c>
      <c r="B1613" s="1">
        <v>45926</v>
      </c>
      <c r="C1613">
        <v>0</v>
      </c>
      <c r="D1613" t="s">
        <v>58</v>
      </c>
      <c r="E1613">
        <v>9</v>
      </c>
      <c r="F1613" t="s">
        <v>39</v>
      </c>
      <c r="G1613" t="s">
        <v>33</v>
      </c>
      <c r="H1613" t="s">
        <v>50</v>
      </c>
      <c r="I1613" t="s">
        <v>22</v>
      </c>
      <c r="J1613" t="s">
        <v>12</v>
      </c>
      <c r="K1613" s="2">
        <v>21000</v>
      </c>
      <c r="L1613" s="3">
        <v>14.9</v>
      </c>
      <c r="M1613" s="3">
        <v>65.599999999999994</v>
      </c>
      <c r="N1613" s="3">
        <v>0</v>
      </c>
      <c r="O1613" s="2">
        <v>210</v>
      </c>
      <c r="P1613">
        <v>1</v>
      </c>
      <c r="Q1613" t="s">
        <v>23</v>
      </c>
      <c r="R1613" s="4">
        <v>178.55</v>
      </c>
      <c r="S1613" s="4">
        <v>0</v>
      </c>
      <c r="T1613" t="s">
        <v>31</v>
      </c>
      <c r="U1613" s="4">
        <v>19.05</v>
      </c>
      <c r="V1613" s="4">
        <v>8.5020000000000007</v>
      </c>
      <c r="W1613" s="4">
        <v>178.55</v>
      </c>
    </row>
    <row r="1614" spans="1:23" ht="15" customHeight="1" x14ac:dyDescent="0.25">
      <c r="A1614">
        <v>1373</v>
      </c>
      <c r="B1614" s="1">
        <v>45926</v>
      </c>
      <c r="C1614">
        <v>0</v>
      </c>
      <c r="D1614" t="s">
        <v>58</v>
      </c>
      <c r="E1614">
        <v>9</v>
      </c>
      <c r="F1614" t="s">
        <v>39</v>
      </c>
      <c r="G1614" t="s">
        <v>33</v>
      </c>
      <c r="H1614" t="s">
        <v>51</v>
      </c>
      <c r="I1614" t="s">
        <v>25</v>
      </c>
      <c r="J1614" t="s">
        <v>15</v>
      </c>
      <c r="K1614" s="2">
        <v>17400</v>
      </c>
      <c r="L1614" s="3">
        <v>17.7</v>
      </c>
      <c r="M1614" s="3">
        <v>62.4</v>
      </c>
      <c r="N1614" s="3">
        <v>0</v>
      </c>
      <c r="O1614" s="2">
        <v>0</v>
      </c>
      <c r="P1614">
        <v>0</v>
      </c>
      <c r="Q1614" t="s">
        <v>14</v>
      </c>
      <c r="R1614" s="4">
        <v>51.59</v>
      </c>
      <c r="S1614" s="4">
        <v>0</v>
      </c>
      <c r="T1614" t="s">
        <v>31</v>
      </c>
      <c r="U1614" s="4">
        <v>5.6</v>
      </c>
      <c r="V1614" s="4">
        <v>2.9649999999999999</v>
      </c>
      <c r="W1614" s="4">
        <v>51.59</v>
      </c>
    </row>
    <row r="1615" spans="1:23" ht="15" customHeight="1" x14ac:dyDescent="0.25">
      <c r="A1615">
        <v>1741</v>
      </c>
      <c r="B1615" s="1">
        <v>45926</v>
      </c>
      <c r="C1615">
        <v>0</v>
      </c>
      <c r="D1615" t="s">
        <v>58</v>
      </c>
      <c r="E1615">
        <v>9</v>
      </c>
      <c r="F1615" t="s">
        <v>39</v>
      </c>
      <c r="G1615" t="s">
        <v>33</v>
      </c>
      <c r="H1615" t="s">
        <v>49</v>
      </c>
      <c r="I1615" t="s">
        <v>27</v>
      </c>
      <c r="J1615" t="s">
        <v>18</v>
      </c>
      <c r="K1615" s="2">
        <v>26000</v>
      </c>
      <c r="L1615" s="3">
        <v>13.4</v>
      </c>
      <c r="M1615" s="3">
        <v>71.900000000000006</v>
      </c>
      <c r="N1615" s="3">
        <v>0</v>
      </c>
      <c r="O1615" s="2">
        <v>56</v>
      </c>
      <c r="P1615">
        <v>1</v>
      </c>
      <c r="Q1615" t="s">
        <v>17</v>
      </c>
      <c r="R1615" s="4">
        <v>106.08</v>
      </c>
      <c r="S1615" s="4">
        <v>0</v>
      </c>
      <c r="T1615" t="s">
        <v>31</v>
      </c>
      <c r="U1615" s="4">
        <v>11.29</v>
      </c>
      <c r="V1615" s="4">
        <v>4.08</v>
      </c>
      <c r="W1615" s="4">
        <v>106.08</v>
      </c>
    </row>
    <row r="1616" spans="1:23" ht="15" customHeight="1" x14ac:dyDescent="0.25">
      <c r="A1616">
        <v>2110</v>
      </c>
      <c r="B1616" s="1">
        <v>45926.333333333343</v>
      </c>
      <c r="C1616">
        <v>8</v>
      </c>
      <c r="D1616" t="s">
        <v>58</v>
      </c>
      <c r="E1616">
        <v>9</v>
      </c>
      <c r="F1616" t="s">
        <v>39</v>
      </c>
      <c r="G1616" t="s">
        <v>33</v>
      </c>
      <c r="H1616" t="s">
        <v>52</v>
      </c>
      <c r="I1616" t="s">
        <v>13</v>
      </c>
      <c r="J1616" t="s">
        <v>21</v>
      </c>
      <c r="K1616" s="2">
        <v>9800</v>
      </c>
      <c r="L1616" s="3">
        <v>17.399999999999999</v>
      </c>
      <c r="M1616" s="3">
        <v>76.7</v>
      </c>
      <c r="N1616" s="3">
        <v>128.19999999999999</v>
      </c>
      <c r="O1616" s="2">
        <v>59</v>
      </c>
      <c r="P1616">
        <v>0</v>
      </c>
      <c r="Q1616" t="s">
        <v>14</v>
      </c>
      <c r="R1616" s="4">
        <v>18.7</v>
      </c>
      <c r="S1616" s="4">
        <v>0</v>
      </c>
      <c r="T1616" t="s">
        <v>34</v>
      </c>
      <c r="U1616" s="4">
        <v>3.38</v>
      </c>
      <c r="V1616" s="4">
        <v>1.9079999999999999</v>
      </c>
      <c r="W1616" s="4">
        <v>18.7</v>
      </c>
    </row>
    <row r="1617" spans="1:23" ht="15" customHeight="1" x14ac:dyDescent="0.25">
      <c r="A1617">
        <v>1374</v>
      </c>
      <c r="B1617" s="1">
        <v>45926.333333333343</v>
      </c>
      <c r="C1617">
        <v>8</v>
      </c>
      <c r="D1617" t="s">
        <v>58</v>
      </c>
      <c r="E1617">
        <v>9</v>
      </c>
      <c r="F1617" t="s">
        <v>39</v>
      </c>
      <c r="G1617" t="s">
        <v>33</v>
      </c>
      <c r="H1617" t="s">
        <v>51</v>
      </c>
      <c r="I1617" t="s">
        <v>25</v>
      </c>
      <c r="J1617" t="s">
        <v>15</v>
      </c>
      <c r="K1617" s="2">
        <v>17400</v>
      </c>
      <c r="L1617" s="3">
        <v>20.100000000000001</v>
      </c>
      <c r="M1617" s="3"/>
      <c r="N1617" s="3">
        <v>159.19999999999999</v>
      </c>
      <c r="O1617" s="2">
        <v>229</v>
      </c>
      <c r="P1617">
        <v>0</v>
      </c>
      <c r="Q1617" t="s">
        <v>14</v>
      </c>
      <c r="R1617" s="4">
        <v>45.13</v>
      </c>
      <c r="S1617" s="4">
        <v>19.39</v>
      </c>
      <c r="T1617" t="s">
        <v>34</v>
      </c>
      <c r="U1617" s="4">
        <v>4.5199999999999996</v>
      </c>
      <c r="V1617" s="4">
        <v>2.5939999999999999</v>
      </c>
      <c r="W1617" s="4">
        <v>25.74</v>
      </c>
    </row>
    <row r="1618" spans="1:23" ht="15" customHeight="1" x14ac:dyDescent="0.25">
      <c r="A1618">
        <v>1006</v>
      </c>
      <c r="B1618" s="1">
        <v>45926.333333333343</v>
      </c>
      <c r="C1618">
        <v>8</v>
      </c>
      <c r="D1618" t="s">
        <v>58</v>
      </c>
      <c r="E1618">
        <v>9</v>
      </c>
      <c r="F1618" t="s">
        <v>39</v>
      </c>
      <c r="G1618" t="s">
        <v>33</v>
      </c>
      <c r="H1618" t="s">
        <v>50</v>
      </c>
      <c r="I1618" t="s">
        <v>22</v>
      </c>
      <c r="J1618" t="s">
        <v>12</v>
      </c>
      <c r="K1618" s="2">
        <v>21000</v>
      </c>
      <c r="L1618" s="3">
        <v>24</v>
      </c>
      <c r="M1618" s="3">
        <v>62.1</v>
      </c>
      <c r="N1618" s="3">
        <v>152.6</v>
      </c>
      <c r="O1618" s="2">
        <v>393</v>
      </c>
      <c r="P1618">
        <v>1</v>
      </c>
      <c r="Q1618" t="s">
        <v>23</v>
      </c>
      <c r="R1618" s="4">
        <v>198.67</v>
      </c>
      <c r="S1618" s="4">
        <v>31.47</v>
      </c>
      <c r="T1618" t="s">
        <v>34</v>
      </c>
      <c r="U1618" s="4">
        <v>29.58</v>
      </c>
      <c r="V1618" s="4">
        <v>9.4600000000000009</v>
      </c>
      <c r="W1618" s="4">
        <v>167.2</v>
      </c>
    </row>
    <row r="1619" spans="1:23" ht="15" customHeight="1" x14ac:dyDescent="0.25">
      <c r="A1619">
        <v>1742</v>
      </c>
      <c r="B1619" s="1">
        <v>45926.333333333343</v>
      </c>
      <c r="C1619">
        <v>8</v>
      </c>
      <c r="D1619" t="s">
        <v>58</v>
      </c>
      <c r="E1619">
        <v>9</v>
      </c>
      <c r="F1619" t="s">
        <v>39</v>
      </c>
      <c r="G1619" t="s">
        <v>33</v>
      </c>
      <c r="H1619" t="s">
        <v>49</v>
      </c>
      <c r="I1619" t="s">
        <v>27</v>
      </c>
      <c r="J1619" t="s">
        <v>18</v>
      </c>
      <c r="K1619" s="2">
        <v>26000</v>
      </c>
      <c r="L1619" s="3">
        <v>20.2</v>
      </c>
      <c r="M1619" s="3">
        <v>49.3</v>
      </c>
      <c r="N1619" s="3">
        <v>170.9</v>
      </c>
      <c r="O1619" s="2"/>
      <c r="P1619">
        <v>0</v>
      </c>
      <c r="Q1619" t="s">
        <v>14</v>
      </c>
      <c r="R1619" s="4">
        <v>154.72999999999999</v>
      </c>
      <c r="S1619" s="4">
        <v>44.92</v>
      </c>
      <c r="T1619" t="s">
        <v>34</v>
      </c>
      <c r="U1619" s="4">
        <v>18.440000000000001</v>
      </c>
      <c r="V1619" s="4">
        <v>5.9509999999999996</v>
      </c>
      <c r="W1619" s="4">
        <v>109.81</v>
      </c>
    </row>
    <row r="1620" spans="1:23" ht="15" customHeight="1" x14ac:dyDescent="0.25">
      <c r="A1620">
        <v>270</v>
      </c>
      <c r="B1620" s="1">
        <v>45926.333333333343</v>
      </c>
      <c r="C1620">
        <v>8</v>
      </c>
      <c r="D1620" t="s">
        <v>58</v>
      </c>
      <c r="E1620">
        <v>9</v>
      </c>
      <c r="F1620" t="s">
        <v>39</v>
      </c>
      <c r="G1620" t="s">
        <v>33</v>
      </c>
      <c r="H1620" t="s">
        <v>53</v>
      </c>
      <c r="I1620" t="s">
        <v>19</v>
      </c>
      <c r="J1620" t="s">
        <v>26</v>
      </c>
      <c r="K1620" s="2">
        <v>12500</v>
      </c>
      <c r="L1620" s="3">
        <v>15</v>
      </c>
      <c r="M1620" s="3">
        <v>64.5</v>
      </c>
      <c r="N1620" s="3">
        <v>161</v>
      </c>
      <c r="O1620" s="2">
        <v>347</v>
      </c>
      <c r="P1620">
        <v>1</v>
      </c>
      <c r="Q1620" t="s">
        <v>23</v>
      </c>
      <c r="R1620" s="4">
        <v>68.94</v>
      </c>
      <c r="S1620" s="4">
        <v>24.76</v>
      </c>
      <c r="T1620" t="s">
        <v>34</v>
      </c>
      <c r="U1620" s="4">
        <v>7.7</v>
      </c>
      <c r="V1620" s="4">
        <v>5.5149999999999997</v>
      </c>
      <c r="W1620" s="4">
        <v>44.18</v>
      </c>
    </row>
    <row r="1621" spans="1:23" ht="15" customHeight="1" x14ac:dyDescent="0.25">
      <c r="A1621">
        <v>638</v>
      </c>
      <c r="B1621" s="1">
        <v>45926.333333333343</v>
      </c>
      <c r="C1621">
        <v>8</v>
      </c>
      <c r="D1621" t="s">
        <v>58</v>
      </c>
      <c r="E1621">
        <v>9</v>
      </c>
      <c r="F1621" t="s">
        <v>39</v>
      </c>
      <c r="G1621" t="s">
        <v>33</v>
      </c>
      <c r="H1621" t="s">
        <v>54</v>
      </c>
      <c r="I1621" t="s">
        <v>16</v>
      </c>
      <c r="J1621" t="s">
        <v>24</v>
      </c>
      <c r="K1621" s="2">
        <v>8600</v>
      </c>
      <c r="L1621" s="3">
        <v>14</v>
      </c>
      <c r="M1621" s="3">
        <v>91.1</v>
      </c>
      <c r="N1621" s="3">
        <v>152.30000000000001</v>
      </c>
      <c r="O1621" s="2">
        <v>812</v>
      </c>
      <c r="P1621">
        <v>1</v>
      </c>
      <c r="Q1621" t="s">
        <v>17</v>
      </c>
      <c r="R1621" s="4">
        <v>82.63</v>
      </c>
      <c r="S1621" s="4">
        <v>12.13</v>
      </c>
      <c r="T1621" t="s">
        <v>34</v>
      </c>
      <c r="U1621" s="4">
        <v>11.76</v>
      </c>
      <c r="V1621" s="4">
        <v>9.6080000000000005</v>
      </c>
      <c r="W1621" s="4">
        <v>70.5</v>
      </c>
    </row>
    <row r="1622" spans="1:23" ht="15" customHeight="1" x14ac:dyDescent="0.25">
      <c r="A1622">
        <v>639</v>
      </c>
      <c r="B1622" s="1">
        <v>45926.583333333343</v>
      </c>
      <c r="C1622">
        <v>14</v>
      </c>
      <c r="D1622" t="s">
        <v>58</v>
      </c>
      <c r="E1622">
        <v>9</v>
      </c>
      <c r="F1622" t="s">
        <v>39</v>
      </c>
      <c r="G1622" t="s">
        <v>33</v>
      </c>
      <c r="H1622" t="s">
        <v>54</v>
      </c>
      <c r="I1622" t="s">
        <v>16</v>
      </c>
      <c r="J1622" t="s">
        <v>24</v>
      </c>
      <c r="K1622" s="2">
        <v>8600</v>
      </c>
      <c r="L1622" s="3">
        <v>20.3</v>
      </c>
      <c r="M1622" s="3">
        <v>77.8</v>
      </c>
      <c r="N1622" s="3">
        <v>725</v>
      </c>
      <c r="O1622" s="2">
        <v>773</v>
      </c>
      <c r="P1622">
        <v>0</v>
      </c>
      <c r="Q1622" t="s">
        <v>14</v>
      </c>
      <c r="R1622" s="4">
        <v>86.59</v>
      </c>
      <c r="S1622" s="4">
        <v>56.89</v>
      </c>
      <c r="T1622" t="s">
        <v>34</v>
      </c>
      <c r="U1622" s="4">
        <v>5.27</v>
      </c>
      <c r="V1622" s="4">
        <v>10.069000000000001</v>
      </c>
      <c r="W1622" s="4">
        <v>29.7</v>
      </c>
    </row>
    <row r="1623" spans="1:23" ht="15" customHeight="1" x14ac:dyDescent="0.25">
      <c r="A1623">
        <v>2111</v>
      </c>
      <c r="B1623" s="1">
        <v>45926.583333333343</v>
      </c>
      <c r="C1623">
        <v>14</v>
      </c>
      <c r="D1623" t="s">
        <v>58</v>
      </c>
      <c r="E1623">
        <v>9</v>
      </c>
      <c r="F1623" t="s">
        <v>39</v>
      </c>
      <c r="G1623" t="s">
        <v>33</v>
      </c>
      <c r="H1623" t="s">
        <v>52</v>
      </c>
      <c r="I1623" t="s">
        <v>13</v>
      </c>
      <c r="J1623" t="s">
        <v>21</v>
      </c>
      <c r="K1623" s="2">
        <v>9800</v>
      </c>
      <c r="L1623" s="3">
        <v>24.7</v>
      </c>
      <c r="M1623" s="3">
        <v>84.2</v>
      </c>
      <c r="N1623" s="3">
        <v>544.6</v>
      </c>
      <c r="O1623" s="2">
        <v>55</v>
      </c>
      <c r="P1623">
        <v>1</v>
      </c>
      <c r="Q1623" t="s">
        <v>20</v>
      </c>
      <c r="R1623" s="4">
        <v>20.27</v>
      </c>
      <c r="S1623" s="4">
        <v>0</v>
      </c>
      <c r="T1623" t="s">
        <v>34</v>
      </c>
      <c r="U1623" s="4">
        <v>3.58</v>
      </c>
      <c r="V1623" s="4">
        <v>2.0680000000000001</v>
      </c>
      <c r="W1623" s="4">
        <v>20.27</v>
      </c>
    </row>
    <row r="1624" spans="1:23" ht="15" customHeight="1" x14ac:dyDescent="0.25">
      <c r="A1624">
        <v>1743</v>
      </c>
      <c r="B1624" s="1">
        <v>45926.583333333343</v>
      </c>
      <c r="C1624">
        <v>14</v>
      </c>
      <c r="D1624" t="s">
        <v>58</v>
      </c>
      <c r="E1624">
        <v>9</v>
      </c>
      <c r="F1624" t="s">
        <v>39</v>
      </c>
      <c r="G1624" t="s">
        <v>33</v>
      </c>
      <c r="H1624" t="s">
        <v>49</v>
      </c>
      <c r="I1624" t="s">
        <v>27</v>
      </c>
      <c r="J1624" t="s">
        <v>18</v>
      </c>
      <c r="K1624" s="2">
        <v>26000</v>
      </c>
      <c r="L1624" s="3">
        <v>24.2</v>
      </c>
      <c r="M1624" s="3">
        <v>53.5</v>
      </c>
      <c r="N1624" s="3">
        <v>531.79999999999995</v>
      </c>
      <c r="O1624" s="2">
        <v>174</v>
      </c>
      <c r="P1624">
        <v>1</v>
      </c>
      <c r="Q1624" t="s">
        <v>20</v>
      </c>
      <c r="R1624" s="4">
        <v>162.82</v>
      </c>
      <c r="S1624" s="4">
        <v>145.97</v>
      </c>
      <c r="T1624" t="s">
        <v>34</v>
      </c>
      <c r="U1624" s="4">
        <v>2.92</v>
      </c>
      <c r="V1624" s="4">
        <v>6.2619999999999996</v>
      </c>
      <c r="W1624" s="4">
        <v>16.850000000000001</v>
      </c>
    </row>
    <row r="1625" spans="1:23" ht="15" customHeight="1" x14ac:dyDescent="0.25">
      <c r="A1625">
        <v>271</v>
      </c>
      <c r="B1625" s="1">
        <v>45926.583333333343</v>
      </c>
      <c r="C1625">
        <v>14</v>
      </c>
      <c r="D1625" t="s">
        <v>58</v>
      </c>
      <c r="E1625">
        <v>9</v>
      </c>
      <c r="F1625" t="s">
        <v>39</v>
      </c>
      <c r="G1625" t="s">
        <v>33</v>
      </c>
      <c r="H1625" t="s">
        <v>53</v>
      </c>
      <c r="I1625" t="s">
        <v>19</v>
      </c>
      <c r="J1625" t="s">
        <v>26</v>
      </c>
      <c r="K1625" s="2">
        <v>12500</v>
      </c>
      <c r="L1625" s="3">
        <v>24.4</v>
      </c>
      <c r="M1625" s="3">
        <v>61.2</v>
      </c>
      <c r="N1625" s="3">
        <v>536.5</v>
      </c>
      <c r="O1625" s="2">
        <v>603</v>
      </c>
      <c r="P1625">
        <v>1</v>
      </c>
      <c r="Q1625" t="s">
        <v>20</v>
      </c>
      <c r="R1625" s="4">
        <v>111.67</v>
      </c>
      <c r="S1625" s="4">
        <v>82.1</v>
      </c>
      <c r="T1625" t="s">
        <v>34</v>
      </c>
      <c r="U1625" s="4">
        <v>4.92</v>
      </c>
      <c r="V1625" s="4">
        <v>8.9339999999999993</v>
      </c>
      <c r="W1625" s="4">
        <v>29.57</v>
      </c>
    </row>
    <row r="1626" spans="1:23" ht="15" customHeight="1" x14ac:dyDescent="0.25">
      <c r="A1626">
        <v>1375</v>
      </c>
      <c r="B1626" s="1">
        <v>45926.583333333343</v>
      </c>
      <c r="C1626">
        <v>14</v>
      </c>
      <c r="D1626" t="s">
        <v>58</v>
      </c>
      <c r="E1626">
        <v>9</v>
      </c>
      <c r="F1626" t="s">
        <v>39</v>
      </c>
      <c r="G1626" t="s">
        <v>33</v>
      </c>
      <c r="H1626" t="s">
        <v>51</v>
      </c>
      <c r="I1626" t="s">
        <v>25</v>
      </c>
      <c r="J1626" t="s">
        <v>15</v>
      </c>
      <c r="K1626" s="2">
        <v>17400</v>
      </c>
      <c r="L1626" s="3">
        <v>24</v>
      </c>
      <c r="M1626" s="3">
        <v>75.2</v>
      </c>
      <c r="N1626" s="3">
        <v>545.20000000000005</v>
      </c>
      <c r="O1626" s="2">
        <v>1296</v>
      </c>
      <c r="P1626">
        <v>1</v>
      </c>
      <c r="Q1626" t="s">
        <v>23</v>
      </c>
      <c r="R1626" s="4">
        <v>191.35</v>
      </c>
      <c r="S1626" s="4">
        <v>70.510000000000005</v>
      </c>
      <c r="T1626" t="s">
        <v>34</v>
      </c>
      <c r="U1626" s="4">
        <v>20.77</v>
      </c>
      <c r="V1626" s="4">
        <v>10.997</v>
      </c>
      <c r="W1626" s="4">
        <v>120.84</v>
      </c>
    </row>
    <row r="1627" spans="1:23" ht="15" customHeight="1" x14ac:dyDescent="0.25">
      <c r="A1627">
        <v>1007</v>
      </c>
      <c r="B1627" s="1">
        <v>45926.583333333343</v>
      </c>
      <c r="C1627">
        <v>14</v>
      </c>
      <c r="D1627" t="s">
        <v>58</v>
      </c>
      <c r="E1627">
        <v>9</v>
      </c>
      <c r="F1627" t="s">
        <v>39</v>
      </c>
      <c r="G1627" t="s">
        <v>33</v>
      </c>
      <c r="H1627" t="s">
        <v>50</v>
      </c>
      <c r="I1627" t="s">
        <v>22</v>
      </c>
      <c r="J1627" t="s">
        <v>12</v>
      </c>
      <c r="K1627" s="2">
        <v>21000</v>
      </c>
      <c r="L1627" s="3">
        <v>29.8</v>
      </c>
      <c r="M1627" s="3"/>
      <c r="N1627" s="3">
        <v>650</v>
      </c>
      <c r="O1627" s="2">
        <v>428</v>
      </c>
      <c r="P1627">
        <v>1</v>
      </c>
      <c r="Q1627" t="s">
        <v>20</v>
      </c>
      <c r="R1627" s="4">
        <v>206.04</v>
      </c>
      <c r="S1627" s="4">
        <v>127.64</v>
      </c>
      <c r="T1627" t="s">
        <v>34</v>
      </c>
      <c r="U1627" s="4">
        <v>14.06</v>
      </c>
      <c r="V1627" s="4">
        <v>9.8109999999999999</v>
      </c>
      <c r="W1627" s="4">
        <v>78.400000000000006</v>
      </c>
    </row>
    <row r="1628" spans="1:23" ht="15" customHeight="1" x14ac:dyDescent="0.25">
      <c r="A1628">
        <v>1744</v>
      </c>
      <c r="B1628" s="1">
        <v>45926.833333333343</v>
      </c>
      <c r="C1628">
        <v>20</v>
      </c>
      <c r="D1628" t="s">
        <v>58</v>
      </c>
      <c r="E1628">
        <v>9</v>
      </c>
      <c r="F1628" t="s">
        <v>39</v>
      </c>
      <c r="G1628" t="s">
        <v>33</v>
      </c>
      <c r="H1628" t="s">
        <v>49</v>
      </c>
      <c r="I1628" t="s">
        <v>27</v>
      </c>
      <c r="J1628" t="s">
        <v>18</v>
      </c>
      <c r="K1628" s="2">
        <v>26000</v>
      </c>
      <c r="L1628" s="3">
        <v>19.7</v>
      </c>
      <c r="M1628" s="3">
        <v>66.599999999999994</v>
      </c>
      <c r="N1628" s="3">
        <v>0</v>
      </c>
      <c r="O1628" s="2">
        <v>186</v>
      </c>
      <c r="P1628">
        <v>0</v>
      </c>
      <c r="Q1628" t="s">
        <v>14</v>
      </c>
      <c r="R1628" s="4">
        <v>248.79</v>
      </c>
      <c r="S1628" s="4">
        <v>0</v>
      </c>
      <c r="T1628" t="s">
        <v>37</v>
      </c>
      <c r="U1628" s="4">
        <v>68.569999999999993</v>
      </c>
      <c r="V1628" s="4">
        <v>9.5690000000000008</v>
      </c>
      <c r="W1628" s="4">
        <v>248.79</v>
      </c>
    </row>
    <row r="1629" spans="1:23" ht="15" customHeight="1" x14ac:dyDescent="0.25">
      <c r="A1629">
        <v>1376</v>
      </c>
      <c r="B1629" s="1">
        <v>45926.833333333343</v>
      </c>
      <c r="C1629">
        <v>20</v>
      </c>
      <c r="D1629" t="s">
        <v>58</v>
      </c>
      <c r="E1629">
        <v>9</v>
      </c>
      <c r="F1629" t="s">
        <v>39</v>
      </c>
      <c r="G1629" t="s">
        <v>33</v>
      </c>
      <c r="H1629" t="s">
        <v>51</v>
      </c>
      <c r="I1629" t="s">
        <v>25</v>
      </c>
      <c r="J1629" t="s">
        <v>15</v>
      </c>
      <c r="K1629" s="2">
        <v>17400</v>
      </c>
      <c r="L1629" s="3">
        <v>21.2</v>
      </c>
      <c r="M1629" s="3">
        <v>64.7</v>
      </c>
      <c r="N1629" s="3">
        <v>0</v>
      </c>
      <c r="O1629" s="2">
        <v>1473</v>
      </c>
      <c r="P1629">
        <v>0</v>
      </c>
      <c r="Q1629" t="s">
        <v>14</v>
      </c>
      <c r="R1629" s="4">
        <v>280.93</v>
      </c>
      <c r="S1629" s="4">
        <v>0</v>
      </c>
      <c r="T1629" t="s">
        <v>37</v>
      </c>
      <c r="U1629" s="4">
        <v>76.13</v>
      </c>
      <c r="V1629" s="4">
        <v>16.145</v>
      </c>
      <c r="W1629" s="4">
        <v>280.93</v>
      </c>
    </row>
    <row r="1630" spans="1:23" ht="15" customHeight="1" x14ac:dyDescent="0.25">
      <c r="A1630">
        <v>272</v>
      </c>
      <c r="B1630" s="1">
        <v>45926.833333333343</v>
      </c>
      <c r="C1630">
        <v>20</v>
      </c>
      <c r="D1630" t="s">
        <v>58</v>
      </c>
      <c r="E1630">
        <v>9</v>
      </c>
      <c r="F1630" t="s">
        <v>39</v>
      </c>
      <c r="G1630" t="s">
        <v>33</v>
      </c>
      <c r="H1630" t="s">
        <v>53</v>
      </c>
      <c r="I1630" t="s">
        <v>19</v>
      </c>
      <c r="J1630" t="s">
        <v>26</v>
      </c>
      <c r="K1630" s="2">
        <v>12500</v>
      </c>
      <c r="L1630" s="3">
        <v>18.5</v>
      </c>
      <c r="M1630" s="3">
        <v>50.8</v>
      </c>
      <c r="N1630" s="3">
        <v>0</v>
      </c>
      <c r="O1630" s="2">
        <v>63</v>
      </c>
      <c r="P1630">
        <v>0</v>
      </c>
      <c r="Q1630" t="s">
        <v>14</v>
      </c>
      <c r="R1630" s="4">
        <v>37.44</v>
      </c>
      <c r="S1630" s="4">
        <v>0</v>
      </c>
      <c r="T1630" t="s">
        <v>37</v>
      </c>
      <c r="U1630" s="4">
        <v>9.9700000000000006</v>
      </c>
      <c r="V1630" s="4">
        <v>2.9950000000000001</v>
      </c>
      <c r="W1630" s="4">
        <v>37.44</v>
      </c>
    </row>
    <row r="1631" spans="1:23" ht="15" customHeight="1" x14ac:dyDescent="0.25">
      <c r="A1631">
        <v>640</v>
      </c>
      <c r="B1631" s="1">
        <v>45926.833333333343</v>
      </c>
      <c r="C1631">
        <v>20</v>
      </c>
      <c r="D1631" t="s">
        <v>58</v>
      </c>
      <c r="E1631">
        <v>9</v>
      </c>
      <c r="F1631" t="s">
        <v>39</v>
      </c>
      <c r="G1631" t="s">
        <v>33</v>
      </c>
      <c r="H1631" t="s">
        <v>54</v>
      </c>
      <c r="I1631" t="s">
        <v>16</v>
      </c>
      <c r="J1631" t="s">
        <v>24</v>
      </c>
      <c r="K1631" s="2">
        <v>8600</v>
      </c>
      <c r="L1631" s="3">
        <v>14.9</v>
      </c>
      <c r="M1631" s="3">
        <v>97</v>
      </c>
      <c r="N1631" s="3">
        <v>0</v>
      </c>
      <c r="O1631" s="2">
        <v>103</v>
      </c>
      <c r="P1631">
        <v>1</v>
      </c>
      <c r="Q1631" t="s">
        <v>23</v>
      </c>
      <c r="R1631" s="4">
        <v>25.35</v>
      </c>
      <c r="S1631" s="4">
        <v>0</v>
      </c>
      <c r="T1631" t="s">
        <v>37</v>
      </c>
      <c r="U1631" s="4">
        <v>6.78</v>
      </c>
      <c r="V1631" s="4">
        <v>2.948</v>
      </c>
      <c r="W1631" s="4">
        <v>25.35</v>
      </c>
    </row>
    <row r="1632" spans="1:23" ht="15" customHeight="1" x14ac:dyDescent="0.25">
      <c r="A1632">
        <v>1008</v>
      </c>
      <c r="B1632" s="1">
        <v>45926.833333333343</v>
      </c>
      <c r="C1632">
        <v>20</v>
      </c>
      <c r="D1632" t="s">
        <v>58</v>
      </c>
      <c r="E1632">
        <v>9</v>
      </c>
      <c r="F1632" t="s">
        <v>39</v>
      </c>
      <c r="G1632" t="s">
        <v>33</v>
      </c>
      <c r="H1632" t="s">
        <v>50</v>
      </c>
      <c r="I1632" t="s">
        <v>22</v>
      </c>
      <c r="J1632" t="s">
        <v>12</v>
      </c>
      <c r="K1632" s="2">
        <v>21000</v>
      </c>
      <c r="L1632" s="3">
        <v>22.4</v>
      </c>
      <c r="M1632" s="3">
        <v>79.3</v>
      </c>
      <c r="N1632" s="3">
        <v>0</v>
      </c>
      <c r="O1632" s="2">
        <v>400</v>
      </c>
      <c r="P1632">
        <v>0</v>
      </c>
      <c r="Q1632" t="s">
        <v>14</v>
      </c>
      <c r="R1632" s="4">
        <v>264.39999999999998</v>
      </c>
      <c r="S1632" s="4">
        <v>0</v>
      </c>
      <c r="T1632" t="s">
        <v>37</v>
      </c>
      <c r="U1632" s="4">
        <v>70.94</v>
      </c>
      <c r="V1632" s="4">
        <v>12.59</v>
      </c>
      <c r="W1632" s="4">
        <v>264.39999999999998</v>
      </c>
    </row>
    <row r="1633" spans="1:23" ht="15" customHeight="1" x14ac:dyDescent="0.25">
      <c r="A1633">
        <v>2112</v>
      </c>
      <c r="B1633" s="1">
        <v>45926.833333333343</v>
      </c>
      <c r="C1633">
        <v>20</v>
      </c>
      <c r="D1633" t="s">
        <v>58</v>
      </c>
      <c r="E1633">
        <v>9</v>
      </c>
      <c r="F1633" t="s">
        <v>39</v>
      </c>
      <c r="G1633" t="s">
        <v>33</v>
      </c>
      <c r="H1633" t="s">
        <v>52</v>
      </c>
      <c r="I1633" t="s">
        <v>13</v>
      </c>
      <c r="J1633" t="s">
        <v>21</v>
      </c>
      <c r="K1633" s="2">
        <v>9800</v>
      </c>
      <c r="L1633" s="3">
        <v>17</v>
      </c>
      <c r="M1633" s="3">
        <v>86.4</v>
      </c>
      <c r="N1633" s="3">
        <v>0</v>
      </c>
      <c r="O1633" s="2">
        <v>296</v>
      </c>
      <c r="P1633">
        <v>0</v>
      </c>
      <c r="Q1633" t="s">
        <v>14</v>
      </c>
      <c r="R1633" s="4">
        <v>94.44</v>
      </c>
      <c r="S1633" s="4">
        <v>0</v>
      </c>
      <c r="T1633" t="s">
        <v>37</v>
      </c>
      <c r="U1633" s="4">
        <v>25.22</v>
      </c>
      <c r="V1633" s="4">
        <v>9.6370000000000005</v>
      </c>
      <c r="W1633" s="4">
        <v>94.44</v>
      </c>
    </row>
    <row r="1634" spans="1:23" ht="15" customHeight="1" x14ac:dyDescent="0.25">
      <c r="A1634">
        <v>641</v>
      </c>
      <c r="B1634" s="1">
        <v>45930</v>
      </c>
      <c r="C1634">
        <v>0</v>
      </c>
      <c r="D1634" t="s">
        <v>59</v>
      </c>
      <c r="E1634">
        <v>9</v>
      </c>
      <c r="F1634" t="s">
        <v>39</v>
      </c>
      <c r="G1634" t="s">
        <v>33</v>
      </c>
      <c r="H1634" t="s">
        <v>54</v>
      </c>
      <c r="I1634" t="s">
        <v>16</v>
      </c>
      <c r="J1634" t="s">
        <v>24</v>
      </c>
      <c r="K1634" s="2">
        <v>8600</v>
      </c>
      <c r="L1634" s="3">
        <v>16.5</v>
      </c>
      <c r="M1634" s="3">
        <v>89.4</v>
      </c>
      <c r="N1634" s="3">
        <v>0</v>
      </c>
      <c r="O1634" s="2">
        <v>125</v>
      </c>
      <c r="P1634">
        <v>0</v>
      </c>
      <c r="Q1634" t="s">
        <v>14</v>
      </c>
      <c r="R1634" s="4">
        <v>23.64</v>
      </c>
      <c r="S1634" s="4">
        <v>0</v>
      </c>
      <c r="T1634" t="s">
        <v>31</v>
      </c>
      <c r="U1634" s="4">
        <v>2.63</v>
      </c>
      <c r="V1634" s="4">
        <v>2.7490000000000001</v>
      </c>
      <c r="W1634" s="4">
        <v>23.64</v>
      </c>
    </row>
    <row r="1635" spans="1:23" ht="15" customHeight="1" x14ac:dyDescent="0.25">
      <c r="A1635">
        <v>2113</v>
      </c>
      <c r="B1635" s="1">
        <v>45930</v>
      </c>
      <c r="C1635">
        <v>0</v>
      </c>
      <c r="D1635" t="s">
        <v>59</v>
      </c>
      <c r="E1635">
        <v>9</v>
      </c>
      <c r="F1635" t="s">
        <v>39</v>
      </c>
      <c r="G1635" t="s">
        <v>33</v>
      </c>
      <c r="H1635" t="s">
        <v>52</v>
      </c>
      <c r="I1635" t="s">
        <v>13</v>
      </c>
      <c r="J1635" t="s">
        <v>21</v>
      </c>
      <c r="K1635" s="2">
        <v>9800</v>
      </c>
      <c r="L1635" s="3">
        <v>13.6</v>
      </c>
      <c r="M1635" s="3">
        <v>91.7</v>
      </c>
      <c r="N1635" s="3">
        <v>0</v>
      </c>
      <c r="O1635" s="2">
        <v>314</v>
      </c>
      <c r="P1635">
        <v>1</v>
      </c>
      <c r="Q1635" t="s">
        <v>17</v>
      </c>
      <c r="R1635" s="4">
        <v>95.48</v>
      </c>
      <c r="S1635" s="4">
        <v>0</v>
      </c>
      <c r="T1635" t="s">
        <v>31</v>
      </c>
      <c r="U1635" s="4">
        <v>10.44</v>
      </c>
      <c r="V1635" s="4">
        <v>9.7430000000000003</v>
      </c>
      <c r="W1635" s="4">
        <v>95.48</v>
      </c>
    </row>
    <row r="1636" spans="1:23" ht="15" customHeight="1" x14ac:dyDescent="0.25">
      <c r="A1636">
        <v>1377</v>
      </c>
      <c r="B1636" s="1">
        <v>45930</v>
      </c>
      <c r="C1636">
        <v>0</v>
      </c>
      <c r="D1636" t="s">
        <v>59</v>
      </c>
      <c r="E1636">
        <v>9</v>
      </c>
      <c r="F1636" t="s">
        <v>39</v>
      </c>
      <c r="G1636" t="s">
        <v>33</v>
      </c>
      <c r="H1636" t="s">
        <v>51</v>
      </c>
      <c r="I1636" t="s">
        <v>25</v>
      </c>
      <c r="J1636" t="s">
        <v>15</v>
      </c>
      <c r="K1636" s="2">
        <v>17400</v>
      </c>
      <c r="L1636" s="3">
        <v>16.5</v>
      </c>
      <c r="M1636" s="3">
        <v>63</v>
      </c>
      <c r="N1636" s="3">
        <v>0</v>
      </c>
      <c r="O1636" s="2">
        <v>6</v>
      </c>
      <c r="P1636">
        <v>0</v>
      </c>
      <c r="Q1636" t="s">
        <v>14</v>
      </c>
      <c r="R1636" s="4">
        <v>48.77</v>
      </c>
      <c r="S1636" s="4">
        <v>0</v>
      </c>
      <c r="T1636" t="s">
        <v>31</v>
      </c>
      <c r="U1636" s="4">
        <v>5.32</v>
      </c>
      <c r="V1636" s="4">
        <v>2.8029999999999999</v>
      </c>
      <c r="W1636" s="4">
        <v>48.77</v>
      </c>
    </row>
    <row r="1637" spans="1:23" ht="15" customHeight="1" x14ac:dyDescent="0.25">
      <c r="A1637">
        <v>1009</v>
      </c>
      <c r="B1637" s="1">
        <v>45930</v>
      </c>
      <c r="C1637">
        <v>0</v>
      </c>
      <c r="D1637" t="s">
        <v>59</v>
      </c>
      <c r="E1637">
        <v>9</v>
      </c>
      <c r="F1637" t="s">
        <v>39</v>
      </c>
      <c r="G1637" t="s">
        <v>33</v>
      </c>
      <c r="H1637" t="s">
        <v>50</v>
      </c>
      <c r="I1637" t="s">
        <v>22</v>
      </c>
      <c r="J1637" t="s">
        <v>12</v>
      </c>
      <c r="K1637" s="2">
        <v>21000</v>
      </c>
      <c r="L1637" s="3">
        <v>17.100000000000001</v>
      </c>
      <c r="M1637" s="3">
        <v>65.3</v>
      </c>
      <c r="N1637" s="3">
        <v>0</v>
      </c>
      <c r="O1637" s="2">
        <v>210</v>
      </c>
      <c r="P1637">
        <v>0</v>
      </c>
      <c r="Q1637" t="s">
        <v>14</v>
      </c>
      <c r="R1637" s="4">
        <v>179.73</v>
      </c>
      <c r="S1637" s="4">
        <v>0</v>
      </c>
      <c r="T1637" t="s">
        <v>31</v>
      </c>
      <c r="U1637" s="4">
        <v>19.2</v>
      </c>
      <c r="V1637" s="4">
        <v>8.5589999999999993</v>
      </c>
      <c r="W1637" s="4">
        <v>179.73</v>
      </c>
    </row>
    <row r="1638" spans="1:23" ht="15" customHeight="1" x14ac:dyDescent="0.25">
      <c r="A1638">
        <v>273</v>
      </c>
      <c r="B1638" s="1">
        <v>45930</v>
      </c>
      <c r="C1638">
        <v>0</v>
      </c>
      <c r="D1638" t="s">
        <v>59</v>
      </c>
      <c r="E1638">
        <v>9</v>
      </c>
      <c r="F1638" t="s">
        <v>39</v>
      </c>
      <c r="G1638" t="s">
        <v>33</v>
      </c>
      <c r="H1638" t="s">
        <v>53</v>
      </c>
      <c r="I1638" t="s">
        <v>19</v>
      </c>
      <c r="J1638" t="s">
        <v>26</v>
      </c>
      <c r="K1638" s="2">
        <v>12500</v>
      </c>
      <c r="L1638" s="3">
        <v>14.2</v>
      </c>
      <c r="M1638" s="3">
        <v>61.2</v>
      </c>
      <c r="N1638" s="3">
        <v>0</v>
      </c>
      <c r="O1638" s="2">
        <v>0</v>
      </c>
      <c r="P1638">
        <v>0</v>
      </c>
      <c r="Q1638" t="s">
        <v>14</v>
      </c>
      <c r="R1638" s="4">
        <v>23.92</v>
      </c>
      <c r="S1638" s="4">
        <v>0</v>
      </c>
      <c r="T1638" t="s">
        <v>31</v>
      </c>
      <c r="U1638" s="4"/>
      <c r="V1638" s="4">
        <v>1.9139999999999999</v>
      </c>
      <c r="W1638" s="4">
        <v>23.92</v>
      </c>
    </row>
    <row r="1639" spans="1:23" ht="15" customHeight="1" x14ac:dyDescent="0.25">
      <c r="A1639">
        <v>1745</v>
      </c>
      <c r="B1639" s="1">
        <v>45930</v>
      </c>
      <c r="C1639">
        <v>0</v>
      </c>
      <c r="D1639" t="s">
        <v>59</v>
      </c>
      <c r="E1639">
        <v>9</v>
      </c>
      <c r="F1639" t="s">
        <v>39</v>
      </c>
      <c r="G1639" t="s">
        <v>33</v>
      </c>
      <c r="H1639" t="s">
        <v>49</v>
      </c>
      <c r="I1639" t="s">
        <v>27</v>
      </c>
      <c r="J1639" t="s">
        <v>18</v>
      </c>
      <c r="K1639" s="2">
        <v>26000</v>
      </c>
      <c r="L1639" s="3">
        <v>13.3</v>
      </c>
      <c r="M1639" s="3">
        <v>62</v>
      </c>
      <c r="N1639" s="3">
        <v>0</v>
      </c>
      <c r="O1639" s="2"/>
      <c r="P1639">
        <v>1</v>
      </c>
      <c r="Q1639" t="s">
        <v>17</v>
      </c>
      <c r="R1639" s="4">
        <v>108.86</v>
      </c>
      <c r="S1639" s="4">
        <v>0</v>
      </c>
      <c r="T1639" t="s">
        <v>31</v>
      </c>
      <c r="U1639" s="4">
        <v>11.93</v>
      </c>
      <c r="V1639" s="4">
        <v>4.1870000000000003</v>
      </c>
      <c r="W1639" s="4">
        <v>108.86</v>
      </c>
    </row>
    <row r="1640" spans="1:23" ht="15" customHeight="1" x14ac:dyDescent="0.25">
      <c r="A1640">
        <v>2114</v>
      </c>
      <c r="B1640" s="1">
        <v>45930.333333333343</v>
      </c>
      <c r="C1640">
        <v>8</v>
      </c>
      <c r="D1640" t="s">
        <v>59</v>
      </c>
      <c r="E1640">
        <v>9</v>
      </c>
      <c r="F1640" t="s">
        <v>39</v>
      </c>
      <c r="G1640" t="s">
        <v>33</v>
      </c>
      <c r="H1640" t="s">
        <v>52</v>
      </c>
      <c r="I1640" t="s">
        <v>13</v>
      </c>
      <c r="J1640" t="s">
        <v>21</v>
      </c>
      <c r="K1640" s="2">
        <v>9800</v>
      </c>
      <c r="L1640" s="3">
        <v>15.9</v>
      </c>
      <c r="M1640" s="3">
        <v>79.7</v>
      </c>
      <c r="N1640" s="3">
        <v>168.6</v>
      </c>
      <c r="O1640" s="2">
        <v>73</v>
      </c>
      <c r="P1640">
        <v>1</v>
      </c>
      <c r="Q1640" t="s">
        <v>23</v>
      </c>
      <c r="R1640" s="4">
        <v>19.79</v>
      </c>
      <c r="S1640" s="4">
        <v>0</v>
      </c>
      <c r="T1640" t="s">
        <v>34</v>
      </c>
      <c r="U1640" s="4">
        <v>3.43</v>
      </c>
      <c r="V1640" s="4">
        <v>2.0190000000000001</v>
      </c>
      <c r="W1640" s="4">
        <v>19.79</v>
      </c>
    </row>
    <row r="1641" spans="1:23" ht="15" customHeight="1" x14ac:dyDescent="0.25">
      <c r="A1641">
        <v>274</v>
      </c>
      <c r="B1641" s="1">
        <v>45930.333333333343</v>
      </c>
      <c r="C1641">
        <v>8</v>
      </c>
      <c r="D1641" t="s">
        <v>59</v>
      </c>
      <c r="E1641">
        <v>9</v>
      </c>
      <c r="F1641" t="s">
        <v>39</v>
      </c>
      <c r="G1641" t="s">
        <v>33</v>
      </c>
      <c r="H1641" t="s">
        <v>53</v>
      </c>
      <c r="I1641" t="s">
        <v>19</v>
      </c>
      <c r="J1641" t="s">
        <v>26</v>
      </c>
      <c r="K1641" s="2">
        <v>12500</v>
      </c>
      <c r="L1641" s="3">
        <v>11.6</v>
      </c>
      <c r="M1641" s="3">
        <v>68.5</v>
      </c>
      <c r="N1641" s="3">
        <v>133.4</v>
      </c>
      <c r="O1641" s="2">
        <v>372</v>
      </c>
      <c r="P1641">
        <v>1</v>
      </c>
      <c r="Q1641" t="s">
        <v>17</v>
      </c>
      <c r="R1641" s="4">
        <v>75.98</v>
      </c>
      <c r="S1641" s="4">
        <v>20.03</v>
      </c>
      <c r="T1641" t="s">
        <v>34</v>
      </c>
      <c r="U1641" s="4">
        <v>9.77</v>
      </c>
      <c r="V1641" s="4">
        <v>6.0780000000000003</v>
      </c>
      <c r="W1641" s="4">
        <v>55.95</v>
      </c>
    </row>
    <row r="1642" spans="1:23" ht="15" customHeight="1" x14ac:dyDescent="0.25">
      <c r="A1642">
        <v>1378</v>
      </c>
      <c r="B1642" s="1">
        <v>45930.333333333343</v>
      </c>
      <c r="C1642">
        <v>8</v>
      </c>
      <c r="D1642" t="s">
        <v>59</v>
      </c>
      <c r="E1642">
        <v>9</v>
      </c>
      <c r="F1642" t="s">
        <v>39</v>
      </c>
      <c r="G1642" t="s">
        <v>33</v>
      </c>
      <c r="H1642" t="s">
        <v>51</v>
      </c>
      <c r="I1642" t="s">
        <v>25</v>
      </c>
      <c r="J1642" t="s">
        <v>15</v>
      </c>
      <c r="K1642" s="2">
        <v>17400</v>
      </c>
      <c r="L1642" s="3">
        <v>15.4</v>
      </c>
      <c r="M1642" s="3">
        <v>79.7</v>
      </c>
      <c r="N1642" s="3">
        <v>142.9</v>
      </c>
      <c r="O1642" s="2">
        <v>105</v>
      </c>
      <c r="P1642">
        <v>0</v>
      </c>
      <c r="Q1642" t="s">
        <v>14</v>
      </c>
      <c r="R1642" s="4">
        <v>38.86</v>
      </c>
      <c r="S1642" s="4">
        <v>19.149999999999999</v>
      </c>
      <c r="T1642" t="s">
        <v>34</v>
      </c>
      <c r="U1642" s="4">
        <v>3.5</v>
      </c>
      <c r="V1642" s="4">
        <v>2.2330000000000001</v>
      </c>
      <c r="W1642" s="4">
        <v>19.71</v>
      </c>
    </row>
    <row r="1643" spans="1:23" ht="15" customHeight="1" x14ac:dyDescent="0.25">
      <c r="A1643">
        <v>642</v>
      </c>
      <c r="B1643" s="1">
        <v>45930.333333333343</v>
      </c>
      <c r="C1643">
        <v>8</v>
      </c>
      <c r="D1643" t="s">
        <v>59</v>
      </c>
      <c r="E1643">
        <v>9</v>
      </c>
      <c r="F1643" t="s">
        <v>39</v>
      </c>
      <c r="G1643" t="s">
        <v>33</v>
      </c>
      <c r="H1643" t="s">
        <v>54</v>
      </c>
      <c r="I1643" t="s">
        <v>16</v>
      </c>
      <c r="J1643" t="s">
        <v>24</v>
      </c>
      <c r="K1643" s="2">
        <v>8600</v>
      </c>
      <c r="L1643" s="3">
        <v>13.2</v>
      </c>
      <c r="M1643" s="3">
        <v>92.3</v>
      </c>
      <c r="N1643" s="3"/>
      <c r="O1643" s="2">
        <v>773</v>
      </c>
      <c r="P1643">
        <v>1</v>
      </c>
      <c r="Q1643" t="s">
        <v>17</v>
      </c>
      <c r="R1643" s="4">
        <v>113.02</v>
      </c>
      <c r="S1643" s="4">
        <v>7</v>
      </c>
      <c r="T1643" t="s">
        <v>34</v>
      </c>
      <c r="U1643" s="4">
        <v>18.71</v>
      </c>
      <c r="V1643" s="4">
        <v>13.141999999999999</v>
      </c>
      <c r="W1643" s="4">
        <v>106.02</v>
      </c>
    </row>
    <row r="1644" spans="1:23" ht="15" customHeight="1" x14ac:dyDescent="0.25">
      <c r="A1644">
        <v>1746</v>
      </c>
      <c r="B1644" s="1">
        <v>45930.333333333343</v>
      </c>
      <c r="C1644">
        <v>8</v>
      </c>
      <c r="D1644" t="s">
        <v>59</v>
      </c>
      <c r="E1644">
        <v>9</v>
      </c>
      <c r="F1644" t="s">
        <v>39</v>
      </c>
      <c r="G1644" t="s">
        <v>33</v>
      </c>
      <c r="H1644" t="s">
        <v>49</v>
      </c>
      <c r="I1644" t="s">
        <v>27</v>
      </c>
      <c r="J1644" t="s">
        <v>18</v>
      </c>
      <c r="K1644" s="2">
        <v>26000</v>
      </c>
      <c r="L1644" s="3">
        <v>18</v>
      </c>
      <c r="M1644" s="3">
        <v>67.400000000000006</v>
      </c>
      <c r="N1644" s="3">
        <v>90.7</v>
      </c>
      <c r="O1644" s="2">
        <v>145</v>
      </c>
      <c r="P1644">
        <v>0</v>
      </c>
      <c r="Q1644" t="s">
        <v>14</v>
      </c>
      <c r="R1644" s="4">
        <v>228</v>
      </c>
      <c r="S1644" s="4">
        <v>23.05</v>
      </c>
      <c r="T1644" t="s">
        <v>34</v>
      </c>
      <c r="U1644" s="4">
        <v>36.44</v>
      </c>
      <c r="V1644" s="4">
        <v>8.7690000000000001</v>
      </c>
      <c r="W1644" s="4">
        <v>204.95</v>
      </c>
    </row>
    <row r="1645" spans="1:23" ht="15" customHeight="1" x14ac:dyDescent="0.25">
      <c r="A1645">
        <v>1010</v>
      </c>
      <c r="B1645" s="1">
        <v>45930.333333333343</v>
      </c>
      <c r="C1645">
        <v>8</v>
      </c>
      <c r="D1645" t="s">
        <v>59</v>
      </c>
      <c r="E1645">
        <v>9</v>
      </c>
      <c r="F1645" t="s">
        <v>39</v>
      </c>
      <c r="G1645" t="s">
        <v>33</v>
      </c>
      <c r="H1645" t="s">
        <v>50</v>
      </c>
      <c r="I1645" t="s">
        <v>22</v>
      </c>
      <c r="J1645" t="s">
        <v>12</v>
      </c>
      <c r="K1645" s="2">
        <v>21000</v>
      </c>
      <c r="L1645" s="3">
        <v>20.3</v>
      </c>
      <c r="M1645" s="3">
        <v>63.2</v>
      </c>
      <c r="N1645" s="3">
        <v>182.8</v>
      </c>
      <c r="O1645" s="2">
        <v>363</v>
      </c>
      <c r="P1645">
        <v>0</v>
      </c>
      <c r="Q1645" t="s">
        <v>14</v>
      </c>
      <c r="R1645" s="4">
        <v>202.96</v>
      </c>
      <c r="S1645" s="4">
        <v>37.090000000000003</v>
      </c>
      <c r="T1645" t="s">
        <v>34</v>
      </c>
      <c r="U1645" s="4">
        <v>28.4</v>
      </c>
      <c r="V1645" s="4">
        <v>9.6649999999999991</v>
      </c>
      <c r="W1645" s="4">
        <v>165.87</v>
      </c>
    </row>
    <row r="1646" spans="1:23" ht="15" customHeight="1" x14ac:dyDescent="0.25">
      <c r="A1646">
        <v>275</v>
      </c>
      <c r="B1646" s="1">
        <v>45930.583333333343</v>
      </c>
      <c r="C1646">
        <v>14</v>
      </c>
      <c r="D1646" t="s">
        <v>59</v>
      </c>
      <c r="E1646">
        <v>9</v>
      </c>
      <c r="F1646" t="s">
        <v>39</v>
      </c>
      <c r="G1646" t="s">
        <v>33</v>
      </c>
      <c r="H1646" t="s">
        <v>53</v>
      </c>
      <c r="I1646" t="s">
        <v>19</v>
      </c>
      <c r="J1646" t="s">
        <v>26</v>
      </c>
      <c r="K1646" s="2">
        <v>12500</v>
      </c>
      <c r="L1646" s="3">
        <v>22</v>
      </c>
      <c r="M1646" s="3">
        <v>59</v>
      </c>
      <c r="N1646" s="3">
        <v>633</v>
      </c>
      <c r="O1646" s="2">
        <v>582</v>
      </c>
      <c r="P1646">
        <v>0</v>
      </c>
      <c r="Q1646" t="s">
        <v>14</v>
      </c>
      <c r="R1646" s="4">
        <v>99.47</v>
      </c>
      <c r="S1646" s="4">
        <v>96.34</v>
      </c>
      <c r="T1646" t="s">
        <v>34</v>
      </c>
      <c r="U1646" s="4">
        <v>0.55000000000000004</v>
      </c>
      <c r="V1646" s="4">
        <v>7.9580000000000002</v>
      </c>
      <c r="W1646" s="4">
        <v>3.13</v>
      </c>
    </row>
    <row r="1647" spans="1:23" ht="15" customHeight="1" x14ac:dyDescent="0.25">
      <c r="A1647">
        <v>643</v>
      </c>
      <c r="B1647" s="1">
        <v>45930.583333333343</v>
      </c>
      <c r="C1647">
        <v>14</v>
      </c>
      <c r="D1647" t="s">
        <v>59</v>
      </c>
      <c r="E1647">
        <v>9</v>
      </c>
      <c r="F1647" t="s">
        <v>39</v>
      </c>
      <c r="G1647" t="s">
        <v>33</v>
      </c>
      <c r="H1647" t="s">
        <v>54</v>
      </c>
      <c r="I1647" t="s">
        <v>16</v>
      </c>
      <c r="J1647" t="s">
        <v>24</v>
      </c>
      <c r="K1647" s="2">
        <v>8600</v>
      </c>
      <c r="L1647" s="3">
        <v>19.2</v>
      </c>
      <c r="M1647" s="3">
        <v>68.400000000000006</v>
      </c>
      <c r="N1647" s="3">
        <v>533.29999999999995</v>
      </c>
      <c r="O1647" s="2">
        <v>866</v>
      </c>
      <c r="P1647">
        <v>0</v>
      </c>
      <c r="Q1647" t="s">
        <v>14</v>
      </c>
      <c r="R1647" s="4">
        <v>83.69</v>
      </c>
      <c r="S1647" s="4">
        <v>38.74</v>
      </c>
      <c r="T1647" t="s">
        <v>34</v>
      </c>
      <c r="U1647" s="4">
        <v>7.83</v>
      </c>
      <c r="V1647" s="4">
        <v>9.7309999999999999</v>
      </c>
      <c r="W1647" s="4">
        <v>44.95</v>
      </c>
    </row>
    <row r="1648" spans="1:23" ht="15" customHeight="1" x14ac:dyDescent="0.25">
      <c r="A1648">
        <v>1747</v>
      </c>
      <c r="B1648" s="1">
        <v>45930.583333333343</v>
      </c>
      <c r="C1648">
        <v>14</v>
      </c>
      <c r="D1648" t="s">
        <v>59</v>
      </c>
      <c r="E1648">
        <v>9</v>
      </c>
      <c r="F1648" t="s">
        <v>39</v>
      </c>
      <c r="G1648" t="s">
        <v>33</v>
      </c>
      <c r="H1648" t="s">
        <v>49</v>
      </c>
      <c r="I1648" t="s">
        <v>27</v>
      </c>
      <c r="J1648" t="s">
        <v>18</v>
      </c>
      <c r="K1648" s="2">
        <v>26000</v>
      </c>
      <c r="L1648" s="3"/>
      <c r="M1648" s="3">
        <v>65.5</v>
      </c>
      <c r="N1648" s="3">
        <v>650.20000000000005</v>
      </c>
      <c r="O1648" s="2">
        <v>168</v>
      </c>
      <c r="P1648">
        <v>1</v>
      </c>
      <c r="Q1648" t="s">
        <v>20</v>
      </c>
      <c r="R1648" s="4"/>
      <c r="S1648" s="4">
        <v>173.43</v>
      </c>
      <c r="T1648" t="s">
        <v>34</v>
      </c>
      <c r="U1648" s="4">
        <v>-1.25</v>
      </c>
      <c r="V1648" s="4"/>
      <c r="W1648" s="4"/>
    </row>
    <row r="1649" spans="1:23" ht="15" customHeight="1" x14ac:dyDescent="0.25">
      <c r="A1649">
        <v>1379</v>
      </c>
      <c r="B1649" s="1">
        <v>45930.583333333343</v>
      </c>
      <c r="C1649">
        <v>14</v>
      </c>
      <c r="D1649" t="s">
        <v>59</v>
      </c>
      <c r="E1649">
        <v>9</v>
      </c>
      <c r="F1649" t="s">
        <v>39</v>
      </c>
      <c r="G1649" t="s">
        <v>33</v>
      </c>
      <c r="H1649" t="s">
        <v>51</v>
      </c>
      <c r="I1649" t="s">
        <v>25</v>
      </c>
      <c r="J1649" t="s">
        <v>15</v>
      </c>
      <c r="K1649" s="2">
        <v>17400</v>
      </c>
      <c r="L1649" s="3">
        <v>22.3</v>
      </c>
      <c r="M1649" s="3">
        <v>66.599999999999994</v>
      </c>
      <c r="N1649" s="3">
        <v>688.7</v>
      </c>
      <c r="O1649" s="2">
        <v>1394</v>
      </c>
      <c r="P1649">
        <v>0</v>
      </c>
      <c r="Q1649" t="s">
        <v>14</v>
      </c>
      <c r="R1649" s="4">
        <v>207.26</v>
      </c>
      <c r="S1649" s="4">
        <v>83.53</v>
      </c>
      <c r="T1649" t="s">
        <v>34</v>
      </c>
      <c r="U1649" s="4">
        <v>21.95</v>
      </c>
      <c r="V1649" s="4">
        <v>11.911</v>
      </c>
      <c r="W1649" s="4">
        <v>123.73</v>
      </c>
    </row>
    <row r="1650" spans="1:23" ht="15" customHeight="1" x14ac:dyDescent="0.25">
      <c r="A1650">
        <v>1011</v>
      </c>
      <c r="B1650" s="1">
        <v>45930.583333333343</v>
      </c>
      <c r="C1650">
        <v>14</v>
      </c>
      <c r="D1650" t="s">
        <v>59</v>
      </c>
      <c r="E1650">
        <v>9</v>
      </c>
      <c r="F1650" t="s">
        <v>39</v>
      </c>
      <c r="G1650" t="s">
        <v>33</v>
      </c>
      <c r="H1650" t="s">
        <v>50</v>
      </c>
      <c r="I1650" t="s">
        <v>22</v>
      </c>
      <c r="J1650" t="s">
        <v>12</v>
      </c>
      <c r="K1650" s="2">
        <v>21000</v>
      </c>
      <c r="L1650" s="3">
        <v>27.3</v>
      </c>
      <c r="M1650" s="3">
        <v>60.4</v>
      </c>
      <c r="N1650" s="3">
        <v>679.3</v>
      </c>
      <c r="O1650" s="2">
        <v>391</v>
      </c>
      <c r="P1650">
        <v>1</v>
      </c>
      <c r="Q1650" t="s">
        <v>20</v>
      </c>
      <c r="R1650" s="4">
        <v>200.55</v>
      </c>
      <c r="S1650" s="4">
        <v>136.93</v>
      </c>
      <c r="T1650" t="s">
        <v>34</v>
      </c>
      <c r="U1650" s="4">
        <v>10.87</v>
      </c>
      <c r="V1650" s="4">
        <v>9.5500000000000007</v>
      </c>
      <c r="W1650" s="4">
        <v>63.62</v>
      </c>
    </row>
    <row r="1651" spans="1:23" ht="15" customHeight="1" x14ac:dyDescent="0.25">
      <c r="A1651">
        <v>2115</v>
      </c>
      <c r="B1651" s="1">
        <v>45930.583333333343</v>
      </c>
      <c r="C1651">
        <v>14</v>
      </c>
      <c r="D1651" t="s">
        <v>59</v>
      </c>
      <c r="E1651">
        <v>9</v>
      </c>
      <c r="F1651" t="s">
        <v>39</v>
      </c>
      <c r="G1651" t="s">
        <v>33</v>
      </c>
      <c r="H1651" t="s">
        <v>52</v>
      </c>
      <c r="I1651" t="s">
        <v>13</v>
      </c>
      <c r="J1651" t="s">
        <v>21</v>
      </c>
      <c r="K1651" s="2">
        <v>9800</v>
      </c>
      <c r="L1651" s="3">
        <v>24.1</v>
      </c>
      <c r="M1651" s="3">
        <v>65.8</v>
      </c>
      <c r="N1651" s="3">
        <v>636</v>
      </c>
      <c r="O1651" s="2">
        <v>83</v>
      </c>
      <c r="P1651">
        <v>1</v>
      </c>
      <c r="Q1651" t="s">
        <v>20</v>
      </c>
      <c r="R1651" s="4">
        <v>21.11</v>
      </c>
      <c r="S1651" s="4">
        <v>0</v>
      </c>
      <c r="T1651" t="s">
        <v>34</v>
      </c>
      <c r="U1651" s="4">
        <v>3.65</v>
      </c>
      <c r="V1651" s="4">
        <v>2.1539999999999999</v>
      </c>
      <c r="W1651" s="4">
        <v>21.11</v>
      </c>
    </row>
    <row r="1652" spans="1:23" ht="15" customHeight="1" x14ac:dyDescent="0.25">
      <c r="A1652">
        <v>1012</v>
      </c>
      <c r="B1652" s="1">
        <v>45930.833333333343</v>
      </c>
      <c r="C1652">
        <v>20</v>
      </c>
      <c r="D1652" t="s">
        <v>59</v>
      </c>
      <c r="E1652">
        <v>9</v>
      </c>
      <c r="F1652" t="s">
        <v>39</v>
      </c>
      <c r="G1652" t="s">
        <v>33</v>
      </c>
      <c r="H1652" t="s">
        <v>50</v>
      </c>
      <c r="I1652" t="s">
        <v>22</v>
      </c>
      <c r="J1652" t="s">
        <v>12</v>
      </c>
      <c r="K1652" s="2">
        <v>21000</v>
      </c>
      <c r="L1652" s="3">
        <v>23.6</v>
      </c>
      <c r="M1652" s="3">
        <v>48.2</v>
      </c>
      <c r="N1652" s="3">
        <v>0</v>
      </c>
      <c r="O1652" s="2">
        <v>416</v>
      </c>
      <c r="P1652">
        <v>1</v>
      </c>
      <c r="Q1652" t="s">
        <v>23</v>
      </c>
      <c r="R1652" s="4">
        <v>288.23</v>
      </c>
      <c r="S1652" s="4">
        <v>0</v>
      </c>
      <c r="T1652" t="s">
        <v>37</v>
      </c>
      <c r="U1652" s="4">
        <v>76.78</v>
      </c>
      <c r="V1652" s="4">
        <v>13.725</v>
      </c>
      <c r="W1652" s="4">
        <v>288.23</v>
      </c>
    </row>
    <row r="1653" spans="1:23" ht="15" customHeight="1" x14ac:dyDescent="0.25">
      <c r="A1653">
        <v>2116</v>
      </c>
      <c r="B1653" s="1">
        <v>45930.833333333343</v>
      </c>
      <c r="C1653">
        <v>20</v>
      </c>
      <c r="D1653" t="s">
        <v>59</v>
      </c>
      <c r="E1653">
        <v>9</v>
      </c>
      <c r="F1653" t="s">
        <v>39</v>
      </c>
      <c r="G1653" t="s">
        <v>33</v>
      </c>
      <c r="H1653" t="s">
        <v>52</v>
      </c>
      <c r="I1653" t="s">
        <v>13</v>
      </c>
      <c r="J1653" t="s">
        <v>21</v>
      </c>
      <c r="K1653" s="2">
        <v>9800</v>
      </c>
      <c r="L1653" s="3">
        <v>21.3</v>
      </c>
      <c r="M1653" s="3">
        <v>72.7</v>
      </c>
      <c r="N1653" s="3">
        <v>0</v>
      </c>
      <c r="O1653" s="2">
        <v>314</v>
      </c>
      <c r="P1653">
        <v>0</v>
      </c>
      <c r="Q1653" t="s">
        <v>14</v>
      </c>
      <c r="R1653" s="4">
        <v>97.61</v>
      </c>
      <c r="S1653" s="4">
        <v>0</v>
      </c>
      <c r="T1653" t="s">
        <v>37</v>
      </c>
      <c r="U1653" s="4">
        <v>26.48</v>
      </c>
      <c r="V1653" s="4">
        <v>9.9600000000000009</v>
      </c>
      <c r="W1653" s="4">
        <v>97.61</v>
      </c>
    </row>
    <row r="1654" spans="1:23" ht="15" customHeight="1" x14ac:dyDescent="0.25">
      <c r="A1654">
        <v>644</v>
      </c>
      <c r="B1654" s="1">
        <v>45930.833333333343</v>
      </c>
      <c r="C1654">
        <v>20</v>
      </c>
      <c r="D1654" t="s">
        <v>59</v>
      </c>
      <c r="E1654">
        <v>9</v>
      </c>
      <c r="F1654" t="s">
        <v>39</v>
      </c>
      <c r="G1654" t="s">
        <v>33</v>
      </c>
      <c r="H1654" t="s">
        <v>54</v>
      </c>
      <c r="I1654" t="s">
        <v>16</v>
      </c>
      <c r="J1654" t="s">
        <v>24</v>
      </c>
      <c r="K1654" s="2">
        <v>8600</v>
      </c>
      <c r="L1654" s="3">
        <v>15.6</v>
      </c>
      <c r="M1654" s="3">
        <v>74.400000000000006</v>
      </c>
      <c r="N1654" s="3">
        <v>0</v>
      </c>
      <c r="O1654" s="2">
        <v>31</v>
      </c>
      <c r="P1654">
        <v>1</v>
      </c>
      <c r="Q1654" t="s">
        <v>23</v>
      </c>
      <c r="R1654" s="4">
        <v>20.99</v>
      </c>
      <c r="S1654" s="4">
        <v>0</v>
      </c>
      <c r="T1654" t="s">
        <v>37</v>
      </c>
      <c r="U1654" s="4">
        <v>5.52</v>
      </c>
      <c r="V1654" s="4">
        <v>2.4409999999999998</v>
      </c>
      <c r="W1654" s="4">
        <v>20.99</v>
      </c>
    </row>
    <row r="1655" spans="1:23" ht="15" customHeight="1" x14ac:dyDescent="0.25">
      <c r="A1655">
        <v>1748</v>
      </c>
      <c r="B1655" s="1">
        <v>45930.833333333343</v>
      </c>
      <c r="C1655">
        <v>20</v>
      </c>
      <c r="D1655" t="s">
        <v>59</v>
      </c>
      <c r="E1655">
        <v>9</v>
      </c>
      <c r="F1655" t="s">
        <v>39</v>
      </c>
      <c r="G1655" t="s">
        <v>33</v>
      </c>
      <c r="H1655" t="s">
        <v>49</v>
      </c>
      <c r="I1655" t="s">
        <v>27</v>
      </c>
      <c r="J1655" t="s">
        <v>18</v>
      </c>
      <c r="K1655" s="2">
        <v>26000</v>
      </c>
      <c r="L1655" s="3">
        <v>22.3</v>
      </c>
      <c r="M1655" s="3">
        <v>54.8</v>
      </c>
      <c r="N1655" s="3">
        <v>0</v>
      </c>
      <c r="O1655" s="2">
        <v>167</v>
      </c>
      <c r="P1655">
        <v>0</v>
      </c>
      <c r="Q1655" t="s">
        <v>14</v>
      </c>
      <c r="R1655" s="4">
        <v>265.93</v>
      </c>
      <c r="S1655" s="4">
        <v>0</v>
      </c>
      <c r="T1655" t="s">
        <v>37</v>
      </c>
      <c r="U1655" s="4">
        <v>72.28</v>
      </c>
      <c r="V1655" s="4">
        <v>10.228</v>
      </c>
      <c r="W1655" s="4">
        <v>265.93</v>
      </c>
    </row>
    <row r="1656" spans="1:23" ht="15" customHeight="1" x14ac:dyDescent="0.25">
      <c r="A1656">
        <v>276</v>
      </c>
      <c r="B1656" s="1">
        <v>45930.833333333343</v>
      </c>
      <c r="C1656">
        <v>20</v>
      </c>
      <c r="D1656" t="s">
        <v>59</v>
      </c>
      <c r="E1656">
        <v>9</v>
      </c>
      <c r="F1656" t="s">
        <v>39</v>
      </c>
      <c r="G1656" t="s">
        <v>33</v>
      </c>
      <c r="H1656" t="s">
        <v>53</v>
      </c>
      <c r="I1656" t="s">
        <v>19</v>
      </c>
      <c r="J1656" t="s">
        <v>26</v>
      </c>
      <c r="K1656" s="2">
        <v>12500</v>
      </c>
      <c r="L1656" s="3">
        <v>20.2</v>
      </c>
      <c r="M1656" s="3">
        <v>60.9</v>
      </c>
      <c r="N1656" s="3">
        <v>0</v>
      </c>
      <c r="O1656" s="2">
        <v>99</v>
      </c>
      <c r="P1656">
        <v>0</v>
      </c>
      <c r="Q1656" t="s">
        <v>14</v>
      </c>
      <c r="R1656" s="4">
        <v>39.49</v>
      </c>
      <c r="S1656" s="4">
        <v>0</v>
      </c>
      <c r="T1656" t="s">
        <v>37</v>
      </c>
      <c r="U1656" s="4">
        <v>10.54</v>
      </c>
      <c r="V1656" s="4">
        <v>3.1589999999999998</v>
      </c>
      <c r="W1656" s="4">
        <v>39.49</v>
      </c>
    </row>
    <row r="1657" spans="1:23" ht="15" customHeight="1" x14ac:dyDescent="0.25">
      <c r="A1657">
        <v>1380</v>
      </c>
      <c r="B1657" s="1">
        <v>45930.833333333343</v>
      </c>
      <c r="C1657">
        <v>20</v>
      </c>
      <c r="D1657" t="s">
        <v>59</v>
      </c>
      <c r="E1657">
        <v>9</v>
      </c>
      <c r="F1657" t="s">
        <v>39</v>
      </c>
      <c r="G1657" t="s">
        <v>33</v>
      </c>
      <c r="H1657" t="s">
        <v>51</v>
      </c>
      <c r="I1657" t="s">
        <v>25</v>
      </c>
      <c r="J1657" t="s">
        <v>15</v>
      </c>
      <c r="K1657" s="2">
        <v>17400</v>
      </c>
      <c r="L1657" s="3">
        <v>20</v>
      </c>
      <c r="M1657" s="3">
        <v>73.8</v>
      </c>
      <c r="N1657" s="3">
        <v>0</v>
      </c>
      <c r="O1657" s="2">
        <v>1239</v>
      </c>
      <c r="P1657">
        <v>0</v>
      </c>
      <c r="Q1657" t="s">
        <v>14</v>
      </c>
      <c r="R1657" s="4">
        <v>270.79000000000002</v>
      </c>
      <c r="S1657" s="4">
        <v>0</v>
      </c>
      <c r="T1657" t="s">
        <v>37</v>
      </c>
      <c r="U1657" s="4">
        <v>73.41</v>
      </c>
      <c r="V1657" s="4">
        <v>15.563000000000001</v>
      </c>
      <c r="W1657" s="4">
        <v>270.79000000000002</v>
      </c>
    </row>
    <row r="1658" spans="1:23" ht="15" customHeight="1" x14ac:dyDescent="0.25">
      <c r="A1658">
        <v>2117</v>
      </c>
      <c r="B1658" s="1">
        <v>45934</v>
      </c>
      <c r="C1658">
        <v>0</v>
      </c>
      <c r="D1658" t="s">
        <v>60</v>
      </c>
      <c r="E1658">
        <v>10</v>
      </c>
      <c r="F1658" t="s">
        <v>39</v>
      </c>
      <c r="G1658" t="s">
        <v>36</v>
      </c>
      <c r="H1658" t="s">
        <v>52</v>
      </c>
      <c r="I1658" t="s">
        <v>13</v>
      </c>
      <c r="J1658" t="s">
        <v>21</v>
      </c>
      <c r="K1658" s="2">
        <v>9800</v>
      </c>
      <c r="L1658" s="3">
        <v>13.8</v>
      </c>
      <c r="M1658" s="3">
        <v>82.1</v>
      </c>
      <c r="N1658" s="3">
        <v>0</v>
      </c>
      <c r="O1658" s="2">
        <v>278</v>
      </c>
      <c r="P1658">
        <v>1</v>
      </c>
      <c r="Q1658" t="s">
        <v>17</v>
      </c>
      <c r="R1658" s="4">
        <v>93.81</v>
      </c>
      <c r="S1658" s="4">
        <v>0</v>
      </c>
      <c r="T1658" t="s">
        <v>31</v>
      </c>
      <c r="U1658" s="4">
        <v>10.39</v>
      </c>
      <c r="V1658" s="4">
        <v>9.5719999999999992</v>
      </c>
      <c r="W1658" s="4">
        <v>93.81</v>
      </c>
    </row>
    <row r="1659" spans="1:23" ht="15" customHeight="1" x14ac:dyDescent="0.25">
      <c r="A1659">
        <v>277</v>
      </c>
      <c r="B1659" s="1">
        <v>45934</v>
      </c>
      <c r="C1659">
        <v>0</v>
      </c>
      <c r="D1659" t="s">
        <v>60</v>
      </c>
      <c r="E1659">
        <v>10</v>
      </c>
      <c r="F1659" t="s">
        <v>39</v>
      </c>
      <c r="G1659" t="s">
        <v>36</v>
      </c>
      <c r="H1659" t="s">
        <v>53</v>
      </c>
      <c r="I1659" t="s">
        <v>19</v>
      </c>
      <c r="J1659" t="s">
        <v>26</v>
      </c>
      <c r="K1659" s="2">
        <v>12500</v>
      </c>
      <c r="L1659" s="3">
        <v>12.3</v>
      </c>
      <c r="M1659" s="3">
        <v>60.8</v>
      </c>
      <c r="N1659" s="3">
        <v>0</v>
      </c>
      <c r="O1659" s="2"/>
      <c r="P1659">
        <v>0</v>
      </c>
      <c r="Q1659" t="s">
        <v>14</v>
      </c>
      <c r="R1659" s="4">
        <v>25.11</v>
      </c>
      <c r="S1659" s="4">
        <v>0</v>
      </c>
      <c r="T1659" t="s">
        <v>31</v>
      </c>
      <c r="U1659" s="4">
        <v>2.79</v>
      </c>
      <c r="V1659" s="4">
        <v>2.0089999999999999</v>
      </c>
      <c r="W1659" s="4">
        <v>25.11</v>
      </c>
    </row>
    <row r="1660" spans="1:23" ht="15" customHeight="1" x14ac:dyDescent="0.25">
      <c r="A1660">
        <v>645</v>
      </c>
      <c r="B1660" s="1">
        <v>45934</v>
      </c>
      <c r="C1660">
        <v>0</v>
      </c>
      <c r="D1660" t="s">
        <v>60</v>
      </c>
      <c r="E1660">
        <v>10</v>
      </c>
      <c r="F1660" t="s">
        <v>39</v>
      </c>
      <c r="G1660" t="s">
        <v>36</v>
      </c>
      <c r="H1660" t="s">
        <v>54</v>
      </c>
      <c r="I1660" t="s">
        <v>16</v>
      </c>
      <c r="J1660" t="s">
        <v>24</v>
      </c>
      <c r="K1660" s="2">
        <v>8600</v>
      </c>
      <c r="L1660" s="3">
        <v>10.4</v>
      </c>
      <c r="M1660" s="3">
        <v>90.6</v>
      </c>
      <c r="N1660" s="3">
        <v>0</v>
      </c>
      <c r="O1660" s="2">
        <v>22</v>
      </c>
      <c r="P1660">
        <v>0</v>
      </c>
      <c r="Q1660" t="s">
        <v>14</v>
      </c>
      <c r="R1660" s="4">
        <v>12.28</v>
      </c>
      <c r="S1660" s="4">
        <v>0</v>
      </c>
      <c r="T1660" t="s">
        <v>31</v>
      </c>
      <c r="U1660" s="4">
        <v>1.31</v>
      </c>
      <c r="V1660" s="4">
        <v>1.4279999999999999</v>
      </c>
      <c r="W1660" s="4">
        <v>12.28</v>
      </c>
    </row>
    <row r="1661" spans="1:23" ht="15" customHeight="1" x14ac:dyDescent="0.25">
      <c r="A1661">
        <v>1013</v>
      </c>
      <c r="B1661" s="1">
        <v>45934</v>
      </c>
      <c r="C1661">
        <v>0</v>
      </c>
      <c r="D1661" t="s">
        <v>60</v>
      </c>
      <c r="E1661">
        <v>10</v>
      </c>
      <c r="F1661" t="s">
        <v>39</v>
      </c>
      <c r="G1661" t="s">
        <v>36</v>
      </c>
      <c r="H1661" t="s">
        <v>50</v>
      </c>
      <c r="I1661" t="s">
        <v>22</v>
      </c>
      <c r="J1661" t="s">
        <v>12</v>
      </c>
      <c r="K1661" s="2">
        <v>21000</v>
      </c>
      <c r="L1661" s="3">
        <v>14.5</v>
      </c>
      <c r="M1661" s="3">
        <v>61.9</v>
      </c>
      <c r="N1661" s="3">
        <v>0</v>
      </c>
      <c r="O1661" s="2">
        <v>189</v>
      </c>
      <c r="P1661">
        <v>1</v>
      </c>
      <c r="Q1661" t="s">
        <v>23</v>
      </c>
      <c r="R1661" s="4">
        <v>160.47</v>
      </c>
      <c r="S1661" s="4">
        <v>0</v>
      </c>
      <c r="T1661" t="s">
        <v>31</v>
      </c>
      <c r="U1661" s="4">
        <v>17.440000000000001</v>
      </c>
      <c r="V1661" s="4">
        <v>7.641</v>
      </c>
      <c r="W1661" s="4">
        <v>160.47</v>
      </c>
    </row>
    <row r="1662" spans="1:23" ht="15" customHeight="1" x14ac:dyDescent="0.25">
      <c r="A1662">
        <v>1749</v>
      </c>
      <c r="B1662" s="1">
        <v>45934</v>
      </c>
      <c r="C1662">
        <v>0</v>
      </c>
      <c r="D1662" t="s">
        <v>60</v>
      </c>
      <c r="E1662">
        <v>10</v>
      </c>
      <c r="F1662" t="s">
        <v>39</v>
      </c>
      <c r="G1662" t="s">
        <v>36</v>
      </c>
      <c r="H1662" t="s">
        <v>49</v>
      </c>
      <c r="I1662" t="s">
        <v>27</v>
      </c>
      <c r="J1662" t="s">
        <v>18</v>
      </c>
      <c r="K1662" s="2">
        <v>26000</v>
      </c>
      <c r="L1662" s="3">
        <v>12.5</v>
      </c>
      <c r="M1662" s="3">
        <v>57.3</v>
      </c>
      <c r="N1662" s="3">
        <v>0</v>
      </c>
      <c r="O1662" s="2"/>
      <c r="P1662">
        <v>1</v>
      </c>
      <c r="Q1662" t="s">
        <v>17</v>
      </c>
      <c r="R1662" s="4">
        <v>78.569999999999993</v>
      </c>
      <c r="S1662" s="4">
        <v>0</v>
      </c>
      <c r="T1662" t="s">
        <v>31</v>
      </c>
      <c r="U1662" s="4">
        <v>8.8000000000000007</v>
      </c>
      <c r="V1662" s="4">
        <v>3.0219999999999998</v>
      </c>
      <c r="W1662" s="4">
        <v>78.569999999999993</v>
      </c>
    </row>
    <row r="1663" spans="1:23" ht="15" customHeight="1" x14ac:dyDescent="0.25">
      <c r="A1663">
        <v>1381</v>
      </c>
      <c r="B1663" s="1">
        <v>45934</v>
      </c>
      <c r="C1663">
        <v>0</v>
      </c>
      <c r="D1663" t="s">
        <v>60</v>
      </c>
      <c r="E1663">
        <v>10</v>
      </c>
      <c r="F1663" t="s">
        <v>39</v>
      </c>
      <c r="G1663" t="s">
        <v>36</v>
      </c>
      <c r="H1663" t="s">
        <v>51</v>
      </c>
      <c r="I1663" t="s">
        <v>25</v>
      </c>
      <c r="J1663" t="s">
        <v>15</v>
      </c>
      <c r="K1663" s="2">
        <v>17400</v>
      </c>
      <c r="L1663" s="3">
        <v>18</v>
      </c>
      <c r="M1663" s="3">
        <v>74.099999999999994</v>
      </c>
      <c r="N1663" s="3">
        <v>0</v>
      </c>
      <c r="O1663" s="2">
        <v>112</v>
      </c>
      <c r="P1663">
        <v>0</v>
      </c>
      <c r="Q1663" t="s">
        <v>14</v>
      </c>
      <c r="R1663" s="4">
        <v>51.45</v>
      </c>
      <c r="S1663" s="4">
        <v>0</v>
      </c>
      <c r="T1663" t="s">
        <v>31</v>
      </c>
      <c r="U1663" s="4">
        <v>5.78</v>
      </c>
      <c r="V1663" s="4">
        <v>2.9569999999999999</v>
      </c>
      <c r="W1663" s="4">
        <v>51.45</v>
      </c>
    </row>
    <row r="1664" spans="1:23" ht="15" customHeight="1" x14ac:dyDescent="0.25">
      <c r="A1664">
        <v>2118</v>
      </c>
      <c r="B1664" s="1">
        <v>45934.333333333343</v>
      </c>
      <c r="C1664">
        <v>8</v>
      </c>
      <c r="D1664" t="s">
        <v>60</v>
      </c>
      <c r="E1664">
        <v>10</v>
      </c>
      <c r="F1664" t="s">
        <v>39</v>
      </c>
      <c r="G1664" t="s">
        <v>36</v>
      </c>
      <c r="H1664" t="s">
        <v>52</v>
      </c>
      <c r="I1664" t="s">
        <v>13</v>
      </c>
      <c r="J1664" t="s">
        <v>21</v>
      </c>
      <c r="K1664" s="2">
        <v>9800</v>
      </c>
      <c r="L1664" s="3">
        <v>17.899999999999999</v>
      </c>
      <c r="M1664" s="3">
        <v>73.400000000000006</v>
      </c>
      <c r="N1664" s="3">
        <v>131</v>
      </c>
      <c r="O1664" s="2">
        <v>125</v>
      </c>
      <c r="P1664">
        <v>0</v>
      </c>
      <c r="Q1664" t="s">
        <v>14</v>
      </c>
      <c r="R1664" s="4">
        <v>26.5</v>
      </c>
      <c r="S1664" s="4">
        <v>0</v>
      </c>
      <c r="T1664" t="s">
        <v>31</v>
      </c>
      <c r="U1664" s="4">
        <v>2.79</v>
      </c>
      <c r="V1664" s="4">
        <v>2.7040000000000002</v>
      </c>
      <c r="W1664" s="4">
        <v>26.5</v>
      </c>
    </row>
    <row r="1665" spans="1:23" ht="15" customHeight="1" x14ac:dyDescent="0.25">
      <c r="A1665">
        <v>1014</v>
      </c>
      <c r="B1665" s="1">
        <v>45934.333333333343</v>
      </c>
      <c r="C1665">
        <v>8</v>
      </c>
      <c r="D1665" t="s">
        <v>60</v>
      </c>
      <c r="E1665">
        <v>10</v>
      </c>
      <c r="F1665" t="s">
        <v>39</v>
      </c>
      <c r="G1665" t="s">
        <v>36</v>
      </c>
      <c r="H1665" t="s">
        <v>50</v>
      </c>
      <c r="I1665" t="s">
        <v>22</v>
      </c>
      <c r="J1665" t="s">
        <v>12</v>
      </c>
      <c r="K1665" s="2">
        <v>21000</v>
      </c>
      <c r="L1665" s="3">
        <v>21.1</v>
      </c>
      <c r="M1665" s="3">
        <v>44</v>
      </c>
      <c r="N1665" s="3">
        <v>171.8</v>
      </c>
      <c r="O1665" s="2">
        <v>391</v>
      </c>
      <c r="P1665">
        <v>0</v>
      </c>
      <c r="Q1665" t="s">
        <v>14</v>
      </c>
      <c r="R1665" s="4">
        <v>200.87</v>
      </c>
      <c r="S1665" s="4">
        <v>36.869999999999997</v>
      </c>
      <c r="T1665" t="s">
        <v>31</v>
      </c>
      <c r="U1665" s="4">
        <v>17.989999999999998</v>
      </c>
      <c r="V1665" s="4">
        <v>9.5649999999999995</v>
      </c>
      <c r="W1665" s="4">
        <v>164</v>
      </c>
    </row>
    <row r="1666" spans="1:23" ht="15" customHeight="1" x14ac:dyDescent="0.25">
      <c r="A1666">
        <v>646</v>
      </c>
      <c r="B1666" s="1">
        <v>45934.333333333343</v>
      </c>
      <c r="C1666">
        <v>8</v>
      </c>
      <c r="D1666" t="s">
        <v>60</v>
      </c>
      <c r="E1666">
        <v>10</v>
      </c>
      <c r="F1666" t="s">
        <v>39</v>
      </c>
      <c r="G1666" t="s">
        <v>36</v>
      </c>
      <c r="H1666" t="s">
        <v>54</v>
      </c>
      <c r="I1666" t="s">
        <v>16</v>
      </c>
      <c r="J1666" t="s">
        <v>24</v>
      </c>
      <c r="K1666" s="2">
        <v>8600</v>
      </c>
      <c r="L1666" s="3">
        <v>18.8</v>
      </c>
      <c r="M1666" s="3">
        <v>83.3</v>
      </c>
      <c r="N1666" s="3">
        <v>97.1</v>
      </c>
      <c r="O1666" s="2">
        <v>96</v>
      </c>
      <c r="P1666">
        <v>0</v>
      </c>
      <c r="Q1666" t="s">
        <v>14</v>
      </c>
      <c r="R1666" s="4">
        <v>17.32</v>
      </c>
      <c r="S1666" s="4">
        <v>6.79</v>
      </c>
      <c r="T1666" t="s">
        <v>31</v>
      </c>
      <c r="U1666" s="4">
        <v>1.17</v>
      </c>
      <c r="V1666" s="4">
        <v>2.0139999999999998</v>
      </c>
      <c r="W1666" s="4">
        <v>10.53</v>
      </c>
    </row>
    <row r="1667" spans="1:23" ht="15" customHeight="1" x14ac:dyDescent="0.25">
      <c r="A1667">
        <v>278</v>
      </c>
      <c r="B1667" s="1">
        <v>45934.333333333343</v>
      </c>
      <c r="C1667">
        <v>8</v>
      </c>
      <c r="D1667" t="s">
        <v>60</v>
      </c>
      <c r="E1667">
        <v>10</v>
      </c>
      <c r="F1667" t="s">
        <v>39</v>
      </c>
      <c r="G1667" t="s">
        <v>36</v>
      </c>
      <c r="H1667" t="s">
        <v>53</v>
      </c>
      <c r="I1667" t="s">
        <v>19</v>
      </c>
      <c r="J1667" t="s">
        <v>26</v>
      </c>
      <c r="K1667" s="2">
        <v>12500</v>
      </c>
      <c r="L1667" s="3">
        <v>17.399999999999999</v>
      </c>
      <c r="M1667" s="3">
        <v>57.6</v>
      </c>
      <c r="N1667" s="3">
        <v>157.69999999999999</v>
      </c>
      <c r="O1667" s="2">
        <v>25</v>
      </c>
      <c r="P1667">
        <v>0</v>
      </c>
      <c r="Q1667" t="s">
        <v>14</v>
      </c>
      <c r="R1667" s="4">
        <v>16.78</v>
      </c>
      <c r="S1667" s="4">
        <v>23.43</v>
      </c>
      <c r="T1667" t="s">
        <v>31</v>
      </c>
      <c r="U1667" s="4">
        <v>-0.28999999999999998</v>
      </c>
      <c r="V1667" s="4">
        <v>1.3420000000000001</v>
      </c>
      <c r="W1667" s="4">
        <v>0</v>
      </c>
    </row>
    <row r="1668" spans="1:23" ht="15" customHeight="1" x14ac:dyDescent="0.25">
      <c r="A1668">
        <v>1382</v>
      </c>
      <c r="B1668" s="1">
        <v>45934.333333333343</v>
      </c>
      <c r="C1668">
        <v>8</v>
      </c>
      <c r="D1668" t="s">
        <v>60</v>
      </c>
      <c r="E1668">
        <v>10</v>
      </c>
      <c r="F1668" t="s">
        <v>39</v>
      </c>
      <c r="G1668" t="s">
        <v>36</v>
      </c>
      <c r="H1668" t="s">
        <v>51</v>
      </c>
      <c r="I1668" t="s">
        <v>25</v>
      </c>
      <c r="J1668" t="s">
        <v>15</v>
      </c>
      <c r="K1668" s="2">
        <v>17400</v>
      </c>
      <c r="L1668" s="3">
        <v>15.2</v>
      </c>
      <c r="M1668" s="3">
        <v>73.900000000000006</v>
      </c>
      <c r="N1668" s="3">
        <v>111.3</v>
      </c>
      <c r="O1668" s="2">
        <v>195</v>
      </c>
      <c r="P1668">
        <v>1</v>
      </c>
      <c r="Q1668" t="s">
        <v>23</v>
      </c>
      <c r="R1668" s="4">
        <v>55.06</v>
      </c>
      <c r="S1668" s="4">
        <v>13.94</v>
      </c>
      <c r="T1668" t="s">
        <v>31</v>
      </c>
      <c r="U1668" s="4">
        <v>4.45</v>
      </c>
      <c r="V1668" s="4">
        <v>3.1640000000000001</v>
      </c>
      <c r="W1668" s="4">
        <v>41.12</v>
      </c>
    </row>
    <row r="1669" spans="1:23" ht="15" customHeight="1" x14ac:dyDescent="0.25">
      <c r="A1669">
        <v>1750</v>
      </c>
      <c r="B1669" s="1">
        <v>45934.333333333343</v>
      </c>
      <c r="C1669">
        <v>8</v>
      </c>
      <c r="D1669" t="s">
        <v>60</v>
      </c>
      <c r="E1669">
        <v>10</v>
      </c>
      <c r="F1669" t="s">
        <v>39</v>
      </c>
      <c r="G1669" t="s">
        <v>36</v>
      </c>
      <c r="H1669" t="s">
        <v>49</v>
      </c>
      <c r="I1669" t="s">
        <v>27</v>
      </c>
      <c r="J1669" t="s">
        <v>18</v>
      </c>
      <c r="K1669" s="2">
        <v>26000</v>
      </c>
      <c r="L1669" s="3">
        <v>12.8</v>
      </c>
      <c r="M1669" s="3">
        <v>63.3</v>
      </c>
      <c r="N1669" s="3">
        <v>125.2</v>
      </c>
      <c r="O1669" s="2">
        <v>64</v>
      </c>
      <c r="P1669">
        <v>1</v>
      </c>
      <c r="Q1669" t="s">
        <v>17</v>
      </c>
      <c r="R1669" s="4">
        <v>86.98</v>
      </c>
      <c r="S1669" s="4">
        <v>34.57</v>
      </c>
      <c r="T1669" t="s">
        <v>31</v>
      </c>
      <c r="U1669" s="4">
        <v>5.69</v>
      </c>
      <c r="V1669" s="4">
        <v>3.3450000000000002</v>
      </c>
      <c r="W1669" s="4">
        <v>52.41</v>
      </c>
    </row>
    <row r="1670" spans="1:23" ht="15" customHeight="1" x14ac:dyDescent="0.25">
      <c r="A1670">
        <v>2119</v>
      </c>
      <c r="B1670" s="1">
        <v>45934.583333333343</v>
      </c>
      <c r="C1670">
        <v>14</v>
      </c>
      <c r="D1670" t="s">
        <v>60</v>
      </c>
      <c r="E1670">
        <v>10</v>
      </c>
      <c r="F1670" t="s">
        <v>39</v>
      </c>
      <c r="G1670" t="s">
        <v>36</v>
      </c>
      <c r="H1670" t="s">
        <v>52</v>
      </c>
      <c r="I1670" t="s">
        <v>13</v>
      </c>
      <c r="J1670" t="s">
        <v>21</v>
      </c>
      <c r="K1670" s="2">
        <v>9800</v>
      </c>
      <c r="L1670" s="3">
        <v>21.1</v>
      </c>
      <c r="M1670" s="3">
        <v>63</v>
      </c>
      <c r="N1670" s="3">
        <v>769.4</v>
      </c>
      <c r="O1670" s="2">
        <v>151</v>
      </c>
      <c r="P1670">
        <v>0</v>
      </c>
      <c r="Q1670" t="s">
        <v>14</v>
      </c>
      <c r="R1670" s="4">
        <v>28.28</v>
      </c>
      <c r="S1670" s="4">
        <v>0</v>
      </c>
      <c r="T1670" t="s">
        <v>31</v>
      </c>
      <c r="U1670" s="4">
        <v>3</v>
      </c>
      <c r="V1670" s="4">
        <v>2.8860000000000001</v>
      </c>
      <c r="W1670" s="4">
        <v>28.28</v>
      </c>
    </row>
    <row r="1671" spans="1:23" ht="15" customHeight="1" x14ac:dyDescent="0.25">
      <c r="A1671">
        <v>1015</v>
      </c>
      <c r="B1671" s="1">
        <v>45934.583333333343</v>
      </c>
      <c r="C1671">
        <v>14</v>
      </c>
      <c r="D1671" t="s">
        <v>60</v>
      </c>
      <c r="E1671">
        <v>10</v>
      </c>
      <c r="F1671" t="s">
        <v>39</v>
      </c>
      <c r="G1671" t="s">
        <v>36</v>
      </c>
      <c r="H1671" t="s">
        <v>50</v>
      </c>
      <c r="I1671" t="s">
        <v>22</v>
      </c>
      <c r="J1671" t="s">
        <v>12</v>
      </c>
      <c r="K1671" s="2">
        <v>21000</v>
      </c>
      <c r="L1671" s="3">
        <v>28.7</v>
      </c>
      <c r="M1671" s="3">
        <v>59.1</v>
      </c>
      <c r="N1671" s="3">
        <v>493</v>
      </c>
      <c r="O1671" s="2">
        <v>383</v>
      </c>
      <c r="P1671">
        <v>1</v>
      </c>
      <c r="Q1671" t="s">
        <v>20</v>
      </c>
      <c r="R1671" s="4">
        <v>233.59</v>
      </c>
      <c r="S1671" s="4">
        <v>99.1</v>
      </c>
      <c r="T1671" t="s">
        <v>31</v>
      </c>
      <c r="U1671" s="4">
        <v>15.12</v>
      </c>
      <c r="V1671" s="4">
        <v>11.122999999999999</v>
      </c>
      <c r="W1671" s="4">
        <v>134.49</v>
      </c>
    </row>
    <row r="1672" spans="1:23" ht="15" customHeight="1" x14ac:dyDescent="0.25">
      <c r="A1672">
        <v>1751</v>
      </c>
      <c r="B1672" s="1">
        <v>45934.583333333343</v>
      </c>
      <c r="C1672">
        <v>14</v>
      </c>
      <c r="D1672" t="s">
        <v>60</v>
      </c>
      <c r="E1672">
        <v>10</v>
      </c>
      <c r="F1672" t="s">
        <v>39</v>
      </c>
      <c r="G1672" t="s">
        <v>36</v>
      </c>
      <c r="H1672" t="s">
        <v>49</v>
      </c>
      <c r="I1672" t="s">
        <v>27</v>
      </c>
      <c r="J1672" t="s">
        <v>18</v>
      </c>
      <c r="K1672" s="2">
        <v>26000</v>
      </c>
      <c r="L1672" s="3">
        <v>19</v>
      </c>
      <c r="M1672" s="3">
        <v>60.9</v>
      </c>
      <c r="N1672" s="3">
        <v>677.2</v>
      </c>
      <c r="O1672" s="2">
        <v>62</v>
      </c>
      <c r="P1672">
        <v>0</v>
      </c>
      <c r="Q1672" t="s">
        <v>14</v>
      </c>
      <c r="R1672" s="4">
        <v>77.680000000000007</v>
      </c>
      <c r="S1672" s="4">
        <v>170.44</v>
      </c>
      <c r="T1672" t="s">
        <v>31</v>
      </c>
      <c r="U1672" s="4">
        <v>-4</v>
      </c>
      <c r="V1672" s="4">
        <v>2.988</v>
      </c>
      <c r="W1672" s="4">
        <v>0</v>
      </c>
    </row>
    <row r="1673" spans="1:23" ht="15" customHeight="1" x14ac:dyDescent="0.25">
      <c r="A1673">
        <v>279</v>
      </c>
      <c r="B1673" s="1">
        <v>45934.583333333343</v>
      </c>
      <c r="C1673">
        <v>14</v>
      </c>
      <c r="D1673" t="s">
        <v>60</v>
      </c>
      <c r="E1673">
        <v>10</v>
      </c>
      <c r="F1673" t="s">
        <v>39</v>
      </c>
      <c r="G1673" t="s">
        <v>36</v>
      </c>
      <c r="H1673" t="s">
        <v>53</v>
      </c>
      <c r="I1673" t="s">
        <v>19</v>
      </c>
      <c r="J1673" t="s">
        <v>26</v>
      </c>
      <c r="K1673" s="2">
        <v>12500</v>
      </c>
      <c r="L1673" s="3">
        <v>25.3</v>
      </c>
      <c r="M1673" s="3">
        <v>55.5</v>
      </c>
      <c r="N1673" s="3">
        <v>595</v>
      </c>
      <c r="O1673" s="2">
        <v>99</v>
      </c>
      <c r="P1673">
        <v>0</v>
      </c>
      <c r="Q1673" t="s">
        <v>14</v>
      </c>
      <c r="R1673" s="4">
        <v>22.46</v>
      </c>
      <c r="S1673" s="4">
        <v>90.9</v>
      </c>
      <c r="T1673" t="s">
        <v>31</v>
      </c>
      <c r="U1673" s="4">
        <v>-2.94</v>
      </c>
      <c r="V1673" s="4">
        <v>1.7969999999999999</v>
      </c>
      <c r="W1673" s="4">
        <v>0</v>
      </c>
    </row>
    <row r="1674" spans="1:23" ht="15" customHeight="1" x14ac:dyDescent="0.25">
      <c r="A1674">
        <v>647</v>
      </c>
      <c r="B1674" s="1">
        <v>45934.583333333343</v>
      </c>
      <c r="C1674">
        <v>14</v>
      </c>
      <c r="D1674" t="s">
        <v>60</v>
      </c>
      <c r="E1674">
        <v>10</v>
      </c>
      <c r="F1674" t="s">
        <v>39</v>
      </c>
      <c r="G1674" t="s">
        <v>36</v>
      </c>
      <c r="H1674" t="s">
        <v>54</v>
      </c>
      <c r="I1674" t="s">
        <v>16</v>
      </c>
      <c r="J1674" t="s">
        <v>24</v>
      </c>
      <c r="K1674" s="2">
        <v>8600</v>
      </c>
      <c r="L1674" s="3">
        <v>19.899999999999999</v>
      </c>
      <c r="M1674" s="3">
        <v>87.2</v>
      </c>
      <c r="N1674" s="3">
        <v>415.5</v>
      </c>
      <c r="O1674" s="2">
        <v>0</v>
      </c>
      <c r="P1674">
        <v>0</v>
      </c>
      <c r="Q1674" t="s">
        <v>14</v>
      </c>
      <c r="R1674" s="4">
        <v>7.42</v>
      </c>
      <c r="S1674" s="4">
        <v>30.58</v>
      </c>
      <c r="T1674" t="s">
        <v>31</v>
      </c>
      <c r="U1674" s="4">
        <v>-1.02</v>
      </c>
      <c r="V1674" s="4">
        <v>0.86299999999999999</v>
      </c>
      <c r="W1674" s="4">
        <v>0</v>
      </c>
    </row>
    <row r="1675" spans="1:23" ht="15" customHeight="1" x14ac:dyDescent="0.25">
      <c r="A1675">
        <v>1383</v>
      </c>
      <c r="B1675" s="1">
        <v>45934.583333333343</v>
      </c>
      <c r="C1675">
        <v>14</v>
      </c>
      <c r="D1675" t="s">
        <v>60</v>
      </c>
      <c r="E1675">
        <v>10</v>
      </c>
      <c r="F1675" t="s">
        <v>39</v>
      </c>
      <c r="G1675" t="s">
        <v>36</v>
      </c>
      <c r="H1675" t="s">
        <v>51</v>
      </c>
      <c r="I1675" t="s">
        <v>25</v>
      </c>
      <c r="J1675" t="s">
        <v>15</v>
      </c>
      <c r="K1675" s="2">
        <v>17400</v>
      </c>
      <c r="L1675" s="3">
        <v>25.6</v>
      </c>
      <c r="M1675" s="3">
        <v>77</v>
      </c>
      <c r="N1675" s="3">
        <v>564.70000000000005</v>
      </c>
      <c r="O1675" s="2">
        <v>1541</v>
      </c>
      <c r="P1675">
        <v>1</v>
      </c>
      <c r="Q1675" t="s">
        <v>20</v>
      </c>
      <c r="R1675" s="4">
        <v>224.3</v>
      </c>
      <c r="S1675" s="4">
        <v>73.930000000000007</v>
      </c>
      <c r="T1675" t="s">
        <v>31</v>
      </c>
      <c r="U1675" s="4">
        <v>16.87</v>
      </c>
      <c r="V1675" s="4">
        <v>12.891</v>
      </c>
      <c r="W1675" s="4">
        <v>150.37</v>
      </c>
    </row>
    <row r="1676" spans="1:23" ht="15" customHeight="1" x14ac:dyDescent="0.25">
      <c r="A1676">
        <v>1752</v>
      </c>
      <c r="B1676" s="1">
        <v>45934.833333333343</v>
      </c>
      <c r="C1676">
        <v>20</v>
      </c>
      <c r="D1676" t="s">
        <v>60</v>
      </c>
      <c r="E1676">
        <v>10</v>
      </c>
      <c r="F1676" t="s">
        <v>39</v>
      </c>
      <c r="G1676" t="s">
        <v>36</v>
      </c>
      <c r="H1676" t="s">
        <v>49</v>
      </c>
      <c r="I1676" t="s">
        <v>27</v>
      </c>
      <c r="J1676" t="s">
        <v>18</v>
      </c>
      <c r="K1676" s="2">
        <v>26000</v>
      </c>
      <c r="L1676" s="3">
        <v>14.1</v>
      </c>
      <c r="M1676" s="3">
        <v>75.8</v>
      </c>
      <c r="N1676" s="3">
        <v>0</v>
      </c>
      <c r="O1676" s="2">
        <v>74</v>
      </c>
      <c r="P1676">
        <v>1</v>
      </c>
      <c r="Q1676" t="s">
        <v>17</v>
      </c>
      <c r="R1676" s="4">
        <v>121.66</v>
      </c>
      <c r="S1676" s="4">
        <v>0</v>
      </c>
      <c r="T1676" t="s">
        <v>31</v>
      </c>
      <c r="U1676" s="4">
        <v>13.02</v>
      </c>
      <c r="V1676" s="4">
        <v>4.6790000000000003</v>
      </c>
      <c r="W1676" s="4">
        <v>121.66</v>
      </c>
    </row>
    <row r="1677" spans="1:23" ht="15" customHeight="1" x14ac:dyDescent="0.25">
      <c r="A1677">
        <v>1384</v>
      </c>
      <c r="B1677" s="1">
        <v>45934.833333333343</v>
      </c>
      <c r="C1677">
        <v>20</v>
      </c>
      <c r="D1677" t="s">
        <v>60</v>
      </c>
      <c r="E1677">
        <v>10</v>
      </c>
      <c r="F1677" t="s">
        <v>39</v>
      </c>
      <c r="G1677" t="s">
        <v>36</v>
      </c>
      <c r="H1677" t="s">
        <v>51</v>
      </c>
      <c r="I1677" t="s">
        <v>25</v>
      </c>
      <c r="J1677" t="s">
        <v>15</v>
      </c>
      <c r="K1677" s="2">
        <v>17400</v>
      </c>
      <c r="L1677" s="3">
        <v>22.3</v>
      </c>
      <c r="M1677" s="3">
        <v>72.3</v>
      </c>
      <c r="N1677" s="3">
        <v>0</v>
      </c>
      <c r="O1677" s="2">
        <v>1584</v>
      </c>
      <c r="P1677">
        <v>0</v>
      </c>
      <c r="Q1677" t="s">
        <v>14</v>
      </c>
      <c r="R1677" s="4">
        <v>297.76</v>
      </c>
      <c r="S1677" s="4">
        <v>0</v>
      </c>
      <c r="T1677" t="s">
        <v>31</v>
      </c>
      <c r="U1677" s="4">
        <v>32.520000000000003</v>
      </c>
      <c r="V1677" s="4">
        <v>17.113</v>
      </c>
      <c r="W1677" s="4">
        <v>297.76</v>
      </c>
    </row>
    <row r="1678" spans="1:23" ht="15" customHeight="1" x14ac:dyDescent="0.25">
      <c r="A1678">
        <v>1016</v>
      </c>
      <c r="B1678" s="1">
        <v>45934.833333333343</v>
      </c>
      <c r="C1678">
        <v>20</v>
      </c>
      <c r="D1678" t="s">
        <v>60</v>
      </c>
      <c r="E1678">
        <v>10</v>
      </c>
      <c r="F1678" t="s">
        <v>39</v>
      </c>
      <c r="G1678" t="s">
        <v>36</v>
      </c>
      <c r="H1678" t="s">
        <v>50</v>
      </c>
      <c r="I1678" t="s">
        <v>22</v>
      </c>
      <c r="J1678" t="s">
        <v>12</v>
      </c>
      <c r="K1678" s="2">
        <v>21000</v>
      </c>
      <c r="L1678" s="3">
        <v>23.3</v>
      </c>
      <c r="M1678" s="3">
        <v>49.2</v>
      </c>
      <c r="N1678" s="3">
        <v>0</v>
      </c>
      <c r="O1678" s="2">
        <v>350</v>
      </c>
      <c r="P1678">
        <v>1</v>
      </c>
      <c r="Q1678" t="s">
        <v>23</v>
      </c>
      <c r="R1678" s="4">
        <v>287.17</v>
      </c>
      <c r="S1678" s="4">
        <v>0</v>
      </c>
      <c r="T1678" t="s">
        <v>31</v>
      </c>
      <c r="U1678" s="4">
        <v>31.59</v>
      </c>
      <c r="V1678" s="4">
        <v>13.675000000000001</v>
      </c>
      <c r="W1678" s="4">
        <v>287.17</v>
      </c>
    </row>
    <row r="1679" spans="1:23" ht="15" customHeight="1" x14ac:dyDescent="0.25">
      <c r="A1679">
        <v>2120</v>
      </c>
      <c r="B1679" s="1">
        <v>45934.833333333343</v>
      </c>
      <c r="C1679">
        <v>20</v>
      </c>
      <c r="D1679" t="s">
        <v>60</v>
      </c>
      <c r="E1679">
        <v>10</v>
      </c>
      <c r="F1679" t="s">
        <v>39</v>
      </c>
      <c r="G1679" t="s">
        <v>36</v>
      </c>
      <c r="H1679" t="s">
        <v>52</v>
      </c>
      <c r="I1679" t="s">
        <v>13</v>
      </c>
      <c r="J1679" t="s">
        <v>21</v>
      </c>
      <c r="K1679" s="2">
        <v>9800</v>
      </c>
      <c r="L1679" s="3">
        <v>20.5</v>
      </c>
      <c r="M1679" s="3">
        <v>81.400000000000006</v>
      </c>
      <c r="N1679" s="3">
        <v>0</v>
      </c>
      <c r="O1679" s="2">
        <v>308</v>
      </c>
      <c r="P1679">
        <v>0</v>
      </c>
      <c r="Q1679" t="s">
        <v>14</v>
      </c>
      <c r="R1679" s="4">
        <v>86.45</v>
      </c>
      <c r="S1679" s="4">
        <v>0</v>
      </c>
      <c r="T1679" t="s">
        <v>31</v>
      </c>
      <c r="U1679" s="4">
        <v>9.6</v>
      </c>
      <c r="V1679" s="4">
        <v>8.8209999999999997</v>
      </c>
      <c r="W1679" s="4">
        <v>86.45</v>
      </c>
    </row>
    <row r="1680" spans="1:23" ht="15" customHeight="1" x14ac:dyDescent="0.25">
      <c r="A1680">
        <v>280</v>
      </c>
      <c r="B1680" s="1">
        <v>45934.833333333343</v>
      </c>
      <c r="C1680">
        <v>20</v>
      </c>
      <c r="D1680" t="s">
        <v>60</v>
      </c>
      <c r="E1680">
        <v>10</v>
      </c>
      <c r="F1680" t="s">
        <v>39</v>
      </c>
      <c r="G1680" t="s">
        <v>36</v>
      </c>
      <c r="H1680" t="s">
        <v>53</v>
      </c>
      <c r="I1680" t="s">
        <v>19</v>
      </c>
      <c r="J1680" t="s">
        <v>26</v>
      </c>
      <c r="K1680" s="2">
        <v>12500</v>
      </c>
      <c r="L1680" s="3">
        <v>17.8</v>
      </c>
      <c r="M1680" s="3">
        <v>60.7</v>
      </c>
      <c r="N1680" s="3">
        <v>0</v>
      </c>
      <c r="O1680" s="2">
        <v>0</v>
      </c>
      <c r="P1680">
        <v>0</v>
      </c>
      <c r="Q1680" t="s">
        <v>14</v>
      </c>
      <c r="R1680" s="4">
        <v>24.1</v>
      </c>
      <c r="S1680" s="4">
        <v>0</v>
      </c>
      <c r="T1680" t="s">
        <v>31</v>
      </c>
      <c r="U1680" s="4">
        <v>2.63</v>
      </c>
      <c r="V1680" s="4">
        <v>1.9279999999999999</v>
      </c>
      <c r="W1680" s="4">
        <v>24.1</v>
      </c>
    </row>
    <row r="1681" spans="1:23" ht="15" customHeight="1" x14ac:dyDescent="0.25">
      <c r="A1681">
        <v>648</v>
      </c>
      <c r="B1681" s="1">
        <v>45934.833333333343</v>
      </c>
      <c r="C1681">
        <v>20</v>
      </c>
      <c r="D1681" t="s">
        <v>60</v>
      </c>
      <c r="E1681">
        <v>10</v>
      </c>
      <c r="F1681" t="s">
        <v>39</v>
      </c>
      <c r="G1681" t="s">
        <v>36</v>
      </c>
      <c r="H1681" t="s">
        <v>54</v>
      </c>
      <c r="I1681" t="s">
        <v>16</v>
      </c>
      <c r="J1681" t="s">
        <v>24</v>
      </c>
      <c r="K1681" s="2">
        <v>8600</v>
      </c>
      <c r="L1681" s="3">
        <v>21.2</v>
      </c>
      <c r="M1681" s="3">
        <v>77.599999999999994</v>
      </c>
      <c r="N1681" s="3">
        <v>0</v>
      </c>
      <c r="O1681" s="2">
        <v>0</v>
      </c>
      <c r="P1681">
        <v>0</v>
      </c>
      <c r="Q1681" t="s">
        <v>14</v>
      </c>
      <c r="R1681" s="4">
        <v>12.66</v>
      </c>
      <c r="S1681" s="4">
        <v>0</v>
      </c>
      <c r="T1681" t="s">
        <v>31</v>
      </c>
      <c r="U1681" s="4">
        <v>1.38</v>
      </c>
      <c r="V1681" s="4">
        <v>1.472</v>
      </c>
      <c r="W1681" s="4">
        <v>12.66</v>
      </c>
    </row>
    <row r="1682" spans="1:23" ht="15" customHeight="1" x14ac:dyDescent="0.25">
      <c r="A1682">
        <v>281</v>
      </c>
      <c r="B1682" s="1">
        <v>45938</v>
      </c>
      <c r="C1682">
        <v>0</v>
      </c>
      <c r="D1682" t="s">
        <v>48</v>
      </c>
      <c r="E1682">
        <v>10</v>
      </c>
      <c r="F1682" t="s">
        <v>39</v>
      </c>
      <c r="G1682" t="s">
        <v>33</v>
      </c>
      <c r="H1682" t="s">
        <v>53</v>
      </c>
      <c r="I1682" t="s">
        <v>19</v>
      </c>
      <c r="J1682" t="s">
        <v>26</v>
      </c>
      <c r="K1682" s="2">
        <v>12500</v>
      </c>
      <c r="L1682" s="3">
        <v>11</v>
      </c>
      <c r="M1682" s="3">
        <v>62.1</v>
      </c>
      <c r="N1682" s="3">
        <v>0</v>
      </c>
      <c r="O1682" s="2">
        <v>47</v>
      </c>
      <c r="P1682">
        <v>0</v>
      </c>
      <c r="Q1682" t="s">
        <v>14</v>
      </c>
      <c r="R1682" s="4">
        <v>25.96</v>
      </c>
      <c r="S1682" s="4">
        <v>0</v>
      </c>
      <c r="T1682" t="s">
        <v>31</v>
      </c>
      <c r="U1682" s="4">
        <v>2.79</v>
      </c>
      <c r="V1682" s="4">
        <v>2.077</v>
      </c>
      <c r="W1682" s="4">
        <v>25.96</v>
      </c>
    </row>
    <row r="1683" spans="1:23" ht="15" customHeight="1" x14ac:dyDescent="0.25">
      <c r="A1683">
        <v>1017</v>
      </c>
      <c r="B1683" s="1">
        <v>45938</v>
      </c>
      <c r="C1683">
        <v>0</v>
      </c>
      <c r="D1683" t="s">
        <v>48</v>
      </c>
      <c r="E1683">
        <v>10</v>
      </c>
      <c r="F1683" t="s">
        <v>39</v>
      </c>
      <c r="G1683" t="s">
        <v>33</v>
      </c>
      <c r="H1683" t="s">
        <v>50</v>
      </c>
      <c r="I1683" t="s">
        <v>22</v>
      </c>
      <c r="J1683" t="s">
        <v>12</v>
      </c>
      <c r="K1683" s="2">
        <v>21000</v>
      </c>
      <c r="L1683" s="3">
        <v>15.5</v>
      </c>
      <c r="M1683" s="3">
        <v>57.3</v>
      </c>
      <c r="N1683" s="3">
        <v>0</v>
      </c>
      <c r="O1683" s="2">
        <v>206</v>
      </c>
      <c r="P1683">
        <v>1</v>
      </c>
      <c r="Q1683" t="s">
        <v>23</v>
      </c>
      <c r="R1683" s="4">
        <v>177.56</v>
      </c>
      <c r="S1683" s="4">
        <v>0</v>
      </c>
      <c r="T1683" t="s">
        <v>31</v>
      </c>
      <c r="U1683" s="4">
        <v>19.73</v>
      </c>
      <c r="V1683" s="4">
        <v>8.4550000000000001</v>
      </c>
      <c r="W1683" s="4">
        <v>177.56</v>
      </c>
    </row>
    <row r="1684" spans="1:23" ht="15" customHeight="1" x14ac:dyDescent="0.25">
      <c r="A1684">
        <v>2121</v>
      </c>
      <c r="B1684" s="1">
        <v>45938</v>
      </c>
      <c r="C1684">
        <v>0</v>
      </c>
      <c r="D1684" t="s">
        <v>48</v>
      </c>
      <c r="E1684">
        <v>10</v>
      </c>
      <c r="F1684" t="s">
        <v>39</v>
      </c>
      <c r="G1684" t="s">
        <v>33</v>
      </c>
      <c r="H1684" t="s">
        <v>52</v>
      </c>
      <c r="I1684" t="s">
        <v>13</v>
      </c>
      <c r="J1684" t="s">
        <v>21</v>
      </c>
      <c r="K1684" s="2">
        <v>9800</v>
      </c>
      <c r="L1684" s="3"/>
      <c r="M1684" s="3">
        <v>80.7</v>
      </c>
      <c r="N1684" s="3">
        <v>0</v>
      </c>
      <c r="O1684" s="2">
        <v>274</v>
      </c>
      <c r="P1684">
        <v>1</v>
      </c>
      <c r="Q1684" t="s">
        <v>17</v>
      </c>
      <c r="R1684" s="4">
        <v>98.67</v>
      </c>
      <c r="S1684" s="4">
        <v>0</v>
      </c>
      <c r="T1684" t="s">
        <v>31</v>
      </c>
      <c r="U1684" s="4">
        <v>10.69</v>
      </c>
      <c r="V1684" s="4">
        <v>10.068</v>
      </c>
      <c r="W1684" s="4">
        <v>98.67</v>
      </c>
    </row>
    <row r="1685" spans="1:23" ht="15" customHeight="1" x14ac:dyDescent="0.25">
      <c r="A1685">
        <v>649</v>
      </c>
      <c r="B1685" s="1">
        <v>45938</v>
      </c>
      <c r="C1685">
        <v>0</v>
      </c>
      <c r="D1685" t="s">
        <v>48</v>
      </c>
      <c r="E1685">
        <v>10</v>
      </c>
      <c r="F1685" t="s">
        <v>39</v>
      </c>
      <c r="G1685" t="s">
        <v>33</v>
      </c>
      <c r="H1685" t="s">
        <v>54</v>
      </c>
      <c r="I1685" t="s">
        <v>16</v>
      </c>
      <c r="J1685" t="s">
        <v>24</v>
      </c>
      <c r="K1685" s="2">
        <v>8600</v>
      </c>
      <c r="L1685" s="3">
        <v>14.5</v>
      </c>
      <c r="M1685" s="3">
        <v>87</v>
      </c>
      <c r="N1685" s="3">
        <v>0</v>
      </c>
      <c r="O1685" s="2">
        <v>80</v>
      </c>
      <c r="P1685">
        <v>1</v>
      </c>
      <c r="Q1685" t="s">
        <v>23</v>
      </c>
      <c r="R1685" s="4">
        <v>23.16</v>
      </c>
      <c r="S1685" s="4">
        <v>0</v>
      </c>
      <c r="T1685" t="s">
        <v>31</v>
      </c>
      <c r="U1685" s="4">
        <v>2.48</v>
      </c>
      <c r="V1685" s="4">
        <v>2.6930000000000001</v>
      </c>
      <c r="W1685" s="4">
        <v>23.16</v>
      </c>
    </row>
    <row r="1686" spans="1:23" ht="15" customHeight="1" x14ac:dyDescent="0.25">
      <c r="A1686">
        <v>1753</v>
      </c>
      <c r="B1686" s="1">
        <v>45938</v>
      </c>
      <c r="C1686">
        <v>0</v>
      </c>
      <c r="D1686" t="s">
        <v>48</v>
      </c>
      <c r="E1686">
        <v>10</v>
      </c>
      <c r="F1686" t="s">
        <v>39</v>
      </c>
      <c r="G1686" t="s">
        <v>33</v>
      </c>
      <c r="H1686" t="s">
        <v>49</v>
      </c>
      <c r="I1686" t="s">
        <v>27</v>
      </c>
      <c r="J1686" t="s">
        <v>18</v>
      </c>
      <c r="K1686" s="2">
        <v>26000</v>
      </c>
      <c r="L1686" s="3">
        <v>15.4</v>
      </c>
      <c r="M1686" s="3">
        <v>72.099999999999994</v>
      </c>
      <c r="N1686" s="3">
        <v>0</v>
      </c>
      <c r="O1686" s="2">
        <v>52</v>
      </c>
      <c r="P1686">
        <v>1</v>
      </c>
      <c r="Q1686" t="s">
        <v>23</v>
      </c>
      <c r="R1686" s="4">
        <v>114.77</v>
      </c>
      <c r="S1686" s="4">
        <v>0</v>
      </c>
      <c r="T1686" t="s">
        <v>31</v>
      </c>
      <c r="U1686" s="4">
        <v>12.6</v>
      </c>
      <c r="V1686" s="4">
        <v>4.4139999999999997</v>
      </c>
      <c r="W1686" s="4">
        <v>114.77</v>
      </c>
    </row>
    <row r="1687" spans="1:23" ht="15" customHeight="1" x14ac:dyDescent="0.25">
      <c r="A1687">
        <v>1385</v>
      </c>
      <c r="B1687" s="1">
        <v>45938</v>
      </c>
      <c r="C1687">
        <v>0</v>
      </c>
      <c r="D1687" t="s">
        <v>48</v>
      </c>
      <c r="E1687">
        <v>10</v>
      </c>
      <c r="F1687" t="s">
        <v>39</v>
      </c>
      <c r="G1687" t="s">
        <v>33</v>
      </c>
      <c r="H1687" t="s">
        <v>51</v>
      </c>
      <c r="I1687" t="s">
        <v>25</v>
      </c>
      <c r="J1687" t="s">
        <v>15</v>
      </c>
      <c r="K1687" s="2">
        <v>17400</v>
      </c>
      <c r="L1687" s="3">
        <v>17.7</v>
      </c>
      <c r="M1687" s="3">
        <v>85.1</v>
      </c>
      <c r="N1687" s="3">
        <v>0</v>
      </c>
      <c r="O1687" s="2">
        <v>142</v>
      </c>
      <c r="P1687">
        <v>0</v>
      </c>
      <c r="Q1687" t="s">
        <v>14</v>
      </c>
      <c r="R1687" s="4">
        <v>52.08</v>
      </c>
      <c r="S1687" s="4">
        <v>0</v>
      </c>
      <c r="T1687" t="s">
        <v>31</v>
      </c>
      <c r="U1687" s="4">
        <v>5.67</v>
      </c>
      <c r="V1687" s="4">
        <v>2.9929999999999999</v>
      </c>
      <c r="W1687" s="4">
        <v>52.08</v>
      </c>
    </row>
    <row r="1688" spans="1:23" ht="15" customHeight="1" x14ac:dyDescent="0.25">
      <c r="A1688">
        <v>282</v>
      </c>
      <c r="B1688" s="1">
        <v>45938.333333333343</v>
      </c>
      <c r="C1688">
        <v>8</v>
      </c>
      <c r="D1688" t="s">
        <v>48</v>
      </c>
      <c r="E1688">
        <v>10</v>
      </c>
      <c r="F1688" t="s">
        <v>39</v>
      </c>
      <c r="G1688" t="s">
        <v>33</v>
      </c>
      <c r="H1688" t="s">
        <v>53</v>
      </c>
      <c r="I1688" t="s">
        <v>19</v>
      </c>
      <c r="J1688" t="s">
        <v>26</v>
      </c>
      <c r="K1688" s="2">
        <v>12500</v>
      </c>
      <c r="L1688" s="3">
        <v>8.4</v>
      </c>
      <c r="M1688" s="3">
        <v>70.900000000000006</v>
      </c>
      <c r="N1688" s="3">
        <v>122.3</v>
      </c>
      <c r="O1688" s="2">
        <v>387</v>
      </c>
      <c r="P1688">
        <v>1</v>
      </c>
      <c r="Q1688" t="s">
        <v>17</v>
      </c>
      <c r="R1688" s="4">
        <v>82.87</v>
      </c>
      <c r="S1688" s="4">
        <v>20.37</v>
      </c>
      <c r="T1688" t="s">
        <v>34</v>
      </c>
      <c r="U1688" s="4">
        <v>11.13</v>
      </c>
      <c r="V1688" s="4">
        <v>6.63</v>
      </c>
      <c r="W1688" s="4">
        <v>62.5</v>
      </c>
    </row>
    <row r="1689" spans="1:23" ht="15" customHeight="1" x14ac:dyDescent="0.25">
      <c r="A1689">
        <v>1754</v>
      </c>
      <c r="B1689" s="1">
        <v>45938.333333333343</v>
      </c>
      <c r="C1689">
        <v>8</v>
      </c>
      <c r="D1689" t="s">
        <v>48</v>
      </c>
      <c r="E1689">
        <v>10</v>
      </c>
      <c r="F1689" t="s">
        <v>39</v>
      </c>
      <c r="G1689" t="s">
        <v>33</v>
      </c>
      <c r="H1689" t="s">
        <v>49</v>
      </c>
      <c r="I1689" t="s">
        <v>27</v>
      </c>
      <c r="J1689" t="s">
        <v>18</v>
      </c>
      <c r="K1689" s="2">
        <v>26000</v>
      </c>
      <c r="L1689" s="3">
        <v>18.399999999999999</v>
      </c>
      <c r="M1689" s="3"/>
      <c r="N1689" s="3">
        <v>89.6</v>
      </c>
      <c r="O1689" s="2"/>
      <c r="P1689">
        <v>0</v>
      </c>
      <c r="Q1689" t="s">
        <v>14</v>
      </c>
      <c r="R1689" s="4">
        <v>233.51</v>
      </c>
      <c r="S1689" s="4">
        <v>23.55</v>
      </c>
      <c r="T1689" t="s">
        <v>34</v>
      </c>
      <c r="U1689" s="4">
        <v>36.340000000000003</v>
      </c>
      <c r="V1689" s="4">
        <v>8.9809999999999999</v>
      </c>
      <c r="W1689" s="4">
        <v>209.96</v>
      </c>
    </row>
    <row r="1690" spans="1:23" ht="15" customHeight="1" x14ac:dyDescent="0.25">
      <c r="A1690">
        <v>1386</v>
      </c>
      <c r="B1690" s="1">
        <v>45938.333333333343</v>
      </c>
      <c r="C1690">
        <v>8</v>
      </c>
      <c r="D1690" t="s">
        <v>48</v>
      </c>
      <c r="E1690">
        <v>10</v>
      </c>
      <c r="F1690" t="s">
        <v>39</v>
      </c>
      <c r="G1690" t="s">
        <v>33</v>
      </c>
      <c r="H1690" t="s">
        <v>51</v>
      </c>
      <c r="I1690" t="s">
        <v>25</v>
      </c>
      <c r="J1690" t="s">
        <v>15</v>
      </c>
      <c r="K1690" s="2">
        <v>17400</v>
      </c>
      <c r="L1690" s="3">
        <v>16.3</v>
      </c>
      <c r="M1690" s="3">
        <v>74.8</v>
      </c>
      <c r="N1690" s="3">
        <v>91.1</v>
      </c>
      <c r="O1690" s="2">
        <v>80</v>
      </c>
      <c r="P1690">
        <v>0</v>
      </c>
      <c r="Q1690" t="s">
        <v>14</v>
      </c>
      <c r="R1690" s="4">
        <v>46.66</v>
      </c>
      <c r="S1690" s="4">
        <v>11.41</v>
      </c>
      <c r="T1690" t="s">
        <v>34</v>
      </c>
      <c r="U1690" s="4">
        <v>6.02</v>
      </c>
      <c r="V1690" s="4">
        <v>2.6819999999999999</v>
      </c>
      <c r="W1690" s="4">
        <v>35.25</v>
      </c>
    </row>
    <row r="1691" spans="1:23" ht="15" customHeight="1" x14ac:dyDescent="0.25">
      <c r="A1691">
        <v>650</v>
      </c>
      <c r="B1691" s="1">
        <v>45938.333333333343</v>
      </c>
      <c r="C1691">
        <v>8</v>
      </c>
      <c r="D1691" t="s">
        <v>48</v>
      </c>
      <c r="E1691">
        <v>10</v>
      </c>
      <c r="F1691" t="s">
        <v>39</v>
      </c>
      <c r="G1691" t="s">
        <v>33</v>
      </c>
      <c r="H1691" t="s">
        <v>54</v>
      </c>
      <c r="I1691" t="s">
        <v>16</v>
      </c>
      <c r="J1691" t="s">
        <v>24</v>
      </c>
      <c r="K1691" s="2">
        <v>8600</v>
      </c>
      <c r="L1691" s="3">
        <v>13.2</v>
      </c>
      <c r="M1691" s="3">
        <v>83.6</v>
      </c>
      <c r="N1691" s="3">
        <v>60.6</v>
      </c>
      <c r="O1691" s="2">
        <v>908</v>
      </c>
      <c r="P1691">
        <v>1</v>
      </c>
      <c r="Q1691" t="s">
        <v>17</v>
      </c>
      <c r="R1691" s="4">
        <v>127.24</v>
      </c>
      <c r="S1691" s="4">
        <v>4.1900000000000004</v>
      </c>
      <c r="T1691" t="s">
        <v>34</v>
      </c>
      <c r="U1691" s="4">
        <v>21.61</v>
      </c>
      <c r="V1691" s="4">
        <v>14.795</v>
      </c>
      <c r="W1691" s="4">
        <v>123.05</v>
      </c>
    </row>
    <row r="1692" spans="1:23" ht="15" customHeight="1" x14ac:dyDescent="0.25">
      <c r="A1692">
        <v>2122</v>
      </c>
      <c r="B1692" s="1">
        <v>45938.333333333343</v>
      </c>
      <c r="C1692">
        <v>8</v>
      </c>
      <c r="D1692" t="s">
        <v>48</v>
      </c>
      <c r="E1692">
        <v>10</v>
      </c>
      <c r="F1692" t="s">
        <v>39</v>
      </c>
      <c r="G1692" t="s">
        <v>33</v>
      </c>
      <c r="H1692" t="s">
        <v>52</v>
      </c>
      <c r="I1692" t="s">
        <v>13</v>
      </c>
      <c r="J1692" t="s">
        <v>21</v>
      </c>
      <c r="K1692" s="2">
        <v>9800</v>
      </c>
      <c r="L1692" s="3">
        <v>16.100000000000001</v>
      </c>
      <c r="M1692" s="3"/>
      <c r="N1692" s="3">
        <v>83.4</v>
      </c>
      <c r="O1692" s="2">
        <v>53</v>
      </c>
      <c r="P1692">
        <v>0</v>
      </c>
      <c r="Q1692" t="s">
        <v>14</v>
      </c>
      <c r="R1692" s="4">
        <v>30.54</v>
      </c>
      <c r="S1692" s="4">
        <v>0</v>
      </c>
      <c r="T1692" t="s">
        <v>34</v>
      </c>
      <c r="U1692" s="4">
        <v>5.31</v>
      </c>
      <c r="V1692" s="4">
        <v>3.1160000000000001</v>
      </c>
      <c r="W1692" s="4">
        <v>30.54</v>
      </c>
    </row>
    <row r="1693" spans="1:23" ht="15" customHeight="1" x14ac:dyDescent="0.25">
      <c r="A1693">
        <v>1018</v>
      </c>
      <c r="B1693" s="1">
        <v>45938.333333333343</v>
      </c>
      <c r="C1693">
        <v>8</v>
      </c>
      <c r="D1693" t="s">
        <v>48</v>
      </c>
      <c r="E1693">
        <v>10</v>
      </c>
      <c r="F1693" t="s">
        <v>39</v>
      </c>
      <c r="G1693" t="s">
        <v>33</v>
      </c>
      <c r="H1693" t="s">
        <v>50</v>
      </c>
      <c r="I1693" t="s">
        <v>22</v>
      </c>
      <c r="J1693" t="s">
        <v>12</v>
      </c>
      <c r="K1693" s="2">
        <v>21000</v>
      </c>
      <c r="L1693" s="3">
        <v>18.8</v>
      </c>
      <c r="M1693" s="3">
        <v>55.5</v>
      </c>
      <c r="N1693" s="3">
        <v>128.30000000000001</v>
      </c>
      <c r="O1693" s="2"/>
      <c r="P1693">
        <v>0</v>
      </c>
      <c r="Q1693" t="s">
        <v>14</v>
      </c>
      <c r="R1693" s="4">
        <v>190.83</v>
      </c>
      <c r="S1693" s="4">
        <v>25.04</v>
      </c>
      <c r="T1693" t="s">
        <v>34</v>
      </c>
      <c r="U1693" s="4">
        <v>28.2</v>
      </c>
      <c r="V1693" s="4">
        <v>9.0869999999999997</v>
      </c>
      <c r="W1693" s="4">
        <v>165.79</v>
      </c>
    </row>
    <row r="1694" spans="1:23" ht="15" customHeight="1" x14ac:dyDescent="0.25">
      <c r="A1694">
        <v>651</v>
      </c>
      <c r="B1694" s="1">
        <v>45938.583333333343</v>
      </c>
      <c r="C1694">
        <v>14</v>
      </c>
      <c r="D1694" t="s">
        <v>48</v>
      </c>
      <c r="E1694">
        <v>10</v>
      </c>
      <c r="F1694" t="s">
        <v>39</v>
      </c>
      <c r="G1694" t="s">
        <v>33</v>
      </c>
      <c r="H1694" t="s">
        <v>54</v>
      </c>
      <c r="I1694" t="s">
        <v>16</v>
      </c>
      <c r="J1694" t="s">
        <v>24</v>
      </c>
      <c r="K1694" s="2">
        <v>8600</v>
      </c>
      <c r="L1694" s="3">
        <v>20.399999999999999</v>
      </c>
      <c r="M1694" s="3">
        <v>76.5</v>
      </c>
      <c r="N1694" s="3">
        <v>591.79999999999995</v>
      </c>
      <c r="O1694" s="2">
        <v>780</v>
      </c>
      <c r="P1694">
        <v>0</v>
      </c>
      <c r="Q1694" t="s">
        <v>14</v>
      </c>
      <c r="R1694" s="4">
        <v>82.25</v>
      </c>
      <c r="S1694" s="4">
        <v>44.01</v>
      </c>
      <c r="T1694" t="s">
        <v>34</v>
      </c>
      <c r="U1694" s="4">
        <v>6.96</v>
      </c>
      <c r="V1694" s="4">
        <v>9.5640000000000001</v>
      </c>
      <c r="W1694" s="4">
        <v>38.24</v>
      </c>
    </row>
    <row r="1695" spans="1:23" ht="15" customHeight="1" x14ac:dyDescent="0.25">
      <c r="A1695">
        <v>283</v>
      </c>
      <c r="B1695" s="1">
        <v>45938.583333333343</v>
      </c>
      <c r="C1695">
        <v>14</v>
      </c>
      <c r="D1695" t="s">
        <v>48</v>
      </c>
      <c r="E1695">
        <v>10</v>
      </c>
      <c r="F1695" t="s">
        <v>39</v>
      </c>
      <c r="G1695" t="s">
        <v>33</v>
      </c>
      <c r="H1695" t="s">
        <v>53</v>
      </c>
      <c r="I1695" t="s">
        <v>19</v>
      </c>
      <c r="J1695" t="s">
        <v>26</v>
      </c>
      <c r="K1695" s="2">
        <v>12500</v>
      </c>
      <c r="L1695" s="3">
        <v>23.9</v>
      </c>
      <c r="M1695" s="3">
        <v>55.6</v>
      </c>
      <c r="N1695" s="3">
        <v>562.1</v>
      </c>
      <c r="O1695" s="2">
        <v>545</v>
      </c>
      <c r="P1695">
        <v>1</v>
      </c>
      <c r="Q1695" t="s">
        <v>23</v>
      </c>
      <c r="R1695" s="4">
        <v>102.5</v>
      </c>
      <c r="S1695" s="4">
        <v>88.09</v>
      </c>
      <c r="T1695" t="s">
        <v>34</v>
      </c>
      <c r="U1695" s="4"/>
      <c r="V1695" s="4">
        <v>8.1999999999999993</v>
      </c>
      <c r="W1695" s="4">
        <v>14.41</v>
      </c>
    </row>
    <row r="1696" spans="1:23" ht="15" customHeight="1" x14ac:dyDescent="0.25">
      <c r="A1696">
        <v>1019</v>
      </c>
      <c r="B1696" s="1">
        <v>45938.583333333343</v>
      </c>
      <c r="C1696">
        <v>14</v>
      </c>
      <c r="D1696" t="s">
        <v>48</v>
      </c>
      <c r="E1696">
        <v>10</v>
      </c>
      <c r="F1696" t="s">
        <v>39</v>
      </c>
      <c r="G1696" t="s">
        <v>33</v>
      </c>
      <c r="H1696" t="s">
        <v>50</v>
      </c>
      <c r="I1696" t="s">
        <v>22</v>
      </c>
      <c r="J1696" t="s">
        <v>12</v>
      </c>
      <c r="K1696" s="2">
        <v>21000</v>
      </c>
      <c r="L1696" s="3">
        <v>24.4</v>
      </c>
      <c r="M1696" s="3">
        <v>55</v>
      </c>
      <c r="N1696" s="3">
        <v>675.5</v>
      </c>
      <c r="O1696" s="2">
        <v>379</v>
      </c>
      <c r="P1696">
        <v>1</v>
      </c>
      <c r="Q1696" t="s">
        <v>20</v>
      </c>
      <c r="R1696" s="4">
        <v>198.71</v>
      </c>
      <c r="S1696" s="4">
        <v>144.54</v>
      </c>
      <c r="T1696" t="s">
        <v>34</v>
      </c>
      <c r="U1696" s="4">
        <v>9.73</v>
      </c>
      <c r="V1696" s="4">
        <v>9.4619999999999997</v>
      </c>
      <c r="W1696" s="4">
        <v>54.17</v>
      </c>
    </row>
    <row r="1697" spans="1:23" ht="15" customHeight="1" x14ac:dyDescent="0.25">
      <c r="A1697">
        <v>1387</v>
      </c>
      <c r="B1697" s="1">
        <v>45938.583333333343</v>
      </c>
      <c r="C1697">
        <v>14</v>
      </c>
      <c r="D1697" t="s">
        <v>48</v>
      </c>
      <c r="E1697">
        <v>10</v>
      </c>
      <c r="F1697" t="s">
        <v>39</v>
      </c>
      <c r="G1697" t="s">
        <v>33</v>
      </c>
      <c r="H1697" t="s">
        <v>51</v>
      </c>
      <c r="I1697" t="s">
        <v>25</v>
      </c>
      <c r="J1697" t="s">
        <v>15</v>
      </c>
      <c r="K1697" s="2">
        <v>17400</v>
      </c>
      <c r="L1697" s="3">
        <v>22.3</v>
      </c>
      <c r="M1697" s="3">
        <v>77.599999999999994</v>
      </c>
      <c r="N1697" s="3">
        <v>552.20000000000005</v>
      </c>
      <c r="O1697" s="2">
        <v>1199</v>
      </c>
      <c r="P1697">
        <v>0</v>
      </c>
      <c r="Q1697" t="s">
        <v>14</v>
      </c>
      <c r="R1697" s="4">
        <v>193.99</v>
      </c>
      <c r="S1697" s="4">
        <v>65.959999999999994</v>
      </c>
      <c r="T1697" t="s">
        <v>34</v>
      </c>
      <c r="U1697" s="4">
        <v>22.53</v>
      </c>
      <c r="V1697" s="4">
        <v>11.148999999999999</v>
      </c>
      <c r="W1697" s="4">
        <v>128.03</v>
      </c>
    </row>
    <row r="1698" spans="1:23" ht="15" customHeight="1" x14ac:dyDescent="0.25">
      <c r="A1698">
        <v>2123</v>
      </c>
      <c r="B1698" s="1">
        <v>45938.583333333343</v>
      </c>
      <c r="C1698">
        <v>14</v>
      </c>
      <c r="D1698" t="s">
        <v>48</v>
      </c>
      <c r="E1698">
        <v>10</v>
      </c>
      <c r="F1698" t="s">
        <v>39</v>
      </c>
      <c r="G1698" t="s">
        <v>33</v>
      </c>
      <c r="H1698" t="s">
        <v>52</v>
      </c>
      <c r="I1698" t="s">
        <v>13</v>
      </c>
      <c r="J1698" t="s">
        <v>21</v>
      </c>
      <c r="K1698" s="2">
        <v>9800</v>
      </c>
      <c r="L1698" s="3">
        <v>23.2</v>
      </c>
      <c r="M1698" s="3">
        <v>69.8</v>
      </c>
      <c r="N1698" s="3">
        <v>632.20000000000005</v>
      </c>
      <c r="O1698" s="2">
        <v>75</v>
      </c>
      <c r="P1698">
        <v>1</v>
      </c>
      <c r="Q1698" t="s">
        <v>23</v>
      </c>
      <c r="R1698" s="4">
        <v>19.350000000000001</v>
      </c>
      <c r="S1698" s="4">
        <v>0</v>
      </c>
      <c r="T1698" t="s">
        <v>34</v>
      </c>
      <c r="U1698" s="4">
        <v>3.41</v>
      </c>
      <c r="V1698" s="4">
        <v>1.974</v>
      </c>
      <c r="W1698" s="4">
        <v>19.350000000000001</v>
      </c>
    </row>
    <row r="1699" spans="1:23" ht="15" customHeight="1" x14ac:dyDescent="0.25">
      <c r="A1699">
        <v>1755</v>
      </c>
      <c r="B1699" s="1">
        <v>45938.583333333343</v>
      </c>
      <c r="C1699">
        <v>14</v>
      </c>
      <c r="D1699" t="s">
        <v>48</v>
      </c>
      <c r="E1699">
        <v>10</v>
      </c>
      <c r="F1699" t="s">
        <v>39</v>
      </c>
      <c r="G1699" t="s">
        <v>33</v>
      </c>
      <c r="H1699" t="s">
        <v>49</v>
      </c>
      <c r="I1699" t="s">
        <v>27</v>
      </c>
      <c r="J1699" t="s">
        <v>18</v>
      </c>
      <c r="K1699" s="2">
        <v>26000</v>
      </c>
      <c r="L1699" s="3">
        <v>24</v>
      </c>
      <c r="M1699" s="3">
        <v>57.7</v>
      </c>
      <c r="N1699" s="3">
        <v>562.79999999999995</v>
      </c>
      <c r="O1699" s="2">
        <v>149</v>
      </c>
      <c r="P1699">
        <v>1</v>
      </c>
      <c r="Q1699" t="s">
        <v>23</v>
      </c>
      <c r="R1699" s="4">
        <v>149.72999999999999</v>
      </c>
      <c r="S1699" s="4">
        <v>135.18</v>
      </c>
      <c r="T1699" t="s">
        <v>34</v>
      </c>
      <c r="U1699" s="4">
        <v>2.52</v>
      </c>
      <c r="V1699" s="4">
        <v>5.7590000000000003</v>
      </c>
      <c r="W1699" s="4">
        <v>14.55</v>
      </c>
    </row>
    <row r="1700" spans="1:23" ht="15" customHeight="1" x14ac:dyDescent="0.25">
      <c r="A1700">
        <v>2124</v>
      </c>
      <c r="B1700" s="1">
        <v>45938.833333333343</v>
      </c>
      <c r="C1700">
        <v>20</v>
      </c>
      <c r="D1700" t="s">
        <v>48</v>
      </c>
      <c r="E1700">
        <v>10</v>
      </c>
      <c r="F1700" t="s">
        <v>39</v>
      </c>
      <c r="G1700" t="s">
        <v>33</v>
      </c>
      <c r="H1700" t="s">
        <v>52</v>
      </c>
      <c r="I1700" t="s">
        <v>13</v>
      </c>
      <c r="J1700" t="s">
        <v>21</v>
      </c>
      <c r="K1700" s="2">
        <v>9800</v>
      </c>
      <c r="L1700" s="3">
        <v>16</v>
      </c>
      <c r="M1700" s="3">
        <v>84.2</v>
      </c>
      <c r="N1700" s="3">
        <v>0</v>
      </c>
      <c r="O1700" s="2">
        <v>330</v>
      </c>
      <c r="P1700">
        <v>0</v>
      </c>
      <c r="Q1700" t="s">
        <v>14</v>
      </c>
      <c r="R1700" s="4">
        <v>98.13</v>
      </c>
      <c r="S1700" s="4">
        <v>0</v>
      </c>
      <c r="T1700" t="s">
        <v>37</v>
      </c>
      <c r="U1700" s="4">
        <v>26.98</v>
      </c>
      <c r="V1700" s="4">
        <v>10.013</v>
      </c>
      <c r="W1700" s="4">
        <v>98.13</v>
      </c>
    </row>
    <row r="1701" spans="1:23" ht="15" customHeight="1" x14ac:dyDescent="0.25">
      <c r="A1701">
        <v>652</v>
      </c>
      <c r="B1701" s="1">
        <v>45938.833333333343</v>
      </c>
      <c r="C1701">
        <v>20</v>
      </c>
      <c r="D1701" t="s">
        <v>48</v>
      </c>
      <c r="E1701">
        <v>10</v>
      </c>
      <c r="F1701" t="s">
        <v>39</v>
      </c>
      <c r="G1701" t="s">
        <v>33</v>
      </c>
      <c r="H1701" t="s">
        <v>54</v>
      </c>
      <c r="I1701" t="s">
        <v>16</v>
      </c>
      <c r="J1701" t="s">
        <v>24</v>
      </c>
      <c r="K1701" s="2">
        <v>8600</v>
      </c>
      <c r="L1701" s="3">
        <v>14.5</v>
      </c>
      <c r="M1701" s="3"/>
      <c r="N1701" s="3">
        <v>0</v>
      </c>
      <c r="O1701" s="2">
        <v>11</v>
      </c>
      <c r="P1701">
        <v>1</v>
      </c>
      <c r="Q1701" t="s">
        <v>23</v>
      </c>
      <c r="R1701" s="4">
        <v>19.190000000000001</v>
      </c>
      <c r="S1701" s="4">
        <v>0</v>
      </c>
      <c r="T1701" t="s">
        <v>37</v>
      </c>
      <c r="U1701" s="4">
        <v>5.25</v>
      </c>
      <c r="V1701" s="4">
        <v>2.2309999999999999</v>
      </c>
      <c r="W1701" s="4">
        <v>19.190000000000001</v>
      </c>
    </row>
    <row r="1702" spans="1:23" ht="15" customHeight="1" x14ac:dyDescent="0.25">
      <c r="A1702">
        <v>284</v>
      </c>
      <c r="B1702" s="1">
        <v>45938.833333333343</v>
      </c>
      <c r="C1702">
        <v>20</v>
      </c>
      <c r="D1702" t="s">
        <v>48</v>
      </c>
      <c r="E1702">
        <v>10</v>
      </c>
      <c r="F1702" t="s">
        <v>39</v>
      </c>
      <c r="G1702" t="s">
        <v>33</v>
      </c>
      <c r="H1702" t="s">
        <v>53</v>
      </c>
      <c r="I1702" t="s">
        <v>19</v>
      </c>
      <c r="J1702" t="s">
        <v>26</v>
      </c>
      <c r="K1702" s="2">
        <v>12500</v>
      </c>
      <c r="L1702" s="3">
        <v>16.7</v>
      </c>
      <c r="M1702" s="3">
        <v>49.6</v>
      </c>
      <c r="N1702" s="3">
        <v>0</v>
      </c>
      <c r="O1702" s="2"/>
      <c r="P1702">
        <v>0</v>
      </c>
      <c r="Q1702" t="s">
        <v>14</v>
      </c>
      <c r="R1702" s="4"/>
      <c r="S1702" s="4">
        <v>0</v>
      </c>
      <c r="T1702" t="s">
        <v>37</v>
      </c>
      <c r="U1702" s="4">
        <v>10.44</v>
      </c>
      <c r="V1702" s="4"/>
      <c r="W1702" s="4"/>
    </row>
    <row r="1703" spans="1:23" ht="15" customHeight="1" x14ac:dyDescent="0.25">
      <c r="A1703">
        <v>1756</v>
      </c>
      <c r="B1703" s="1">
        <v>45938.833333333343</v>
      </c>
      <c r="C1703">
        <v>20</v>
      </c>
      <c r="D1703" t="s">
        <v>48</v>
      </c>
      <c r="E1703">
        <v>10</v>
      </c>
      <c r="F1703" t="s">
        <v>39</v>
      </c>
      <c r="G1703" t="s">
        <v>33</v>
      </c>
      <c r="H1703" t="s">
        <v>49</v>
      </c>
      <c r="I1703" t="s">
        <v>27</v>
      </c>
      <c r="J1703" t="s">
        <v>18</v>
      </c>
      <c r="K1703" s="2">
        <v>26000</v>
      </c>
      <c r="L1703" s="3">
        <v>15.1</v>
      </c>
      <c r="M1703" s="3">
        <v>69.400000000000006</v>
      </c>
      <c r="N1703" s="3">
        <v>0</v>
      </c>
      <c r="O1703" s="2">
        <v>177</v>
      </c>
      <c r="P1703">
        <v>1</v>
      </c>
      <c r="Q1703" t="s">
        <v>23</v>
      </c>
      <c r="R1703" s="4">
        <v>246.04</v>
      </c>
      <c r="S1703" s="4">
        <v>0</v>
      </c>
      <c r="T1703" t="s">
        <v>37</v>
      </c>
      <c r="U1703" s="4">
        <v>66.06</v>
      </c>
      <c r="V1703" s="4">
        <v>9.4629999999999992</v>
      </c>
      <c r="W1703" s="4">
        <v>246.04</v>
      </c>
    </row>
    <row r="1704" spans="1:23" ht="15" customHeight="1" x14ac:dyDescent="0.25">
      <c r="A1704">
        <v>1020</v>
      </c>
      <c r="B1704" s="1">
        <v>45938.833333333343</v>
      </c>
      <c r="C1704">
        <v>20</v>
      </c>
      <c r="D1704" t="s">
        <v>48</v>
      </c>
      <c r="E1704">
        <v>10</v>
      </c>
      <c r="F1704" t="s">
        <v>39</v>
      </c>
      <c r="G1704" t="s">
        <v>33</v>
      </c>
      <c r="H1704" t="s">
        <v>50</v>
      </c>
      <c r="I1704" t="s">
        <v>22</v>
      </c>
      <c r="J1704" t="s">
        <v>12</v>
      </c>
      <c r="K1704" s="2">
        <v>21000</v>
      </c>
      <c r="L1704" s="3">
        <v>22.3</v>
      </c>
      <c r="M1704" s="3">
        <v>64.2</v>
      </c>
      <c r="N1704" s="3">
        <v>0</v>
      </c>
      <c r="O1704" s="2">
        <v>388</v>
      </c>
      <c r="P1704">
        <v>0</v>
      </c>
      <c r="Q1704" t="s">
        <v>14</v>
      </c>
      <c r="R1704" s="4">
        <v>301.01</v>
      </c>
      <c r="S1704" s="4">
        <v>0</v>
      </c>
      <c r="T1704" t="s">
        <v>37</v>
      </c>
      <c r="U1704" s="4">
        <v>79.44</v>
      </c>
      <c r="V1704" s="4">
        <v>14.334</v>
      </c>
      <c r="W1704" s="4">
        <v>301.01</v>
      </c>
    </row>
    <row r="1705" spans="1:23" ht="15" customHeight="1" x14ac:dyDescent="0.25">
      <c r="A1705">
        <v>1388</v>
      </c>
      <c r="B1705" s="1">
        <v>45938.833333333343</v>
      </c>
      <c r="C1705">
        <v>20</v>
      </c>
      <c r="D1705" t="s">
        <v>48</v>
      </c>
      <c r="E1705">
        <v>10</v>
      </c>
      <c r="F1705" t="s">
        <v>39</v>
      </c>
      <c r="G1705" t="s">
        <v>33</v>
      </c>
      <c r="H1705" t="s">
        <v>51</v>
      </c>
      <c r="I1705" t="s">
        <v>25</v>
      </c>
      <c r="J1705" t="s">
        <v>15</v>
      </c>
      <c r="K1705" s="2">
        <v>17400</v>
      </c>
      <c r="L1705" s="3">
        <v>18.2</v>
      </c>
      <c r="M1705" s="3">
        <v>79.099999999999994</v>
      </c>
      <c r="N1705" s="3">
        <v>0</v>
      </c>
      <c r="O1705" s="2"/>
      <c r="P1705">
        <v>0</v>
      </c>
      <c r="Q1705" t="s">
        <v>14</v>
      </c>
      <c r="R1705" s="4">
        <v>279.02999999999997</v>
      </c>
      <c r="S1705" s="4">
        <v>0</v>
      </c>
      <c r="T1705" t="s">
        <v>37</v>
      </c>
      <c r="U1705" s="4">
        <v>72.91</v>
      </c>
      <c r="V1705" s="4">
        <v>16.036000000000001</v>
      </c>
      <c r="W1705" s="4">
        <v>279.02999999999997</v>
      </c>
    </row>
    <row r="1706" spans="1:23" ht="15" customHeight="1" x14ac:dyDescent="0.25">
      <c r="A1706">
        <v>2125</v>
      </c>
      <c r="B1706" s="1">
        <v>45942</v>
      </c>
      <c r="C1706">
        <v>0</v>
      </c>
      <c r="D1706" t="s">
        <v>55</v>
      </c>
      <c r="E1706">
        <v>10</v>
      </c>
      <c r="F1706" t="s">
        <v>39</v>
      </c>
      <c r="G1706" t="s">
        <v>36</v>
      </c>
      <c r="H1706" t="s">
        <v>52</v>
      </c>
      <c r="I1706" t="s">
        <v>13</v>
      </c>
      <c r="J1706" t="s">
        <v>21</v>
      </c>
      <c r="K1706" s="2">
        <v>9800</v>
      </c>
      <c r="L1706" s="3">
        <v>12.6</v>
      </c>
      <c r="M1706" s="3">
        <v>84.5</v>
      </c>
      <c r="N1706" s="3">
        <v>0</v>
      </c>
      <c r="O1706" s="2">
        <v>318</v>
      </c>
      <c r="P1706">
        <v>1</v>
      </c>
      <c r="Q1706" t="s">
        <v>17</v>
      </c>
      <c r="R1706" s="4">
        <v>94.02</v>
      </c>
      <c r="S1706" s="4">
        <v>0</v>
      </c>
      <c r="T1706" t="s">
        <v>31</v>
      </c>
      <c r="U1706" s="4">
        <v>10.42</v>
      </c>
      <c r="V1706" s="4">
        <v>9.5939999999999994</v>
      </c>
      <c r="W1706" s="4">
        <v>94.02</v>
      </c>
    </row>
    <row r="1707" spans="1:23" ht="15" customHeight="1" x14ac:dyDescent="0.25">
      <c r="A1707">
        <v>285</v>
      </c>
      <c r="B1707" s="1">
        <v>45942</v>
      </c>
      <c r="C1707">
        <v>0</v>
      </c>
      <c r="D1707" t="s">
        <v>55</v>
      </c>
      <c r="E1707">
        <v>10</v>
      </c>
      <c r="F1707" t="s">
        <v>39</v>
      </c>
      <c r="G1707" t="s">
        <v>36</v>
      </c>
      <c r="H1707" t="s">
        <v>53</v>
      </c>
      <c r="I1707" t="s">
        <v>19</v>
      </c>
      <c r="J1707" t="s">
        <v>26</v>
      </c>
      <c r="K1707" s="2">
        <v>12500</v>
      </c>
      <c r="L1707" s="3">
        <v>11.4</v>
      </c>
      <c r="M1707" s="3">
        <v>71.099999999999994</v>
      </c>
      <c r="N1707" s="3">
        <v>0</v>
      </c>
      <c r="O1707" s="2">
        <v>33</v>
      </c>
      <c r="P1707">
        <v>0</v>
      </c>
      <c r="Q1707" t="s">
        <v>14</v>
      </c>
      <c r="R1707" s="4">
        <v>25.91</v>
      </c>
      <c r="S1707" s="4">
        <v>0</v>
      </c>
      <c r="T1707" t="s">
        <v>31</v>
      </c>
      <c r="U1707" s="4">
        <v>2.83</v>
      </c>
      <c r="V1707" s="4">
        <v>2.073</v>
      </c>
      <c r="W1707" s="4">
        <v>25.91</v>
      </c>
    </row>
    <row r="1708" spans="1:23" ht="15" customHeight="1" x14ac:dyDescent="0.25">
      <c r="A1708">
        <v>1389</v>
      </c>
      <c r="B1708" s="1">
        <v>45942</v>
      </c>
      <c r="C1708">
        <v>0</v>
      </c>
      <c r="D1708" t="s">
        <v>55</v>
      </c>
      <c r="E1708">
        <v>10</v>
      </c>
      <c r="F1708" t="s">
        <v>39</v>
      </c>
      <c r="G1708" t="s">
        <v>36</v>
      </c>
      <c r="H1708" t="s">
        <v>51</v>
      </c>
      <c r="I1708" t="s">
        <v>25</v>
      </c>
      <c r="J1708" t="s">
        <v>15</v>
      </c>
      <c r="K1708" s="2">
        <v>17400</v>
      </c>
      <c r="L1708" s="3">
        <v>17.7</v>
      </c>
      <c r="M1708" s="3">
        <v>68.400000000000006</v>
      </c>
      <c r="N1708" s="3">
        <v>0</v>
      </c>
      <c r="O1708" s="2">
        <v>146</v>
      </c>
      <c r="P1708">
        <v>0</v>
      </c>
      <c r="Q1708" t="s">
        <v>14</v>
      </c>
      <c r="R1708" s="4">
        <v>53.85</v>
      </c>
      <c r="S1708" s="4">
        <v>0</v>
      </c>
      <c r="T1708" t="s">
        <v>31</v>
      </c>
      <c r="U1708" s="4">
        <v>5.76</v>
      </c>
      <c r="V1708" s="4">
        <v>3.0950000000000002</v>
      </c>
      <c r="W1708" s="4">
        <v>53.85</v>
      </c>
    </row>
    <row r="1709" spans="1:23" ht="15" customHeight="1" x14ac:dyDescent="0.25">
      <c r="A1709">
        <v>1757</v>
      </c>
      <c r="B1709" s="1">
        <v>45942</v>
      </c>
      <c r="C1709">
        <v>0</v>
      </c>
      <c r="D1709" t="s">
        <v>55</v>
      </c>
      <c r="E1709">
        <v>10</v>
      </c>
      <c r="F1709" t="s">
        <v>39</v>
      </c>
      <c r="G1709" t="s">
        <v>36</v>
      </c>
      <c r="H1709" t="s">
        <v>49</v>
      </c>
      <c r="I1709" t="s">
        <v>27</v>
      </c>
      <c r="J1709" t="s">
        <v>18</v>
      </c>
      <c r="K1709" s="2">
        <v>26000</v>
      </c>
      <c r="L1709" s="3">
        <v>14.7</v>
      </c>
      <c r="M1709" s="3">
        <v>68.599999999999994</v>
      </c>
      <c r="N1709" s="3">
        <v>0</v>
      </c>
      <c r="O1709" s="2">
        <v>0</v>
      </c>
      <c r="P1709">
        <v>0</v>
      </c>
      <c r="Q1709" t="s">
        <v>14</v>
      </c>
      <c r="R1709" s="4">
        <v>44.97</v>
      </c>
      <c r="S1709" s="4">
        <v>0</v>
      </c>
      <c r="T1709" t="s">
        <v>31</v>
      </c>
      <c r="U1709" s="4">
        <v>4.74</v>
      </c>
      <c r="V1709" s="4">
        <v>1.73</v>
      </c>
      <c r="W1709" s="4">
        <v>44.97</v>
      </c>
    </row>
    <row r="1710" spans="1:23" ht="15" customHeight="1" x14ac:dyDescent="0.25">
      <c r="A1710">
        <v>653</v>
      </c>
      <c r="B1710" s="1">
        <v>45942</v>
      </c>
      <c r="C1710">
        <v>0</v>
      </c>
      <c r="D1710" t="s">
        <v>55</v>
      </c>
      <c r="E1710">
        <v>10</v>
      </c>
      <c r="F1710" t="s">
        <v>39</v>
      </c>
      <c r="G1710" t="s">
        <v>36</v>
      </c>
      <c r="H1710" t="s">
        <v>54</v>
      </c>
      <c r="I1710" t="s">
        <v>16</v>
      </c>
      <c r="J1710" t="s">
        <v>24</v>
      </c>
      <c r="K1710" s="2">
        <v>8600</v>
      </c>
      <c r="L1710" s="3">
        <v>12.7</v>
      </c>
      <c r="M1710" s="3">
        <v>88.1</v>
      </c>
      <c r="N1710" s="3">
        <v>0</v>
      </c>
      <c r="O1710" s="2">
        <v>46</v>
      </c>
      <c r="P1710">
        <v>0</v>
      </c>
      <c r="Q1710" t="s">
        <v>14</v>
      </c>
      <c r="R1710" s="4">
        <v>15.31</v>
      </c>
      <c r="S1710" s="4">
        <v>0</v>
      </c>
      <c r="T1710" t="s">
        <v>31</v>
      </c>
      <c r="U1710" s="4">
        <v>1.69</v>
      </c>
      <c r="V1710" s="4">
        <v>1.78</v>
      </c>
      <c r="W1710" s="4">
        <v>15.31</v>
      </c>
    </row>
    <row r="1711" spans="1:23" ht="15" customHeight="1" x14ac:dyDescent="0.25">
      <c r="A1711">
        <v>1021</v>
      </c>
      <c r="B1711" s="1">
        <v>45942</v>
      </c>
      <c r="C1711">
        <v>0</v>
      </c>
      <c r="D1711" t="s">
        <v>55</v>
      </c>
      <c r="E1711">
        <v>10</v>
      </c>
      <c r="F1711" t="s">
        <v>39</v>
      </c>
      <c r="G1711" t="s">
        <v>36</v>
      </c>
      <c r="H1711" t="s">
        <v>50</v>
      </c>
      <c r="I1711" t="s">
        <v>22</v>
      </c>
      <c r="J1711" t="s">
        <v>12</v>
      </c>
      <c r="K1711" s="2">
        <v>21000</v>
      </c>
      <c r="L1711" s="3">
        <v>15.7</v>
      </c>
      <c r="M1711" s="3">
        <v>58.8</v>
      </c>
      <c r="N1711" s="3">
        <v>0</v>
      </c>
      <c r="O1711" s="2">
        <v>207</v>
      </c>
      <c r="P1711">
        <v>1</v>
      </c>
      <c r="Q1711" t="s">
        <v>23</v>
      </c>
      <c r="R1711" s="4">
        <v>174.7</v>
      </c>
      <c r="S1711" s="4">
        <v>0</v>
      </c>
      <c r="T1711" t="s">
        <v>31</v>
      </c>
      <c r="U1711" s="4">
        <v>18.690000000000001</v>
      </c>
      <c r="V1711" s="4">
        <v>8.3190000000000008</v>
      </c>
      <c r="W1711" s="4">
        <v>174.7</v>
      </c>
    </row>
    <row r="1712" spans="1:23" ht="15" customHeight="1" x14ac:dyDescent="0.25">
      <c r="A1712">
        <v>1758</v>
      </c>
      <c r="B1712" s="1">
        <v>45942.333333333343</v>
      </c>
      <c r="C1712">
        <v>8</v>
      </c>
      <c r="D1712" t="s">
        <v>55</v>
      </c>
      <c r="E1712">
        <v>10</v>
      </c>
      <c r="F1712" t="s">
        <v>39</v>
      </c>
      <c r="G1712" t="s">
        <v>36</v>
      </c>
      <c r="H1712" t="s">
        <v>49</v>
      </c>
      <c r="I1712" t="s">
        <v>27</v>
      </c>
      <c r="J1712" t="s">
        <v>18</v>
      </c>
      <c r="K1712" s="2">
        <v>26000</v>
      </c>
      <c r="L1712" s="3">
        <v>11.8</v>
      </c>
      <c r="M1712" s="3">
        <v>67.599999999999994</v>
      </c>
      <c r="N1712" s="3">
        <v>81.599999999999994</v>
      </c>
      <c r="O1712" s="2">
        <v>16</v>
      </c>
      <c r="P1712">
        <v>0</v>
      </c>
      <c r="Q1712" t="s">
        <v>14</v>
      </c>
      <c r="R1712" s="4">
        <v>49.16</v>
      </c>
      <c r="S1712" s="4">
        <v>22.75</v>
      </c>
      <c r="T1712" t="s">
        <v>31</v>
      </c>
      <c r="U1712" s="4">
        <v>2.91</v>
      </c>
      <c r="V1712" s="4">
        <v>1.891</v>
      </c>
      <c r="W1712" s="4">
        <v>26.41</v>
      </c>
    </row>
    <row r="1713" spans="1:23" ht="15" customHeight="1" x14ac:dyDescent="0.25">
      <c r="A1713">
        <v>1390</v>
      </c>
      <c r="B1713" s="1">
        <v>45942.333333333343</v>
      </c>
      <c r="C1713">
        <v>8</v>
      </c>
      <c r="D1713" t="s">
        <v>55</v>
      </c>
      <c r="E1713">
        <v>10</v>
      </c>
      <c r="F1713" t="s">
        <v>39</v>
      </c>
      <c r="G1713" t="s">
        <v>36</v>
      </c>
      <c r="H1713" t="s">
        <v>51</v>
      </c>
      <c r="I1713" t="s">
        <v>25</v>
      </c>
      <c r="J1713" t="s">
        <v>15</v>
      </c>
      <c r="K1713" s="2">
        <v>17400</v>
      </c>
      <c r="L1713" s="3">
        <v>17.8</v>
      </c>
      <c r="M1713" s="3">
        <v>69</v>
      </c>
      <c r="N1713" s="3">
        <v>121.6</v>
      </c>
      <c r="O1713" s="2">
        <v>0</v>
      </c>
      <c r="P1713">
        <v>0</v>
      </c>
      <c r="Q1713" t="s">
        <v>14</v>
      </c>
      <c r="R1713" s="4">
        <v>34.200000000000003</v>
      </c>
      <c r="S1713" s="4">
        <v>14.67</v>
      </c>
      <c r="T1713" t="s">
        <v>31</v>
      </c>
      <c r="U1713" s="4">
        <v>2.11</v>
      </c>
      <c r="V1713" s="4">
        <v>1.966</v>
      </c>
      <c r="W1713" s="4">
        <v>19.53</v>
      </c>
    </row>
    <row r="1714" spans="1:23" ht="15" customHeight="1" x14ac:dyDescent="0.25">
      <c r="A1714">
        <v>286</v>
      </c>
      <c r="B1714" s="1">
        <v>45942.333333333343</v>
      </c>
      <c r="C1714">
        <v>8</v>
      </c>
      <c r="D1714" t="s">
        <v>55</v>
      </c>
      <c r="E1714">
        <v>10</v>
      </c>
      <c r="F1714" t="s">
        <v>39</v>
      </c>
      <c r="G1714" t="s">
        <v>36</v>
      </c>
      <c r="H1714" t="s">
        <v>53</v>
      </c>
      <c r="I1714" t="s">
        <v>19</v>
      </c>
      <c r="J1714" t="s">
        <v>26</v>
      </c>
      <c r="K1714" s="2">
        <v>12500</v>
      </c>
      <c r="L1714" s="3">
        <v>17.600000000000001</v>
      </c>
      <c r="M1714" s="3">
        <v>62.1</v>
      </c>
      <c r="N1714" s="3">
        <v>102</v>
      </c>
      <c r="O1714" s="2">
        <v>22</v>
      </c>
      <c r="P1714">
        <v>0</v>
      </c>
      <c r="Q1714" t="s">
        <v>14</v>
      </c>
      <c r="R1714" s="4">
        <v>23.35</v>
      </c>
      <c r="S1714" s="4">
        <v>16.78</v>
      </c>
      <c r="T1714" t="s">
        <v>31</v>
      </c>
      <c r="U1714" s="4">
        <v>0.72</v>
      </c>
      <c r="V1714" s="4">
        <v>1.8680000000000001</v>
      </c>
      <c r="W1714" s="4">
        <v>6.57</v>
      </c>
    </row>
    <row r="1715" spans="1:23" ht="15" customHeight="1" x14ac:dyDescent="0.25">
      <c r="A1715">
        <v>2126</v>
      </c>
      <c r="B1715" s="1">
        <v>45942.333333333343</v>
      </c>
      <c r="C1715">
        <v>8</v>
      </c>
      <c r="D1715" t="s">
        <v>55</v>
      </c>
      <c r="E1715">
        <v>10</v>
      </c>
      <c r="F1715" t="s">
        <v>39</v>
      </c>
      <c r="G1715" t="s">
        <v>36</v>
      </c>
      <c r="H1715" t="s">
        <v>52</v>
      </c>
      <c r="I1715" t="s">
        <v>13</v>
      </c>
      <c r="J1715" t="s">
        <v>21</v>
      </c>
      <c r="K1715" s="2">
        <v>9800</v>
      </c>
      <c r="L1715" s="3">
        <v>15.1</v>
      </c>
      <c r="M1715" s="3">
        <v>74.5</v>
      </c>
      <c r="N1715" s="3">
        <v>102.9</v>
      </c>
      <c r="O1715" s="2">
        <v>131</v>
      </c>
      <c r="P1715">
        <v>1</v>
      </c>
      <c r="Q1715" t="s">
        <v>23</v>
      </c>
      <c r="R1715" s="4">
        <v>47.39</v>
      </c>
      <c r="S1715" s="4">
        <v>0</v>
      </c>
      <c r="T1715" t="s">
        <v>31</v>
      </c>
      <c r="U1715" s="4">
        <v>5.17</v>
      </c>
      <c r="V1715" s="4">
        <v>4.8360000000000003</v>
      </c>
      <c r="W1715" s="4">
        <v>47.39</v>
      </c>
    </row>
    <row r="1716" spans="1:23" ht="15" customHeight="1" x14ac:dyDescent="0.25">
      <c r="A1716">
        <v>1022</v>
      </c>
      <c r="B1716" s="1">
        <v>45942.333333333343</v>
      </c>
      <c r="C1716">
        <v>8</v>
      </c>
      <c r="D1716" t="s">
        <v>55</v>
      </c>
      <c r="E1716">
        <v>10</v>
      </c>
      <c r="F1716" t="s">
        <v>39</v>
      </c>
      <c r="G1716" t="s">
        <v>36</v>
      </c>
      <c r="H1716" t="s">
        <v>50</v>
      </c>
      <c r="I1716" t="s">
        <v>22</v>
      </c>
      <c r="J1716" t="s">
        <v>12</v>
      </c>
      <c r="K1716" s="2">
        <v>21000</v>
      </c>
      <c r="L1716" s="3">
        <v>16.600000000000001</v>
      </c>
      <c r="M1716" s="3">
        <v>56.3</v>
      </c>
      <c r="N1716" s="3">
        <v>111.3</v>
      </c>
      <c r="O1716" s="2">
        <v>402</v>
      </c>
      <c r="P1716">
        <v>0</v>
      </c>
      <c r="Q1716" t="s">
        <v>14</v>
      </c>
      <c r="R1716" s="4">
        <v>267.72000000000003</v>
      </c>
      <c r="S1716" s="4">
        <v>22.32</v>
      </c>
      <c r="T1716" t="s">
        <v>31</v>
      </c>
      <c r="U1716" s="4">
        <v>26.9</v>
      </c>
      <c r="V1716" s="4">
        <v>12.749000000000001</v>
      </c>
      <c r="W1716" s="4">
        <v>245.4</v>
      </c>
    </row>
    <row r="1717" spans="1:23" ht="15" customHeight="1" x14ac:dyDescent="0.25">
      <c r="A1717">
        <v>654</v>
      </c>
      <c r="B1717" s="1">
        <v>45942.333333333343</v>
      </c>
      <c r="C1717">
        <v>8</v>
      </c>
      <c r="D1717" t="s">
        <v>55</v>
      </c>
      <c r="E1717">
        <v>10</v>
      </c>
      <c r="F1717" t="s">
        <v>39</v>
      </c>
      <c r="G1717" t="s">
        <v>36</v>
      </c>
      <c r="H1717" t="s">
        <v>54</v>
      </c>
      <c r="I1717" t="s">
        <v>16</v>
      </c>
      <c r="J1717" t="s">
        <v>24</v>
      </c>
      <c r="K1717" s="2">
        <v>8600</v>
      </c>
      <c r="L1717" s="3">
        <v>17.2</v>
      </c>
      <c r="M1717" s="3">
        <v>83.2</v>
      </c>
      <c r="N1717" s="3">
        <v>110.4</v>
      </c>
      <c r="O1717" s="2">
        <v>0</v>
      </c>
      <c r="P1717">
        <v>0</v>
      </c>
      <c r="Q1717" t="s">
        <v>14</v>
      </c>
      <c r="R1717" s="4">
        <v>12.54</v>
      </c>
      <c r="S1717" s="4">
        <v>7.83</v>
      </c>
      <c r="T1717" t="s">
        <v>31</v>
      </c>
      <c r="U1717" s="4">
        <v>0.51</v>
      </c>
      <c r="V1717" s="4">
        <v>1.458</v>
      </c>
      <c r="W1717" s="4">
        <v>4.71</v>
      </c>
    </row>
    <row r="1718" spans="1:23" ht="15" customHeight="1" x14ac:dyDescent="0.25">
      <c r="A1718">
        <v>1391</v>
      </c>
      <c r="B1718" s="1">
        <v>45942.583333333343</v>
      </c>
      <c r="C1718">
        <v>14</v>
      </c>
      <c r="D1718" t="s">
        <v>55</v>
      </c>
      <c r="E1718">
        <v>10</v>
      </c>
      <c r="F1718" t="s">
        <v>39</v>
      </c>
      <c r="G1718" t="s">
        <v>36</v>
      </c>
      <c r="H1718" t="s">
        <v>51</v>
      </c>
      <c r="I1718" t="s">
        <v>25</v>
      </c>
      <c r="J1718" t="s">
        <v>15</v>
      </c>
      <c r="K1718" s="2">
        <v>17400</v>
      </c>
      <c r="L1718" s="3">
        <v>23.9</v>
      </c>
      <c r="M1718" s="3">
        <v>73.8</v>
      </c>
      <c r="N1718" s="3">
        <v>557.70000000000005</v>
      </c>
      <c r="O1718" s="2">
        <v>1646</v>
      </c>
      <c r="P1718">
        <v>1</v>
      </c>
      <c r="Q1718" t="s">
        <v>23</v>
      </c>
      <c r="R1718" s="4">
        <v>221.77</v>
      </c>
      <c r="S1718" s="4">
        <v>71.12</v>
      </c>
      <c r="T1718" t="s">
        <v>31</v>
      </c>
      <c r="U1718" s="4">
        <v>16.18</v>
      </c>
      <c r="V1718" s="4">
        <v>12.744999999999999</v>
      </c>
      <c r="W1718" s="4">
        <v>150.65</v>
      </c>
    </row>
    <row r="1719" spans="1:23" ht="15" customHeight="1" x14ac:dyDescent="0.25">
      <c r="A1719">
        <v>287</v>
      </c>
      <c r="B1719" s="1">
        <v>45942.583333333343</v>
      </c>
      <c r="C1719">
        <v>14</v>
      </c>
      <c r="D1719" t="s">
        <v>55</v>
      </c>
      <c r="E1719">
        <v>10</v>
      </c>
      <c r="F1719" t="s">
        <v>39</v>
      </c>
      <c r="G1719" t="s">
        <v>36</v>
      </c>
      <c r="H1719" t="s">
        <v>53</v>
      </c>
      <c r="I1719" t="s">
        <v>19</v>
      </c>
      <c r="J1719" t="s">
        <v>26</v>
      </c>
      <c r="K1719" s="2">
        <v>12500</v>
      </c>
      <c r="L1719" s="3">
        <v>21.7</v>
      </c>
      <c r="M1719" s="3">
        <v>62.9</v>
      </c>
      <c r="N1719" s="3"/>
      <c r="O1719" s="2">
        <v>30</v>
      </c>
      <c r="P1719">
        <v>0</v>
      </c>
      <c r="Q1719" t="s">
        <v>14</v>
      </c>
      <c r="R1719" s="4">
        <v>16.82</v>
      </c>
      <c r="S1719" s="4">
        <v>94.2</v>
      </c>
      <c r="T1719" t="s">
        <v>31</v>
      </c>
      <c r="U1719" s="4">
        <v>-3.3</v>
      </c>
      <c r="V1719" s="4">
        <v>1.3460000000000001</v>
      </c>
      <c r="W1719" s="4">
        <v>0</v>
      </c>
    </row>
    <row r="1720" spans="1:23" ht="15" customHeight="1" x14ac:dyDescent="0.25">
      <c r="A1720">
        <v>1023</v>
      </c>
      <c r="B1720" s="1">
        <v>45942.583333333343</v>
      </c>
      <c r="C1720">
        <v>14</v>
      </c>
      <c r="D1720" t="s">
        <v>55</v>
      </c>
      <c r="E1720">
        <v>10</v>
      </c>
      <c r="F1720" t="s">
        <v>39</v>
      </c>
      <c r="G1720" t="s">
        <v>36</v>
      </c>
      <c r="H1720" t="s">
        <v>50</v>
      </c>
      <c r="I1720" t="s">
        <v>22</v>
      </c>
      <c r="J1720" t="s">
        <v>12</v>
      </c>
      <c r="K1720" s="2">
        <v>21000</v>
      </c>
      <c r="L1720" s="3">
        <v>26.5</v>
      </c>
      <c r="M1720" s="3">
        <v>46.5</v>
      </c>
      <c r="N1720" s="3">
        <v>480.9</v>
      </c>
      <c r="O1720" s="2">
        <v>398</v>
      </c>
      <c r="P1720">
        <v>1</v>
      </c>
      <c r="Q1720" t="s">
        <v>20</v>
      </c>
      <c r="R1720" s="4">
        <v>209.2</v>
      </c>
      <c r="S1720" s="4">
        <v>90.88</v>
      </c>
      <c r="T1720" t="s">
        <v>31</v>
      </c>
      <c r="U1720" s="4">
        <v>12.92</v>
      </c>
      <c r="V1720" s="4">
        <v>9.9619999999999997</v>
      </c>
      <c r="W1720" s="4">
        <v>118.32</v>
      </c>
    </row>
    <row r="1721" spans="1:23" ht="15" customHeight="1" x14ac:dyDescent="0.25">
      <c r="A1721">
        <v>2127</v>
      </c>
      <c r="B1721" s="1">
        <v>45942.583333333343</v>
      </c>
      <c r="C1721">
        <v>14</v>
      </c>
      <c r="D1721" t="s">
        <v>55</v>
      </c>
      <c r="E1721">
        <v>10</v>
      </c>
      <c r="F1721" t="s">
        <v>39</v>
      </c>
      <c r="G1721" t="s">
        <v>36</v>
      </c>
      <c r="H1721" t="s">
        <v>52</v>
      </c>
      <c r="I1721" t="s">
        <v>13</v>
      </c>
      <c r="J1721" t="s">
        <v>21</v>
      </c>
      <c r="K1721" s="2">
        <v>9800</v>
      </c>
      <c r="L1721" s="3">
        <v>21</v>
      </c>
      <c r="M1721" s="3">
        <v>70.5</v>
      </c>
      <c r="N1721" s="3">
        <v>608</v>
      </c>
      <c r="O1721" s="2">
        <v>126</v>
      </c>
      <c r="P1721">
        <v>0</v>
      </c>
      <c r="Q1721" t="s">
        <v>14</v>
      </c>
      <c r="R1721" s="4">
        <v>26.85</v>
      </c>
      <c r="S1721" s="4">
        <v>0</v>
      </c>
      <c r="T1721" t="s">
        <v>31</v>
      </c>
      <c r="U1721" s="4">
        <v>2.96</v>
      </c>
      <c r="V1721" s="4">
        <v>2.74</v>
      </c>
      <c r="W1721" s="4">
        <v>26.85</v>
      </c>
    </row>
    <row r="1722" spans="1:23" ht="15" customHeight="1" x14ac:dyDescent="0.25">
      <c r="A1722">
        <v>655</v>
      </c>
      <c r="B1722" s="1">
        <v>45942.583333333343</v>
      </c>
      <c r="C1722">
        <v>14</v>
      </c>
      <c r="D1722" t="s">
        <v>55</v>
      </c>
      <c r="E1722">
        <v>10</v>
      </c>
      <c r="F1722" t="s">
        <v>39</v>
      </c>
      <c r="G1722" t="s">
        <v>36</v>
      </c>
      <c r="H1722" t="s">
        <v>54</v>
      </c>
      <c r="I1722" t="s">
        <v>16</v>
      </c>
      <c r="J1722" t="s">
        <v>24</v>
      </c>
      <c r="K1722" s="2">
        <v>8600</v>
      </c>
      <c r="L1722" s="3">
        <v>16.2</v>
      </c>
      <c r="M1722" s="3">
        <v>73.2</v>
      </c>
      <c r="N1722" s="3"/>
      <c r="O1722" s="2">
        <v>33</v>
      </c>
      <c r="P1722">
        <v>0</v>
      </c>
      <c r="Q1722" t="s">
        <v>14</v>
      </c>
      <c r="R1722" s="4">
        <v>9.43</v>
      </c>
      <c r="S1722" s="4">
        <v>42.62</v>
      </c>
      <c r="T1722" t="s">
        <v>31</v>
      </c>
      <c r="U1722" s="4">
        <v>-1.48</v>
      </c>
      <c r="V1722" s="4">
        <v>1.097</v>
      </c>
      <c r="W1722" s="4">
        <v>0</v>
      </c>
    </row>
    <row r="1723" spans="1:23" ht="15" customHeight="1" x14ac:dyDescent="0.25">
      <c r="A1723">
        <v>1759</v>
      </c>
      <c r="B1723" s="1">
        <v>45942.583333333343</v>
      </c>
      <c r="C1723">
        <v>14</v>
      </c>
      <c r="D1723" t="s">
        <v>55</v>
      </c>
      <c r="E1723">
        <v>10</v>
      </c>
      <c r="F1723" t="s">
        <v>39</v>
      </c>
      <c r="G1723" t="s">
        <v>36</v>
      </c>
      <c r="H1723" t="s">
        <v>49</v>
      </c>
      <c r="I1723" t="s">
        <v>27</v>
      </c>
      <c r="J1723" t="s">
        <v>18</v>
      </c>
      <c r="K1723" s="2">
        <v>26000</v>
      </c>
      <c r="L1723" s="3">
        <v>23.9</v>
      </c>
      <c r="M1723" s="3">
        <v>63.6</v>
      </c>
      <c r="N1723" s="3">
        <v>562.70000000000005</v>
      </c>
      <c r="O1723" s="2">
        <v>0</v>
      </c>
      <c r="P1723">
        <v>0</v>
      </c>
      <c r="Q1723" t="s">
        <v>14</v>
      </c>
      <c r="R1723" s="4">
        <v>32.21</v>
      </c>
      <c r="S1723" s="4">
        <v>151.24</v>
      </c>
      <c r="T1723" t="s">
        <v>31</v>
      </c>
      <c r="U1723" s="4">
        <v>-5.19</v>
      </c>
      <c r="V1723" s="4">
        <v>1.2390000000000001</v>
      </c>
      <c r="W1723" s="4">
        <v>0</v>
      </c>
    </row>
    <row r="1724" spans="1:23" ht="15" customHeight="1" x14ac:dyDescent="0.25">
      <c r="A1724">
        <v>1760</v>
      </c>
      <c r="B1724" s="1">
        <v>45942.833333333343</v>
      </c>
      <c r="C1724">
        <v>20</v>
      </c>
      <c r="D1724" t="s">
        <v>55</v>
      </c>
      <c r="E1724">
        <v>10</v>
      </c>
      <c r="F1724" t="s">
        <v>39</v>
      </c>
      <c r="G1724" t="s">
        <v>36</v>
      </c>
      <c r="H1724" t="s">
        <v>49</v>
      </c>
      <c r="I1724" t="s">
        <v>27</v>
      </c>
      <c r="J1724" t="s">
        <v>18</v>
      </c>
      <c r="K1724" s="2">
        <v>26000</v>
      </c>
      <c r="L1724" s="3">
        <v>18.3</v>
      </c>
      <c r="M1724" s="3">
        <v>66.099999999999994</v>
      </c>
      <c r="N1724" s="3">
        <v>0</v>
      </c>
      <c r="O1724" s="2">
        <v>0</v>
      </c>
      <c r="P1724">
        <v>0</v>
      </c>
      <c r="Q1724" t="s">
        <v>14</v>
      </c>
      <c r="R1724" s="4">
        <v>378.04</v>
      </c>
      <c r="S1724" s="4">
        <v>0</v>
      </c>
      <c r="T1724" t="s">
        <v>31</v>
      </c>
      <c r="U1724" s="4">
        <v>4.97</v>
      </c>
      <c r="V1724" s="4">
        <v>14.54</v>
      </c>
      <c r="W1724" s="4">
        <v>378.04</v>
      </c>
    </row>
    <row r="1725" spans="1:23" ht="15" customHeight="1" x14ac:dyDescent="0.25">
      <c r="A1725">
        <v>288</v>
      </c>
      <c r="B1725" s="1">
        <v>45942.833333333343</v>
      </c>
      <c r="C1725">
        <v>20</v>
      </c>
      <c r="D1725" t="s">
        <v>55</v>
      </c>
      <c r="E1725">
        <v>10</v>
      </c>
      <c r="F1725" t="s">
        <v>39</v>
      </c>
      <c r="G1725" t="s">
        <v>36</v>
      </c>
      <c r="H1725" t="s">
        <v>53</v>
      </c>
      <c r="I1725" t="s">
        <v>19</v>
      </c>
      <c r="J1725" t="s">
        <v>26</v>
      </c>
      <c r="K1725" s="2">
        <v>12500</v>
      </c>
      <c r="L1725" s="3">
        <v>15.8</v>
      </c>
      <c r="M1725" s="3">
        <v>73.599999999999994</v>
      </c>
      <c r="N1725" s="3"/>
      <c r="O1725" s="2">
        <v>0</v>
      </c>
      <c r="P1725">
        <v>0</v>
      </c>
      <c r="Q1725" t="s">
        <v>14</v>
      </c>
      <c r="R1725" s="4">
        <v>22.79</v>
      </c>
      <c r="S1725" s="4">
        <v>0</v>
      </c>
      <c r="T1725" t="s">
        <v>31</v>
      </c>
      <c r="U1725" s="4">
        <v>2.44</v>
      </c>
      <c r="V1725" s="4">
        <v>1.823</v>
      </c>
      <c r="W1725" s="4">
        <v>22.79</v>
      </c>
    </row>
    <row r="1726" spans="1:23" ht="15" customHeight="1" x14ac:dyDescent="0.25">
      <c r="A1726">
        <v>656</v>
      </c>
      <c r="B1726" s="1">
        <v>45942.833333333343</v>
      </c>
      <c r="C1726">
        <v>20</v>
      </c>
      <c r="D1726" t="s">
        <v>55</v>
      </c>
      <c r="E1726">
        <v>10</v>
      </c>
      <c r="F1726" t="s">
        <v>39</v>
      </c>
      <c r="G1726" t="s">
        <v>36</v>
      </c>
      <c r="H1726" t="s">
        <v>54</v>
      </c>
      <c r="I1726" t="s">
        <v>16</v>
      </c>
      <c r="J1726" t="s">
        <v>24</v>
      </c>
      <c r="K1726" s="2">
        <v>8600</v>
      </c>
      <c r="L1726" s="3">
        <v>14.3</v>
      </c>
      <c r="M1726" s="3">
        <v>98.2</v>
      </c>
      <c r="N1726" s="3">
        <v>0</v>
      </c>
      <c r="O1726" s="2">
        <v>9</v>
      </c>
      <c r="P1726">
        <v>0</v>
      </c>
      <c r="Q1726" t="s">
        <v>14</v>
      </c>
      <c r="R1726" s="4">
        <v>13.55</v>
      </c>
      <c r="S1726" s="4">
        <v>0</v>
      </c>
      <c r="T1726" t="s">
        <v>31</v>
      </c>
      <c r="U1726" s="4">
        <v>1.42</v>
      </c>
      <c r="V1726" s="4">
        <v>1.5760000000000001</v>
      </c>
      <c r="W1726" s="4">
        <v>13.55</v>
      </c>
    </row>
    <row r="1727" spans="1:23" ht="15" customHeight="1" x14ac:dyDescent="0.25">
      <c r="A1727">
        <v>1392</v>
      </c>
      <c r="B1727" s="1">
        <v>45942.833333333343</v>
      </c>
      <c r="C1727">
        <v>20</v>
      </c>
      <c r="D1727" t="s">
        <v>55</v>
      </c>
      <c r="E1727">
        <v>10</v>
      </c>
      <c r="F1727" t="s">
        <v>39</v>
      </c>
      <c r="G1727" t="s">
        <v>36</v>
      </c>
      <c r="H1727" t="s">
        <v>51</v>
      </c>
      <c r="I1727" t="s">
        <v>25</v>
      </c>
      <c r="J1727" t="s">
        <v>15</v>
      </c>
      <c r="K1727" s="2">
        <v>17400</v>
      </c>
      <c r="L1727" s="3">
        <v>19.3</v>
      </c>
      <c r="M1727" s="3">
        <v>78.099999999999994</v>
      </c>
      <c r="N1727" s="3">
        <v>0</v>
      </c>
      <c r="O1727" s="2">
        <v>1564</v>
      </c>
      <c r="P1727">
        <v>0</v>
      </c>
      <c r="Q1727" t="s">
        <v>14</v>
      </c>
      <c r="R1727" s="4">
        <v>316.22000000000003</v>
      </c>
      <c r="S1727" s="4">
        <v>0</v>
      </c>
      <c r="T1727" t="s">
        <v>31</v>
      </c>
      <c r="U1727" s="4">
        <v>34.090000000000003</v>
      </c>
      <c r="V1727" s="4">
        <v>18.173999999999999</v>
      </c>
      <c r="W1727" s="4">
        <v>316.22000000000003</v>
      </c>
    </row>
    <row r="1728" spans="1:23" ht="15" customHeight="1" x14ac:dyDescent="0.25">
      <c r="A1728">
        <v>2128</v>
      </c>
      <c r="B1728" s="1">
        <v>45942.833333333343</v>
      </c>
      <c r="C1728">
        <v>20</v>
      </c>
      <c r="D1728" t="s">
        <v>55</v>
      </c>
      <c r="E1728">
        <v>10</v>
      </c>
      <c r="F1728" t="s">
        <v>39</v>
      </c>
      <c r="G1728" t="s">
        <v>36</v>
      </c>
      <c r="H1728" t="s">
        <v>52</v>
      </c>
      <c r="I1728" t="s">
        <v>13</v>
      </c>
      <c r="J1728" t="s">
        <v>21</v>
      </c>
      <c r="K1728" s="2">
        <v>9800</v>
      </c>
      <c r="L1728" s="3">
        <v>15.8</v>
      </c>
      <c r="M1728" s="3">
        <v>68.7</v>
      </c>
      <c r="N1728" s="3">
        <v>0</v>
      </c>
      <c r="O1728" s="2">
        <v>321</v>
      </c>
      <c r="P1728">
        <v>1</v>
      </c>
      <c r="Q1728" t="s">
        <v>23</v>
      </c>
      <c r="R1728" s="4">
        <v>89.6</v>
      </c>
      <c r="S1728" s="4">
        <v>0</v>
      </c>
      <c r="T1728" t="s">
        <v>31</v>
      </c>
      <c r="U1728" s="4">
        <v>9.7799999999999994</v>
      </c>
      <c r="V1728" s="4">
        <v>9.1430000000000007</v>
      </c>
      <c r="W1728" s="4">
        <v>89.6</v>
      </c>
    </row>
    <row r="1729" spans="1:23" ht="15" customHeight="1" x14ac:dyDescent="0.25">
      <c r="A1729">
        <v>1024</v>
      </c>
      <c r="B1729" s="1">
        <v>45942.833333333343</v>
      </c>
      <c r="C1729">
        <v>20</v>
      </c>
      <c r="D1729" t="s">
        <v>55</v>
      </c>
      <c r="E1729">
        <v>10</v>
      </c>
      <c r="F1729" t="s">
        <v>39</v>
      </c>
      <c r="G1729" t="s">
        <v>36</v>
      </c>
      <c r="H1729" t="s">
        <v>50</v>
      </c>
      <c r="I1729" t="s">
        <v>22</v>
      </c>
      <c r="J1729" t="s">
        <v>12</v>
      </c>
      <c r="K1729" s="2">
        <v>21000</v>
      </c>
      <c r="L1729" s="3">
        <v>22.1</v>
      </c>
      <c r="M1729" s="3">
        <v>53.2</v>
      </c>
      <c r="N1729" s="3">
        <v>0</v>
      </c>
      <c r="O1729" s="2">
        <v>422</v>
      </c>
      <c r="P1729">
        <v>0</v>
      </c>
      <c r="Q1729" t="s">
        <v>14</v>
      </c>
      <c r="R1729" s="4">
        <v>293.23</v>
      </c>
      <c r="S1729" s="4">
        <v>0</v>
      </c>
      <c r="T1729" t="s">
        <v>31</v>
      </c>
      <c r="U1729" s="4">
        <v>31.93</v>
      </c>
      <c r="V1729" s="4">
        <v>13.962999999999999</v>
      </c>
      <c r="W1729" s="4">
        <v>293.23</v>
      </c>
    </row>
    <row r="1730" spans="1:23" ht="15" customHeight="1" x14ac:dyDescent="0.25">
      <c r="A1730">
        <v>289</v>
      </c>
      <c r="B1730" s="1">
        <v>45946</v>
      </c>
      <c r="C1730">
        <v>0</v>
      </c>
      <c r="D1730" t="s">
        <v>56</v>
      </c>
      <c r="E1730">
        <v>10</v>
      </c>
      <c r="F1730" t="s">
        <v>39</v>
      </c>
      <c r="G1730" t="s">
        <v>33</v>
      </c>
      <c r="H1730" t="s">
        <v>53</v>
      </c>
      <c r="I1730" t="s">
        <v>19</v>
      </c>
      <c r="J1730" t="s">
        <v>26</v>
      </c>
      <c r="K1730" s="2">
        <v>12500</v>
      </c>
      <c r="L1730" s="3">
        <v>9.6999999999999993</v>
      </c>
      <c r="M1730" s="3">
        <v>67.599999999999994</v>
      </c>
      <c r="N1730" s="3">
        <v>0</v>
      </c>
      <c r="O1730" s="2">
        <v>40</v>
      </c>
      <c r="P1730">
        <v>0</v>
      </c>
      <c r="Q1730" t="s">
        <v>14</v>
      </c>
      <c r="R1730" s="4">
        <v>25.56</v>
      </c>
      <c r="S1730" s="4">
        <v>0</v>
      </c>
      <c r="T1730" t="s">
        <v>31</v>
      </c>
      <c r="U1730" s="4">
        <v>2.8</v>
      </c>
      <c r="V1730" s="4">
        <v>2.0449999999999999</v>
      </c>
      <c r="W1730" s="4">
        <v>25.56</v>
      </c>
    </row>
    <row r="1731" spans="1:23" ht="15" customHeight="1" x14ac:dyDescent="0.25">
      <c r="A1731">
        <v>657</v>
      </c>
      <c r="B1731" s="1">
        <v>45946</v>
      </c>
      <c r="C1731">
        <v>0</v>
      </c>
      <c r="D1731" t="s">
        <v>56</v>
      </c>
      <c r="E1731">
        <v>10</v>
      </c>
      <c r="F1731" t="s">
        <v>39</v>
      </c>
      <c r="G1731" t="s">
        <v>33</v>
      </c>
      <c r="H1731" t="s">
        <v>54</v>
      </c>
      <c r="I1731" t="s">
        <v>16</v>
      </c>
      <c r="J1731" t="s">
        <v>24</v>
      </c>
      <c r="K1731" s="2">
        <v>8600</v>
      </c>
      <c r="L1731" s="3">
        <v>11.7</v>
      </c>
      <c r="M1731" s="3">
        <v>81.8</v>
      </c>
      <c r="N1731" s="3">
        <v>0</v>
      </c>
      <c r="O1731" s="2">
        <v>0</v>
      </c>
      <c r="P1731">
        <v>1</v>
      </c>
      <c r="Q1731" t="s">
        <v>17</v>
      </c>
      <c r="R1731" s="4">
        <v>21.12</v>
      </c>
      <c r="S1731" s="4">
        <v>0</v>
      </c>
      <c r="T1731" t="s">
        <v>31</v>
      </c>
      <c r="U1731" s="4">
        <v>2.33</v>
      </c>
      <c r="V1731" s="4">
        <v>2.456</v>
      </c>
      <c r="W1731" s="4">
        <v>21.12</v>
      </c>
    </row>
    <row r="1732" spans="1:23" ht="15" customHeight="1" x14ac:dyDescent="0.25">
      <c r="A1732">
        <v>2129</v>
      </c>
      <c r="B1732" s="1">
        <v>45946</v>
      </c>
      <c r="C1732">
        <v>0</v>
      </c>
      <c r="D1732" t="s">
        <v>56</v>
      </c>
      <c r="E1732">
        <v>10</v>
      </c>
      <c r="F1732" t="s">
        <v>39</v>
      </c>
      <c r="G1732" t="s">
        <v>33</v>
      </c>
      <c r="H1732" t="s">
        <v>52</v>
      </c>
      <c r="I1732" t="s">
        <v>13</v>
      </c>
      <c r="J1732" t="s">
        <v>21</v>
      </c>
      <c r="K1732" s="2">
        <v>9800</v>
      </c>
      <c r="L1732" s="3">
        <v>12.3</v>
      </c>
      <c r="M1732" s="3">
        <v>76.7</v>
      </c>
      <c r="N1732" s="3">
        <v>0</v>
      </c>
      <c r="O1732" s="2">
        <v>314</v>
      </c>
      <c r="P1732">
        <v>1</v>
      </c>
      <c r="Q1732" t="s">
        <v>17</v>
      </c>
      <c r="R1732" s="4">
        <v>95.34</v>
      </c>
      <c r="S1732" s="4">
        <v>0</v>
      </c>
      <c r="T1732" t="s">
        <v>31</v>
      </c>
      <c r="U1732" s="4">
        <v>10.72</v>
      </c>
      <c r="V1732" s="4">
        <v>9.7289999999999992</v>
      </c>
      <c r="W1732" s="4">
        <v>95.34</v>
      </c>
    </row>
    <row r="1733" spans="1:23" ht="15" customHeight="1" x14ac:dyDescent="0.25">
      <c r="A1733">
        <v>1025</v>
      </c>
      <c r="B1733" s="1">
        <v>45946</v>
      </c>
      <c r="C1733">
        <v>0</v>
      </c>
      <c r="D1733" t="s">
        <v>56</v>
      </c>
      <c r="E1733">
        <v>10</v>
      </c>
      <c r="F1733" t="s">
        <v>39</v>
      </c>
      <c r="G1733" t="s">
        <v>33</v>
      </c>
      <c r="H1733" t="s">
        <v>50</v>
      </c>
      <c r="I1733" t="s">
        <v>22</v>
      </c>
      <c r="J1733" t="s">
        <v>12</v>
      </c>
      <c r="K1733" s="2">
        <v>21000</v>
      </c>
      <c r="L1733" s="3">
        <v>14.3</v>
      </c>
      <c r="M1733" s="3">
        <v>57.7</v>
      </c>
      <c r="N1733" s="3">
        <v>0</v>
      </c>
      <c r="O1733" s="2">
        <v>205</v>
      </c>
      <c r="P1733">
        <v>1</v>
      </c>
      <c r="Q1733" t="s">
        <v>17</v>
      </c>
      <c r="R1733" s="4">
        <v>178.77</v>
      </c>
      <c r="S1733" s="4">
        <v>0</v>
      </c>
      <c r="T1733" t="s">
        <v>31</v>
      </c>
      <c r="U1733" s="4">
        <v>19.77</v>
      </c>
      <c r="V1733" s="4">
        <v>8.5129999999999999</v>
      </c>
      <c r="W1733" s="4">
        <v>178.77</v>
      </c>
    </row>
    <row r="1734" spans="1:23" ht="15" customHeight="1" x14ac:dyDescent="0.25">
      <c r="A1734">
        <v>1761</v>
      </c>
      <c r="B1734" s="1">
        <v>45946</v>
      </c>
      <c r="C1734">
        <v>0</v>
      </c>
      <c r="D1734" t="s">
        <v>56</v>
      </c>
      <c r="E1734">
        <v>10</v>
      </c>
      <c r="F1734" t="s">
        <v>39</v>
      </c>
      <c r="G1734" t="s">
        <v>33</v>
      </c>
      <c r="H1734" t="s">
        <v>49</v>
      </c>
      <c r="I1734" t="s">
        <v>27</v>
      </c>
      <c r="J1734" t="s">
        <v>18</v>
      </c>
      <c r="K1734" s="2">
        <v>26000</v>
      </c>
      <c r="L1734" s="3">
        <v>9.3000000000000007</v>
      </c>
      <c r="M1734" s="3">
        <v>60.8</v>
      </c>
      <c r="N1734" s="3">
        <v>0</v>
      </c>
      <c r="O1734" s="2">
        <v>52</v>
      </c>
      <c r="P1734">
        <v>1</v>
      </c>
      <c r="Q1734" t="s">
        <v>17</v>
      </c>
      <c r="R1734" s="4">
        <v>112.68</v>
      </c>
      <c r="S1734" s="4">
        <v>0</v>
      </c>
      <c r="T1734" t="s">
        <v>31</v>
      </c>
      <c r="U1734" s="4">
        <v>11.99</v>
      </c>
      <c r="V1734" s="4">
        <v>4.3339999999999996</v>
      </c>
      <c r="W1734" s="4">
        <v>112.68</v>
      </c>
    </row>
    <row r="1735" spans="1:23" ht="15" customHeight="1" x14ac:dyDescent="0.25">
      <c r="A1735">
        <v>1393</v>
      </c>
      <c r="B1735" s="1">
        <v>45946</v>
      </c>
      <c r="C1735">
        <v>0</v>
      </c>
      <c r="D1735" t="s">
        <v>56</v>
      </c>
      <c r="E1735">
        <v>10</v>
      </c>
      <c r="F1735" t="s">
        <v>39</v>
      </c>
      <c r="G1735" t="s">
        <v>33</v>
      </c>
      <c r="H1735" t="s">
        <v>51</v>
      </c>
      <c r="I1735" t="s">
        <v>25</v>
      </c>
      <c r="J1735" t="s">
        <v>15</v>
      </c>
      <c r="K1735" s="2">
        <v>17400</v>
      </c>
      <c r="L1735" s="3">
        <v>14.5</v>
      </c>
      <c r="M1735" s="3">
        <v>69.400000000000006</v>
      </c>
      <c r="N1735" s="3">
        <v>0</v>
      </c>
      <c r="O1735" s="2">
        <v>0</v>
      </c>
      <c r="P1735">
        <v>0</v>
      </c>
      <c r="Q1735" t="s">
        <v>14</v>
      </c>
      <c r="R1735" s="4">
        <v>45.29</v>
      </c>
      <c r="S1735" s="4">
        <v>0</v>
      </c>
      <c r="T1735" t="s">
        <v>31</v>
      </c>
      <c r="U1735" s="4">
        <v>4.97</v>
      </c>
      <c r="V1735" s="4">
        <v>2.6030000000000002</v>
      </c>
      <c r="W1735" s="4">
        <v>45.29</v>
      </c>
    </row>
    <row r="1736" spans="1:23" ht="15" customHeight="1" x14ac:dyDescent="0.25">
      <c r="A1736">
        <v>1394</v>
      </c>
      <c r="B1736" s="1">
        <v>45946.333333333343</v>
      </c>
      <c r="C1736">
        <v>8</v>
      </c>
      <c r="D1736" t="s">
        <v>56</v>
      </c>
      <c r="E1736">
        <v>10</v>
      </c>
      <c r="F1736" t="s">
        <v>39</v>
      </c>
      <c r="G1736" t="s">
        <v>33</v>
      </c>
      <c r="H1736" t="s">
        <v>51</v>
      </c>
      <c r="I1736" t="s">
        <v>25</v>
      </c>
      <c r="J1736" t="s">
        <v>15</v>
      </c>
      <c r="K1736" s="2">
        <v>17400</v>
      </c>
      <c r="L1736" s="3">
        <v>14</v>
      </c>
      <c r="M1736" s="3">
        <v>70.3</v>
      </c>
      <c r="N1736" s="3">
        <v>85.7</v>
      </c>
      <c r="O1736" s="2">
        <v>17</v>
      </c>
      <c r="P1736">
        <v>0</v>
      </c>
      <c r="Q1736" t="s">
        <v>14</v>
      </c>
      <c r="R1736" s="4">
        <v>44.43</v>
      </c>
      <c r="S1736" s="4">
        <v>11.07</v>
      </c>
      <c r="T1736" t="s">
        <v>34</v>
      </c>
      <c r="U1736" s="4">
        <v>5.81</v>
      </c>
      <c r="V1736" s="4">
        <v>2.5529999999999999</v>
      </c>
      <c r="W1736" s="4">
        <v>33.36</v>
      </c>
    </row>
    <row r="1737" spans="1:23" ht="15" customHeight="1" x14ac:dyDescent="0.25">
      <c r="A1737">
        <v>290</v>
      </c>
      <c r="B1737" s="1">
        <v>45946.333333333343</v>
      </c>
      <c r="C1737">
        <v>8</v>
      </c>
      <c r="D1737" t="s">
        <v>56</v>
      </c>
      <c r="E1737">
        <v>10</v>
      </c>
      <c r="F1737" t="s">
        <v>39</v>
      </c>
      <c r="G1737" t="s">
        <v>33</v>
      </c>
      <c r="H1737" t="s">
        <v>53</v>
      </c>
      <c r="I1737" t="s">
        <v>19</v>
      </c>
      <c r="J1737" t="s">
        <v>26</v>
      </c>
      <c r="K1737" s="2">
        <v>12500</v>
      </c>
      <c r="L1737" s="3">
        <v>11.7</v>
      </c>
      <c r="M1737" s="3">
        <v>62.2</v>
      </c>
      <c r="N1737" s="3">
        <v>69.7</v>
      </c>
      <c r="O1737" s="2">
        <v>386</v>
      </c>
      <c r="P1737">
        <v>1</v>
      </c>
      <c r="Q1737" t="s">
        <v>17</v>
      </c>
      <c r="R1737" s="4">
        <v>114.2</v>
      </c>
      <c r="S1737" s="4">
        <v>10.02</v>
      </c>
      <c r="T1737" t="s">
        <v>34</v>
      </c>
      <c r="U1737" s="4">
        <v>18.41</v>
      </c>
      <c r="V1737" s="4">
        <v>9.1359999999999992</v>
      </c>
      <c r="W1737" s="4">
        <v>104.18</v>
      </c>
    </row>
    <row r="1738" spans="1:23" ht="15" customHeight="1" x14ac:dyDescent="0.25">
      <c r="A1738">
        <v>1026</v>
      </c>
      <c r="B1738" s="1">
        <v>45946.333333333343</v>
      </c>
      <c r="C1738">
        <v>8</v>
      </c>
      <c r="D1738" t="s">
        <v>56</v>
      </c>
      <c r="E1738">
        <v>10</v>
      </c>
      <c r="F1738" t="s">
        <v>39</v>
      </c>
      <c r="G1738" t="s">
        <v>33</v>
      </c>
      <c r="H1738" t="s">
        <v>50</v>
      </c>
      <c r="I1738" t="s">
        <v>22</v>
      </c>
      <c r="J1738" t="s">
        <v>12</v>
      </c>
      <c r="K1738" s="2">
        <v>21000</v>
      </c>
      <c r="L1738" s="3">
        <v>13.6</v>
      </c>
      <c r="M1738" s="3">
        <v>60</v>
      </c>
      <c r="N1738" s="3">
        <v>87.6</v>
      </c>
      <c r="O1738" s="2">
        <v>424</v>
      </c>
      <c r="P1738">
        <v>1</v>
      </c>
      <c r="Q1738" t="s">
        <v>17</v>
      </c>
      <c r="R1738" s="4">
        <v>287.98</v>
      </c>
      <c r="S1738" s="4">
        <v>18.809999999999999</v>
      </c>
      <c r="T1738" t="s">
        <v>34</v>
      </c>
      <c r="U1738" s="4">
        <v>48.18</v>
      </c>
      <c r="V1738" s="4">
        <v>13.712999999999999</v>
      </c>
      <c r="W1738" s="4">
        <v>269.17</v>
      </c>
    </row>
    <row r="1739" spans="1:23" ht="15" customHeight="1" x14ac:dyDescent="0.25">
      <c r="A1739">
        <v>2130</v>
      </c>
      <c r="B1739" s="1">
        <v>45946.333333333343</v>
      </c>
      <c r="C1739">
        <v>8</v>
      </c>
      <c r="D1739" t="s">
        <v>56</v>
      </c>
      <c r="E1739">
        <v>10</v>
      </c>
      <c r="F1739" t="s">
        <v>39</v>
      </c>
      <c r="G1739" t="s">
        <v>33</v>
      </c>
      <c r="H1739" t="s">
        <v>52</v>
      </c>
      <c r="I1739" t="s">
        <v>13</v>
      </c>
      <c r="J1739" t="s">
        <v>21</v>
      </c>
      <c r="K1739" s="2">
        <v>9800</v>
      </c>
      <c r="L1739" s="3">
        <v>11.3</v>
      </c>
      <c r="M1739" s="3">
        <v>89.8</v>
      </c>
      <c r="N1739" s="3">
        <v>80</v>
      </c>
      <c r="O1739" s="2"/>
      <c r="P1739">
        <v>1</v>
      </c>
      <c r="Q1739" t="s">
        <v>17</v>
      </c>
      <c r="R1739" s="4">
        <v>33.03</v>
      </c>
      <c r="S1739" s="4">
        <v>0</v>
      </c>
      <c r="T1739" t="s">
        <v>34</v>
      </c>
      <c r="U1739" s="4">
        <v>5.82</v>
      </c>
      <c r="V1739" s="4">
        <v>3.37</v>
      </c>
      <c r="W1739" s="4">
        <v>33.03</v>
      </c>
    </row>
    <row r="1740" spans="1:23" ht="15" customHeight="1" x14ac:dyDescent="0.25">
      <c r="A1740">
        <v>1762</v>
      </c>
      <c r="B1740" s="1">
        <v>45946.333333333343</v>
      </c>
      <c r="C1740">
        <v>8</v>
      </c>
      <c r="D1740" t="s">
        <v>56</v>
      </c>
      <c r="E1740">
        <v>10</v>
      </c>
      <c r="F1740" t="s">
        <v>39</v>
      </c>
      <c r="G1740" t="s">
        <v>33</v>
      </c>
      <c r="H1740" t="s">
        <v>49</v>
      </c>
      <c r="I1740" t="s">
        <v>27</v>
      </c>
      <c r="J1740" t="s">
        <v>18</v>
      </c>
      <c r="K1740" s="2">
        <v>26000</v>
      </c>
      <c r="L1740" s="3">
        <v>13.4</v>
      </c>
      <c r="M1740" s="3">
        <v>71.2</v>
      </c>
      <c r="N1740" s="3">
        <v>44</v>
      </c>
      <c r="O1740" s="2">
        <v>158</v>
      </c>
      <c r="P1740">
        <v>1</v>
      </c>
      <c r="Q1740" t="s">
        <v>17</v>
      </c>
      <c r="R1740" s="4">
        <v>255.46</v>
      </c>
      <c r="S1740" s="4">
        <v>12.05</v>
      </c>
      <c r="T1740" t="s">
        <v>34</v>
      </c>
      <c r="U1740" s="4">
        <v>41.57</v>
      </c>
      <c r="V1740" s="4">
        <v>9.8249999999999993</v>
      </c>
      <c r="W1740" s="4">
        <v>243.41</v>
      </c>
    </row>
    <row r="1741" spans="1:23" ht="15" customHeight="1" x14ac:dyDescent="0.25">
      <c r="A1741">
        <v>658</v>
      </c>
      <c r="B1741" s="1">
        <v>45946.333333333343</v>
      </c>
      <c r="C1741">
        <v>8</v>
      </c>
      <c r="D1741" t="s">
        <v>56</v>
      </c>
      <c r="E1741">
        <v>10</v>
      </c>
      <c r="F1741" t="s">
        <v>39</v>
      </c>
      <c r="G1741" t="s">
        <v>33</v>
      </c>
      <c r="H1741" t="s">
        <v>54</v>
      </c>
      <c r="I1741" t="s">
        <v>16</v>
      </c>
      <c r="J1741" t="s">
        <v>24</v>
      </c>
      <c r="K1741" s="2">
        <v>8600</v>
      </c>
      <c r="L1741" s="3">
        <v>14.4</v>
      </c>
      <c r="M1741" s="3"/>
      <c r="N1741" s="3">
        <v>64.8</v>
      </c>
      <c r="O1741" s="2">
        <v>764</v>
      </c>
      <c r="P1741">
        <v>1</v>
      </c>
      <c r="Q1741" t="s">
        <v>17</v>
      </c>
      <c r="R1741" s="4">
        <v>115.58</v>
      </c>
      <c r="S1741" s="4">
        <v>4.67</v>
      </c>
      <c r="T1741" t="s">
        <v>34</v>
      </c>
      <c r="U1741" s="4">
        <v>19.579999999999998</v>
      </c>
      <c r="V1741" s="4">
        <v>13.44</v>
      </c>
      <c r="W1741" s="4">
        <v>110.91</v>
      </c>
    </row>
    <row r="1742" spans="1:23" ht="15" customHeight="1" x14ac:dyDescent="0.25">
      <c r="A1742">
        <v>291</v>
      </c>
      <c r="B1742" s="1">
        <v>45946.583333333343</v>
      </c>
      <c r="C1742">
        <v>14</v>
      </c>
      <c r="D1742" t="s">
        <v>56</v>
      </c>
      <c r="E1742">
        <v>10</v>
      </c>
      <c r="F1742" t="s">
        <v>39</v>
      </c>
      <c r="G1742" t="s">
        <v>33</v>
      </c>
      <c r="H1742" t="s">
        <v>53</v>
      </c>
      <c r="I1742" t="s">
        <v>19</v>
      </c>
      <c r="J1742" t="s">
        <v>26</v>
      </c>
      <c r="K1742" s="2">
        <v>12500</v>
      </c>
      <c r="L1742" s="3">
        <v>19.5</v>
      </c>
      <c r="M1742" s="3">
        <v>61.2</v>
      </c>
      <c r="N1742" s="3">
        <v>658.2</v>
      </c>
      <c r="O1742" s="2">
        <v>593</v>
      </c>
      <c r="P1742">
        <v>0</v>
      </c>
      <c r="Q1742" t="s">
        <v>14</v>
      </c>
      <c r="R1742" s="4">
        <v>467.26</v>
      </c>
      <c r="S1742" s="4">
        <v>97.69</v>
      </c>
      <c r="T1742" t="s">
        <v>34</v>
      </c>
      <c r="U1742" s="4">
        <v>2.15</v>
      </c>
      <c r="V1742" s="4">
        <v>37.381</v>
      </c>
      <c r="W1742" s="4">
        <v>369.57</v>
      </c>
    </row>
    <row r="1743" spans="1:23" ht="15" customHeight="1" x14ac:dyDescent="0.25">
      <c r="A1743">
        <v>659</v>
      </c>
      <c r="B1743" s="1">
        <v>45946.583333333343</v>
      </c>
      <c r="C1743">
        <v>14</v>
      </c>
      <c r="D1743" t="s">
        <v>56</v>
      </c>
      <c r="E1743">
        <v>10</v>
      </c>
      <c r="F1743" t="s">
        <v>39</v>
      </c>
      <c r="G1743" t="s">
        <v>33</v>
      </c>
      <c r="H1743" t="s">
        <v>54</v>
      </c>
      <c r="I1743" t="s">
        <v>16</v>
      </c>
      <c r="J1743" t="s">
        <v>24</v>
      </c>
      <c r="K1743" s="2">
        <v>8600</v>
      </c>
      <c r="L1743" s="3">
        <v>18.3</v>
      </c>
      <c r="M1743" s="3">
        <v>78.900000000000006</v>
      </c>
      <c r="N1743" s="3">
        <v>475.7</v>
      </c>
      <c r="O1743" s="2"/>
      <c r="P1743">
        <v>0</v>
      </c>
      <c r="Q1743" t="s">
        <v>14</v>
      </c>
      <c r="R1743" s="4">
        <v>82.53</v>
      </c>
      <c r="S1743" s="4">
        <v>34.14</v>
      </c>
      <c r="T1743" t="s">
        <v>34</v>
      </c>
      <c r="U1743" s="4">
        <v>8.51</v>
      </c>
      <c r="V1743" s="4">
        <v>9.5969999999999995</v>
      </c>
      <c r="W1743" s="4">
        <v>48.39</v>
      </c>
    </row>
    <row r="1744" spans="1:23" ht="15" customHeight="1" x14ac:dyDescent="0.25">
      <c r="A1744">
        <v>1395</v>
      </c>
      <c r="B1744" s="1">
        <v>45946.583333333343</v>
      </c>
      <c r="C1744">
        <v>14</v>
      </c>
      <c r="D1744" t="s">
        <v>56</v>
      </c>
      <c r="E1744">
        <v>10</v>
      </c>
      <c r="F1744" t="s">
        <v>39</v>
      </c>
      <c r="G1744" t="s">
        <v>33</v>
      </c>
      <c r="H1744" t="s">
        <v>51</v>
      </c>
      <c r="I1744" t="s">
        <v>25</v>
      </c>
      <c r="J1744" t="s">
        <v>15</v>
      </c>
      <c r="K1744" s="2">
        <v>17400</v>
      </c>
      <c r="L1744" s="3">
        <v>20.3</v>
      </c>
      <c r="M1744" s="3">
        <v>68.599999999999994</v>
      </c>
      <c r="N1744" s="3">
        <v>605.9</v>
      </c>
      <c r="O1744" s="2">
        <v>1340</v>
      </c>
      <c r="P1744">
        <v>0</v>
      </c>
      <c r="Q1744" t="s">
        <v>14</v>
      </c>
      <c r="R1744" s="4"/>
      <c r="S1744" s="4">
        <v>70.48</v>
      </c>
      <c r="T1744" t="s">
        <v>34</v>
      </c>
      <c r="U1744" s="4">
        <v>26.54</v>
      </c>
      <c r="V1744" s="4"/>
      <c r="W1744" s="4"/>
    </row>
    <row r="1745" spans="1:23" ht="15" customHeight="1" x14ac:dyDescent="0.25">
      <c r="A1745">
        <v>1027</v>
      </c>
      <c r="B1745" s="1">
        <v>45946.583333333343</v>
      </c>
      <c r="C1745">
        <v>14</v>
      </c>
      <c r="D1745" t="s">
        <v>56</v>
      </c>
      <c r="E1745">
        <v>10</v>
      </c>
      <c r="F1745" t="s">
        <v>39</v>
      </c>
      <c r="G1745" t="s">
        <v>33</v>
      </c>
      <c r="H1745" t="s">
        <v>50</v>
      </c>
      <c r="I1745" t="s">
        <v>22</v>
      </c>
      <c r="J1745" t="s">
        <v>12</v>
      </c>
      <c r="K1745" s="2">
        <v>21000</v>
      </c>
      <c r="L1745" s="3">
        <v>25.8</v>
      </c>
      <c r="M1745" s="3">
        <v>59.7</v>
      </c>
      <c r="N1745" s="3">
        <v>480.9</v>
      </c>
      <c r="O1745" s="2">
        <v>420</v>
      </c>
      <c r="P1745">
        <v>1</v>
      </c>
      <c r="Q1745" t="s">
        <v>20</v>
      </c>
      <c r="R1745" s="4">
        <v>217.57</v>
      </c>
      <c r="S1745" s="4">
        <v>103.6</v>
      </c>
      <c r="T1745" t="s">
        <v>34</v>
      </c>
      <c r="U1745" s="4">
        <v>19.690000000000001</v>
      </c>
      <c r="V1745" s="4">
        <v>10.36</v>
      </c>
      <c r="W1745" s="4">
        <v>113.97</v>
      </c>
    </row>
    <row r="1746" spans="1:23" ht="15" customHeight="1" x14ac:dyDescent="0.25">
      <c r="A1746">
        <v>2131</v>
      </c>
      <c r="B1746" s="1">
        <v>45946.583333333343</v>
      </c>
      <c r="C1746">
        <v>14</v>
      </c>
      <c r="D1746" t="s">
        <v>56</v>
      </c>
      <c r="E1746">
        <v>10</v>
      </c>
      <c r="F1746" t="s">
        <v>39</v>
      </c>
      <c r="G1746" t="s">
        <v>33</v>
      </c>
      <c r="H1746" t="s">
        <v>52</v>
      </c>
      <c r="I1746" t="s">
        <v>13</v>
      </c>
      <c r="J1746" t="s">
        <v>21</v>
      </c>
      <c r="K1746" s="2">
        <v>9800</v>
      </c>
      <c r="L1746" s="3">
        <v>20.2</v>
      </c>
      <c r="M1746" s="3">
        <v>64.8</v>
      </c>
      <c r="N1746" s="3">
        <v>583.6</v>
      </c>
      <c r="O1746" s="2">
        <v>71</v>
      </c>
      <c r="P1746">
        <v>0</v>
      </c>
      <c r="Q1746" t="s">
        <v>14</v>
      </c>
      <c r="R1746" s="4">
        <v>18.600000000000001</v>
      </c>
      <c r="S1746" s="4">
        <v>0</v>
      </c>
      <c r="T1746" t="s">
        <v>34</v>
      </c>
      <c r="U1746" s="4">
        <v>3.3</v>
      </c>
      <c r="V1746" s="4">
        <v>1.8979999999999999</v>
      </c>
      <c r="W1746" s="4">
        <v>18.600000000000001</v>
      </c>
    </row>
    <row r="1747" spans="1:23" ht="15" customHeight="1" x14ac:dyDescent="0.25">
      <c r="A1747">
        <v>1763</v>
      </c>
      <c r="B1747" s="1">
        <v>45946.583333333343</v>
      </c>
      <c r="C1747">
        <v>14</v>
      </c>
      <c r="D1747" t="s">
        <v>56</v>
      </c>
      <c r="E1747">
        <v>10</v>
      </c>
      <c r="F1747" t="s">
        <v>39</v>
      </c>
      <c r="G1747" t="s">
        <v>33</v>
      </c>
      <c r="H1747" t="s">
        <v>49</v>
      </c>
      <c r="I1747" t="s">
        <v>27</v>
      </c>
      <c r="J1747" t="s">
        <v>18</v>
      </c>
      <c r="K1747" s="2">
        <v>26000</v>
      </c>
      <c r="L1747" s="3">
        <v>20.5</v>
      </c>
      <c r="M1747" s="3">
        <v>69.099999999999994</v>
      </c>
      <c r="N1747" s="3">
        <v>492.6</v>
      </c>
      <c r="O1747" s="2">
        <v>190</v>
      </c>
      <c r="P1747">
        <v>0</v>
      </c>
      <c r="Q1747" t="s">
        <v>14</v>
      </c>
      <c r="R1747" s="4">
        <v>155.53</v>
      </c>
      <c r="S1747" s="4">
        <v>123.22</v>
      </c>
      <c r="T1747" t="s">
        <v>34</v>
      </c>
      <c r="U1747" s="4">
        <v>5.62</v>
      </c>
      <c r="V1747" s="4">
        <v>5.9820000000000002</v>
      </c>
      <c r="W1747" s="4">
        <v>32.31</v>
      </c>
    </row>
    <row r="1748" spans="1:23" ht="15" customHeight="1" x14ac:dyDescent="0.25">
      <c r="A1748">
        <v>2132</v>
      </c>
      <c r="B1748" s="1">
        <v>45946.833333333343</v>
      </c>
      <c r="C1748">
        <v>20</v>
      </c>
      <c r="D1748" t="s">
        <v>56</v>
      </c>
      <c r="E1748">
        <v>10</v>
      </c>
      <c r="F1748" t="s">
        <v>39</v>
      </c>
      <c r="G1748" t="s">
        <v>33</v>
      </c>
      <c r="H1748" t="s">
        <v>52</v>
      </c>
      <c r="I1748" t="s">
        <v>13</v>
      </c>
      <c r="J1748" t="s">
        <v>21</v>
      </c>
      <c r="K1748" s="2">
        <v>9800</v>
      </c>
      <c r="L1748" s="3">
        <v>16</v>
      </c>
      <c r="M1748" s="3">
        <v>92.7</v>
      </c>
      <c r="N1748" s="3">
        <v>0</v>
      </c>
      <c r="O1748" s="2">
        <v>314</v>
      </c>
      <c r="P1748">
        <v>0</v>
      </c>
      <c r="Q1748" t="s">
        <v>14</v>
      </c>
      <c r="R1748" s="4">
        <v>97.99</v>
      </c>
      <c r="S1748" s="4">
        <v>0</v>
      </c>
      <c r="T1748" t="s">
        <v>37</v>
      </c>
      <c r="U1748" s="4">
        <v>26.24</v>
      </c>
      <c r="V1748" s="4">
        <v>9.9990000000000006</v>
      </c>
      <c r="W1748" s="4">
        <v>97.99</v>
      </c>
    </row>
    <row r="1749" spans="1:23" ht="15" customHeight="1" x14ac:dyDescent="0.25">
      <c r="A1749">
        <v>1764</v>
      </c>
      <c r="B1749" s="1">
        <v>45946.833333333343</v>
      </c>
      <c r="C1749">
        <v>20</v>
      </c>
      <c r="D1749" t="s">
        <v>56</v>
      </c>
      <c r="E1749">
        <v>10</v>
      </c>
      <c r="F1749" t="s">
        <v>39</v>
      </c>
      <c r="G1749" t="s">
        <v>33</v>
      </c>
      <c r="H1749" t="s">
        <v>49</v>
      </c>
      <c r="I1749" t="s">
        <v>27</v>
      </c>
      <c r="J1749" t="s">
        <v>18</v>
      </c>
      <c r="K1749" s="2">
        <v>26000</v>
      </c>
      <c r="L1749" s="3">
        <v>15.8</v>
      </c>
      <c r="M1749" s="3">
        <v>62.1</v>
      </c>
      <c r="N1749" s="3">
        <v>0</v>
      </c>
      <c r="O1749" s="2">
        <v>153</v>
      </c>
      <c r="P1749">
        <v>1</v>
      </c>
      <c r="Q1749" t="s">
        <v>23</v>
      </c>
      <c r="R1749" s="4">
        <v>251.12</v>
      </c>
      <c r="S1749" s="4">
        <v>0</v>
      </c>
      <c r="T1749" t="s">
        <v>37</v>
      </c>
      <c r="U1749" s="4">
        <v>68.760000000000005</v>
      </c>
      <c r="V1749" s="4">
        <v>9.6579999999999995</v>
      </c>
      <c r="W1749" s="4">
        <v>251.12</v>
      </c>
    </row>
    <row r="1750" spans="1:23" ht="15" customHeight="1" x14ac:dyDescent="0.25">
      <c r="A1750">
        <v>1028</v>
      </c>
      <c r="B1750" s="1">
        <v>45946.833333333343</v>
      </c>
      <c r="C1750">
        <v>20</v>
      </c>
      <c r="D1750" t="s">
        <v>56</v>
      </c>
      <c r="E1750">
        <v>10</v>
      </c>
      <c r="F1750" t="s">
        <v>39</v>
      </c>
      <c r="G1750" t="s">
        <v>33</v>
      </c>
      <c r="H1750" t="s">
        <v>50</v>
      </c>
      <c r="I1750" t="s">
        <v>22</v>
      </c>
      <c r="J1750" t="s">
        <v>12</v>
      </c>
      <c r="K1750" s="2">
        <v>21000</v>
      </c>
      <c r="L1750" s="3">
        <v>22.2</v>
      </c>
      <c r="M1750" s="3">
        <v>56.6</v>
      </c>
      <c r="N1750" s="3">
        <v>0</v>
      </c>
      <c r="O1750" s="2">
        <v>412</v>
      </c>
      <c r="P1750">
        <v>0</v>
      </c>
      <c r="Q1750" t="s">
        <v>14</v>
      </c>
      <c r="R1750" s="4">
        <v>311.22000000000003</v>
      </c>
      <c r="S1750" s="4">
        <v>0</v>
      </c>
      <c r="T1750" t="s">
        <v>37</v>
      </c>
      <c r="U1750" s="4">
        <v>84.81</v>
      </c>
      <c r="V1750" s="4">
        <v>14.82</v>
      </c>
      <c r="W1750" s="4">
        <v>311.22000000000003</v>
      </c>
    </row>
    <row r="1751" spans="1:23" ht="15" customHeight="1" x14ac:dyDescent="0.25">
      <c r="A1751">
        <v>660</v>
      </c>
      <c r="B1751" s="1">
        <v>45946.833333333343</v>
      </c>
      <c r="C1751">
        <v>20</v>
      </c>
      <c r="D1751" t="s">
        <v>56</v>
      </c>
      <c r="E1751">
        <v>10</v>
      </c>
      <c r="F1751" t="s">
        <v>39</v>
      </c>
      <c r="G1751" t="s">
        <v>33</v>
      </c>
      <c r="H1751" t="s">
        <v>54</v>
      </c>
      <c r="I1751" t="s">
        <v>16</v>
      </c>
      <c r="J1751" t="s">
        <v>24</v>
      </c>
      <c r="K1751" s="2">
        <v>8600</v>
      </c>
      <c r="L1751" s="3">
        <v>17.899999999999999</v>
      </c>
      <c r="M1751" s="3">
        <v>79.3</v>
      </c>
      <c r="N1751" s="3">
        <v>0</v>
      </c>
      <c r="O1751" s="2">
        <v>147</v>
      </c>
      <c r="P1751">
        <v>0</v>
      </c>
      <c r="Q1751" t="s">
        <v>14</v>
      </c>
      <c r="R1751" s="4">
        <v>28.02</v>
      </c>
      <c r="S1751" s="4">
        <v>0</v>
      </c>
      <c r="T1751" t="s">
        <v>37</v>
      </c>
      <c r="U1751" s="4">
        <v>7.63</v>
      </c>
      <c r="V1751" s="4">
        <v>3.258</v>
      </c>
      <c r="W1751" s="4">
        <v>28.02</v>
      </c>
    </row>
    <row r="1752" spans="1:23" ht="15" customHeight="1" x14ac:dyDescent="0.25">
      <c r="A1752">
        <v>1396</v>
      </c>
      <c r="B1752" s="1">
        <v>45946.833333333343</v>
      </c>
      <c r="C1752">
        <v>20</v>
      </c>
      <c r="D1752" t="s">
        <v>56</v>
      </c>
      <c r="E1752">
        <v>10</v>
      </c>
      <c r="F1752" t="s">
        <v>39</v>
      </c>
      <c r="G1752" t="s">
        <v>33</v>
      </c>
      <c r="H1752" t="s">
        <v>51</v>
      </c>
      <c r="I1752" t="s">
        <v>25</v>
      </c>
      <c r="J1752" t="s">
        <v>15</v>
      </c>
      <c r="K1752" s="2">
        <v>17400</v>
      </c>
      <c r="L1752" s="3">
        <v>19.600000000000001</v>
      </c>
      <c r="M1752" s="3">
        <v>75.599999999999994</v>
      </c>
      <c r="N1752" s="3">
        <v>0</v>
      </c>
      <c r="O1752" s="2">
        <v>1360</v>
      </c>
      <c r="P1752">
        <v>0</v>
      </c>
      <c r="Q1752" t="s">
        <v>14</v>
      </c>
      <c r="R1752" s="4">
        <v>276.61</v>
      </c>
      <c r="S1752" s="4">
        <v>0</v>
      </c>
      <c r="T1752" t="s">
        <v>37</v>
      </c>
      <c r="U1752" s="4">
        <v>75.459999999999994</v>
      </c>
      <c r="V1752" s="4">
        <v>15.897</v>
      </c>
      <c r="W1752" s="4">
        <v>276.61</v>
      </c>
    </row>
    <row r="1753" spans="1:23" ht="15" customHeight="1" x14ac:dyDescent="0.25">
      <c r="A1753">
        <v>292</v>
      </c>
      <c r="B1753" s="1">
        <v>45946.833333333343</v>
      </c>
      <c r="C1753">
        <v>20</v>
      </c>
      <c r="D1753" t="s">
        <v>56</v>
      </c>
      <c r="E1753">
        <v>10</v>
      </c>
      <c r="F1753" t="s">
        <v>39</v>
      </c>
      <c r="G1753" t="s">
        <v>33</v>
      </c>
      <c r="H1753" t="s">
        <v>53</v>
      </c>
      <c r="I1753" t="s">
        <v>19</v>
      </c>
      <c r="J1753" t="s">
        <v>26</v>
      </c>
      <c r="K1753" s="2">
        <v>12500</v>
      </c>
      <c r="L1753" s="3">
        <v>16</v>
      </c>
      <c r="M1753" s="3">
        <v>63.6</v>
      </c>
      <c r="N1753" s="3"/>
      <c r="O1753" s="2">
        <v>91</v>
      </c>
      <c r="P1753">
        <v>0</v>
      </c>
      <c r="Q1753" t="s">
        <v>14</v>
      </c>
      <c r="R1753" s="4">
        <v>39.58</v>
      </c>
      <c r="S1753" s="4">
        <v>0</v>
      </c>
      <c r="T1753" t="s">
        <v>37</v>
      </c>
      <c r="U1753" s="4">
        <v>10.89</v>
      </c>
      <c r="V1753" s="4">
        <v>3.1659999999999999</v>
      </c>
      <c r="W1753" s="4">
        <v>39.58</v>
      </c>
    </row>
    <row r="1754" spans="1:23" ht="15" customHeight="1" x14ac:dyDescent="0.25">
      <c r="A1754">
        <v>2133</v>
      </c>
      <c r="B1754" s="1">
        <v>45950</v>
      </c>
      <c r="C1754">
        <v>0</v>
      </c>
      <c r="D1754" t="s">
        <v>57</v>
      </c>
      <c r="E1754">
        <v>10</v>
      </c>
      <c r="F1754" t="s">
        <v>39</v>
      </c>
      <c r="G1754" t="s">
        <v>33</v>
      </c>
      <c r="H1754" t="s">
        <v>52</v>
      </c>
      <c r="I1754" t="s">
        <v>13</v>
      </c>
      <c r="J1754" t="s">
        <v>21</v>
      </c>
      <c r="K1754" s="2">
        <v>9800</v>
      </c>
      <c r="L1754" s="3">
        <v>15.6</v>
      </c>
      <c r="M1754" s="3">
        <v>70.900000000000006</v>
      </c>
      <c r="N1754" s="3">
        <v>0</v>
      </c>
      <c r="O1754" s="2">
        <v>297</v>
      </c>
      <c r="P1754">
        <v>1</v>
      </c>
      <c r="Q1754" t="s">
        <v>23</v>
      </c>
      <c r="R1754" s="4">
        <v>108.32</v>
      </c>
      <c r="S1754" s="4">
        <v>0</v>
      </c>
      <c r="T1754" t="s">
        <v>31</v>
      </c>
      <c r="U1754" s="4">
        <v>12.14</v>
      </c>
      <c r="V1754" s="4">
        <v>11.053000000000001</v>
      </c>
      <c r="W1754" s="4">
        <v>108.32</v>
      </c>
    </row>
    <row r="1755" spans="1:23" ht="15" customHeight="1" x14ac:dyDescent="0.25">
      <c r="A1755">
        <v>1029</v>
      </c>
      <c r="B1755" s="1">
        <v>45950</v>
      </c>
      <c r="C1755">
        <v>0</v>
      </c>
      <c r="D1755" t="s">
        <v>57</v>
      </c>
      <c r="E1755">
        <v>10</v>
      </c>
      <c r="F1755" t="s">
        <v>39</v>
      </c>
      <c r="G1755" t="s">
        <v>33</v>
      </c>
      <c r="H1755" t="s">
        <v>50</v>
      </c>
      <c r="I1755" t="s">
        <v>22</v>
      </c>
      <c r="J1755" t="s">
        <v>12</v>
      </c>
      <c r="K1755" s="2">
        <v>21000</v>
      </c>
      <c r="L1755" s="3">
        <v>14.3</v>
      </c>
      <c r="M1755" s="3">
        <v>69.5</v>
      </c>
      <c r="N1755" s="3">
        <v>0</v>
      </c>
      <c r="O1755" s="2">
        <v>200</v>
      </c>
      <c r="P1755">
        <v>1</v>
      </c>
      <c r="Q1755" t="s">
        <v>17</v>
      </c>
      <c r="R1755" s="4">
        <v>168.28</v>
      </c>
      <c r="S1755" s="4">
        <v>0</v>
      </c>
      <c r="T1755" t="s">
        <v>31</v>
      </c>
      <c r="U1755" s="4">
        <v>18.36</v>
      </c>
      <c r="V1755" s="4">
        <v>8.0129999999999999</v>
      </c>
      <c r="W1755" s="4">
        <v>168.28</v>
      </c>
    </row>
    <row r="1756" spans="1:23" ht="15" customHeight="1" x14ac:dyDescent="0.25">
      <c r="A1756">
        <v>1765</v>
      </c>
      <c r="B1756" s="1">
        <v>45950</v>
      </c>
      <c r="C1756">
        <v>0</v>
      </c>
      <c r="D1756" t="s">
        <v>57</v>
      </c>
      <c r="E1756">
        <v>10</v>
      </c>
      <c r="F1756" t="s">
        <v>39</v>
      </c>
      <c r="G1756" t="s">
        <v>33</v>
      </c>
      <c r="H1756" t="s">
        <v>49</v>
      </c>
      <c r="I1756" t="s">
        <v>27</v>
      </c>
      <c r="J1756" t="s">
        <v>18</v>
      </c>
      <c r="K1756" s="2">
        <v>26000</v>
      </c>
      <c r="L1756" s="3">
        <v>8.9</v>
      </c>
      <c r="M1756" s="3">
        <v>75.400000000000006</v>
      </c>
      <c r="N1756" s="3">
        <v>0</v>
      </c>
      <c r="O1756" s="2">
        <v>54</v>
      </c>
      <c r="P1756">
        <v>1</v>
      </c>
      <c r="Q1756" t="s">
        <v>17</v>
      </c>
      <c r="R1756" s="4">
        <v>128.71</v>
      </c>
      <c r="S1756" s="4">
        <v>0</v>
      </c>
      <c r="T1756" t="s">
        <v>31</v>
      </c>
      <c r="U1756" s="4">
        <v>14.09</v>
      </c>
      <c r="V1756" s="4">
        <v>4.95</v>
      </c>
      <c r="W1756" s="4">
        <v>128.71</v>
      </c>
    </row>
    <row r="1757" spans="1:23" ht="15" customHeight="1" x14ac:dyDescent="0.25">
      <c r="A1757">
        <v>1397</v>
      </c>
      <c r="B1757" s="1">
        <v>45950</v>
      </c>
      <c r="C1757">
        <v>0</v>
      </c>
      <c r="D1757" t="s">
        <v>57</v>
      </c>
      <c r="E1757">
        <v>10</v>
      </c>
      <c r="F1757" t="s">
        <v>39</v>
      </c>
      <c r="G1757" t="s">
        <v>33</v>
      </c>
      <c r="H1757" t="s">
        <v>51</v>
      </c>
      <c r="I1757" t="s">
        <v>25</v>
      </c>
      <c r="J1757" t="s">
        <v>15</v>
      </c>
      <c r="K1757" s="2">
        <v>17400</v>
      </c>
      <c r="L1757" s="3">
        <v>11.6</v>
      </c>
      <c r="M1757" s="3">
        <v>68.8</v>
      </c>
      <c r="N1757" s="3">
        <v>0</v>
      </c>
      <c r="O1757" s="2">
        <v>125</v>
      </c>
      <c r="P1757">
        <v>0</v>
      </c>
      <c r="Q1757" t="s">
        <v>14</v>
      </c>
      <c r="R1757" s="4">
        <v>55.12</v>
      </c>
      <c r="S1757" s="4">
        <v>0</v>
      </c>
      <c r="T1757" t="s">
        <v>31</v>
      </c>
      <c r="U1757" s="4">
        <v>6.17</v>
      </c>
      <c r="V1757" s="4">
        <v>3.1680000000000001</v>
      </c>
      <c r="W1757" s="4">
        <v>55.12</v>
      </c>
    </row>
    <row r="1758" spans="1:23" ht="15" customHeight="1" x14ac:dyDescent="0.25">
      <c r="A1758">
        <v>661</v>
      </c>
      <c r="B1758" s="1">
        <v>45950</v>
      </c>
      <c r="C1758">
        <v>0</v>
      </c>
      <c r="D1758" t="s">
        <v>57</v>
      </c>
      <c r="E1758">
        <v>10</v>
      </c>
      <c r="F1758" t="s">
        <v>39</v>
      </c>
      <c r="G1758" t="s">
        <v>33</v>
      </c>
      <c r="H1758" t="s">
        <v>54</v>
      </c>
      <c r="I1758" t="s">
        <v>16</v>
      </c>
      <c r="J1758" t="s">
        <v>24</v>
      </c>
      <c r="K1758" s="2">
        <v>8600</v>
      </c>
      <c r="L1758" s="3">
        <v>11.8</v>
      </c>
      <c r="M1758" s="3">
        <v>99</v>
      </c>
      <c r="N1758" s="3">
        <v>0</v>
      </c>
      <c r="O1758" s="2">
        <v>69</v>
      </c>
      <c r="P1758">
        <v>1</v>
      </c>
      <c r="Q1758" t="s">
        <v>17</v>
      </c>
      <c r="R1758" s="4">
        <v>270.08999999999997</v>
      </c>
      <c r="S1758" s="4">
        <v>0</v>
      </c>
      <c r="T1758" t="s">
        <v>31</v>
      </c>
      <c r="U1758" s="4">
        <v>2.89</v>
      </c>
      <c r="V1758" s="4">
        <v>31.405999999999999</v>
      </c>
      <c r="W1758" s="4">
        <v>270.08999999999997</v>
      </c>
    </row>
    <row r="1759" spans="1:23" ht="15" customHeight="1" x14ac:dyDescent="0.25">
      <c r="A1759">
        <v>293</v>
      </c>
      <c r="B1759" s="1">
        <v>45950</v>
      </c>
      <c r="C1759">
        <v>0</v>
      </c>
      <c r="D1759" t="s">
        <v>57</v>
      </c>
      <c r="E1759">
        <v>10</v>
      </c>
      <c r="F1759" t="s">
        <v>39</v>
      </c>
      <c r="G1759" t="s">
        <v>33</v>
      </c>
      <c r="H1759" t="s">
        <v>53</v>
      </c>
      <c r="I1759" t="s">
        <v>19</v>
      </c>
      <c r="J1759" t="s">
        <v>26</v>
      </c>
      <c r="K1759" s="2">
        <v>12500</v>
      </c>
      <c r="L1759" s="3">
        <v>9.1</v>
      </c>
      <c r="M1759" s="3">
        <v>71.400000000000006</v>
      </c>
      <c r="N1759" s="3">
        <v>0</v>
      </c>
      <c r="O1759" s="2">
        <v>5</v>
      </c>
      <c r="P1759">
        <v>0</v>
      </c>
      <c r="Q1759" t="s">
        <v>14</v>
      </c>
      <c r="R1759" s="4">
        <v>24.62</v>
      </c>
      <c r="S1759" s="4">
        <v>0</v>
      </c>
      <c r="T1759" t="s">
        <v>31</v>
      </c>
      <c r="U1759" s="4">
        <v>2.69</v>
      </c>
      <c r="V1759" s="4">
        <v>1.97</v>
      </c>
      <c r="W1759" s="4">
        <v>24.62</v>
      </c>
    </row>
    <row r="1760" spans="1:23" ht="15" customHeight="1" x14ac:dyDescent="0.25">
      <c r="A1760">
        <v>1030</v>
      </c>
      <c r="B1760" s="1">
        <v>45950.333333333343</v>
      </c>
      <c r="C1760">
        <v>8</v>
      </c>
      <c r="D1760" t="s">
        <v>57</v>
      </c>
      <c r="E1760">
        <v>10</v>
      </c>
      <c r="F1760" t="s">
        <v>39</v>
      </c>
      <c r="G1760" t="s">
        <v>33</v>
      </c>
      <c r="H1760" t="s">
        <v>50</v>
      </c>
      <c r="I1760" t="s">
        <v>22</v>
      </c>
      <c r="J1760" t="s">
        <v>12</v>
      </c>
      <c r="K1760" s="2">
        <v>21000</v>
      </c>
      <c r="L1760" s="3">
        <v>15.3</v>
      </c>
      <c r="M1760" s="3"/>
      <c r="N1760" s="3">
        <v>74.3</v>
      </c>
      <c r="O1760" s="2">
        <v>412</v>
      </c>
      <c r="P1760">
        <v>1</v>
      </c>
      <c r="Q1760" t="s">
        <v>23</v>
      </c>
      <c r="R1760" s="4">
        <v>304.7</v>
      </c>
      <c r="S1760" s="4">
        <v>15.17</v>
      </c>
      <c r="T1760" t="s">
        <v>34</v>
      </c>
      <c r="U1760" s="4">
        <v>51.68</v>
      </c>
      <c r="V1760" s="4">
        <v>14.51</v>
      </c>
      <c r="W1760" s="4">
        <v>289.52999999999997</v>
      </c>
    </row>
    <row r="1761" spans="1:23" ht="15" customHeight="1" x14ac:dyDescent="0.25">
      <c r="A1761">
        <v>2134</v>
      </c>
      <c r="B1761" s="1">
        <v>45950.333333333343</v>
      </c>
      <c r="C1761">
        <v>8</v>
      </c>
      <c r="D1761" t="s">
        <v>57</v>
      </c>
      <c r="E1761">
        <v>10</v>
      </c>
      <c r="F1761" t="s">
        <v>39</v>
      </c>
      <c r="G1761" t="s">
        <v>33</v>
      </c>
      <c r="H1761" t="s">
        <v>52</v>
      </c>
      <c r="I1761" t="s">
        <v>13</v>
      </c>
      <c r="J1761" t="s">
        <v>21</v>
      </c>
      <c r="K1761" s="2">
        <v>9800</v>
      </c>
      <c r="L1761" s="3">
        <v>16.2</v>
      </c>
      <c r="M1761" s="3">
        <v>77.599999999999994</v>
      </c>
      <c r="N1761" s="3">
        <v>82.9</v>
      </c>
      <c r="O1761" s="2">
        <v>66</v>
      </c>
      <c r="P1761">
        <v>0</v>
      </c>
      <c r="Q1761" t="s">
        <v>14</v>
      </c>
      <c r="R1761" s="4">
        <v>31.91</v>
      </c>
      <c r="S1761" s="4">
        <v>0</v>
      </c>
      <c r="T1761" t="s">
        <v>34</v>
      </c>
      <c r="U1761" s="4">
        <v>5.62</v>
      </c>
      <c r="V1761" s="4">
        <v>3.2559999999999998</v>
      </c>
      <c r="W1761" s="4">
        <v>31.91</v>
      </c>
    </row>
    <row r="1762" spans="1:23" ht="15" customHeight="1" x14ac:dyDescent="0.25">
      <c r="A1762">
        <v>1766</v>
      </c>
      <c r="B1762" s="1">
        <v>45950.333333333343</v>
      </c>
      <c r="C1762">
        <v>8</v>
      </c>
      <c r="D1762" t="s">
        <v>57</v>
      </c>
      <c r="E1762">
        <v>10</v>
      </c>
      <c r="F1762" t="s">
        <v>39</v>
      </c>
      <c r="G1762" t="s">
        <v>33</v>
      </c>
      <c r="H1762" t="s">
        <v>49</v>
      </c>
      <c r="I1762" t="s">
        <v>27</v>
      </c>
      <c r="J1762" t="s">
        <v>18</v>
      </c>
      <c r="K1762" s="2">
        <v>26000</v>
      </c>
      <c r="L1762" s="3">
        <v>12.2</v>
      </c>
      <c r="M1762" s="3">
        <v>69.2</v>
      </c>
      <c r="N1762" s="3">
        <v>26.2</v>
      </c>
      <c r="O1762" s="2">
        <v>166</v>
      </c>
      <c r="P1762">
        <v>1</v>
      </c>
      <c r="Q1762" t="s">
        <v>17</v>
      </c>
      <c r="R1762" s="4">
        <v>258.44</v>
      </c>
      <c r="S1762" s="4">
        <v>7.86</v>
      </c>
      <c r="T1762" t="s">
        <v>34</v>
      </c>
      <c r="U1762" s="4">
        <v>45</v>
      </c>
      <c r="V1762" s="4">
        <v>9.94</v>
      </c>
      <c r="W1762" s="4">
        <v>250.58</v>
      </c>
    </row>
    <row r="1763" spans="1:23" ht="15" customHeight="1" x14ac:dyDescent="0.25">
      <c r="A1763">
        <v>1398</v>
      </c>
      <c r="B1763" s="1">
        <v>45950.333333333343</v>
      </c>
      <c r="C1763">
        <v>8</v>
      </c>
      <c r="D1763" t="s">
        <v>57</v>
      </c>
      <c r="E1763">
        <v>10</v>
      </c>
      <c r="F1763" t="s">
        <v>39</v>
      </c>
      <c r="G1763" t="s">
        <v>33</v>
      </c>
      <c r="H1763" t="s">
        <v>51</v>
      </c>
      <c r="I1763" t="s">
        <v>25</v>
      </c>
      <c r="J1763" t="s">
        <v>15</v>
      </c>
      <c r="K1763" s="2">
        <v>17400</v>
      </c>
      <c r="L1763" s="3">
        <v>16.2</v>
      </c>
      <c r="M1763" s="3">
        <v>83.5</v>
      </c>
      <c r="N1763" s="3">
        <v>28</v>
      </c>
      <c r="O1763" s="2">
        <v>155</v>
      </c>
      <c r="P1763">
        <v>0</v>
      </c>
      <c r="Q1763" t="s">
        <v>14</v>
      </c>
      <c r="R1763" s="4">
        <v>55.06</v>
      </c>
      <c r="S1763" s="4">
        <v>3.38</v>
      </c>
      <c r="T1763" t="s">
        <v>34</v>
      </c>
      <c r="U1763" s="4">
        <v>9.17</v>
      </c>
      <c r="V1763" s="4">
        <v>3.1640000000000001</v>
      </c>
      <c r="W1763" s="4">
        <v>51.68</v>
      </c>
    </row>
    <row r="1764" spans="1:23" ht="15" customHeight="1" x14ac:dyDescent="0.25">
      <c r="A1764">
        <v>294</v>
      </c>
      <c r="B1764" s="1">
        <v>45950.333333333343</v>
      </c>
      <c r="C1764">
        <v>8</v>
      </c>
      <c r="D1764" t="s">
        <v>57</v>
      </c>
      <c r="E1764">
        <v>10</v>
      </c>
      <c r="F1764" t="s">
        <v>39</v>
      </c>
      <c r="G1764" t="s">
        <v>33</v>
      </c>
      <c r="H1764" t="s">
        <v>53</v>
      </c>
      <c r="I1764" t="s">
        <v>19</v>
      </c>
      <c r="J1764" t="s">
        <v>26</v>
      </c>
      <c r="K1764" s="2">
        <v>12500</v>
      </c>
      <c r="L1764" s="3">
        <v>13.7</v>
      </c>
      <c r="M1764" s="3">
        <v>54.8</v>
      </c>
      <c r="N1764" s="3">
        <v>69.599999999999994</v>
      </c>
      <c r="O1764" s="2">
        <v>292</v>
      </c>
      <c r="P1764">
        <v>1</v>
      </c>
      <c r="Q1764" t="s">
        <v>17</v>
      </c>
      <c r="R1764" s="4">
        <v>100.88</v>
      </c>
      <c r="S1764" s="4">
        <v>9.5299999999999994</v>
      </c>
      <c r="T1764" t="s">
        <v>34</v>
      </c>
      <c r="U1764" s="4">
        <v>16.239999999999998</v>
      </c>
      <c r="V1764" s="4">
        <v>8.07</v>
      </c>
      <c r="W1764" s="4">
        <v>91.35</v>
      </c>
    </row>
    <row r="1765" spans="1:23" ht="15" customHeight="1" x14ac:dyDescent="0.25">
      <c r="A1765">
        <v>662</v>
      </c>
      <c r="B1765" s="1">
        <v>45950.333333333343</v>
      </c>
      <c r="C1765">
        <v>8</v>
      </c>
      <c r="D1765" t="s">
        <v>57</v>
      </c>
      <c r="E1765">
        <v>10</v>
      </c>
      <c r="F1765" t="s">
        <v>39</v>
      </c>
      <c r="G1765" t="s">
        <v>33</v>
      </c>
      <c r="H1765" t="s">
        <v>54</v>
      </c>
      <c r="I1765" t="s">
        <v>16</v>
      </c>
      <c r="J1765" t="s">
        <v>24</v>
      </c>
      <c r="K1765" s="2">
        <v>8600</v>
      </c>
      <c r="L1765" s="3">
        <v>12.2</v>
      </c>
      <c r="M1765" s="3">
        <v>86.1</v>
      </c>
      <c r="N1765" s="3">
        <v>66.099999999999994</v>
      </c>
      <c r="O1765" s="2">
        <v>811</v>
      </c>
      <c r="P1765">
        <v>1</v>
      </c>
      <c r="Q1765" t="s">
        <v>17</v>
      </c>
      <c r="R1765" s="4">
        <v>122.09</v>
      </c>
      <c r="S1765" s="4">
        <v>5.45</v>
      </c>
      <c r="T1765" t="s">
        <v>34</v>
      </c>
      <c r="U1765" s="4">
        <v>20.74</v>
      </c>
      <c r="V1765" s="4">
        <v>14.196999999999999</v>
      </c>
      <c r="W1765" s="4">
        <v>116.64</v>
      </c>
    </row>
    <row r="1766" spans="1:23" ht="15" customHeight="1" x14ac:dyDescent="0.25">
      <c r="A1766">
        <v>663</v>
      </c>
      <c r="B1766" s="1">
        <v>45950.583333333343</v>
      </c>
      <c r="C1766">
        <v>14</v>
      </c>
      <c r="D1766" t="s">
        <v>57</v>
      </c>
      <c r="E1766">
        <v>10</v>
      </c>
      <c r="F1766" t="s">
        <v>39</v>
      </c>
      <c r="G1766" t="s">
        <v>33</v>
      </c>
      <c r="H1766" t="s">
        <v>54</v>
      </c>
      <c r="I1766" t="s">
        <v>16</v>
      </c>
      <c r="J1766" t="s">
        <v>24</v>
      </c>
      <c r="K1766" s="2">
        <v>8600</v>
      </c>
      <c r="L1766" s="3">
        <v>16.8</v>
      </c>
      <c r="M1766" s="3">
        <v>81.7</v>
      </c>
      <c r="N1766" s="3">
        <v>567.1</v>
      </c>
      <c r="O1766" s="2"/>
      <c r="P1766">
        <v>0</v>
      </c>
      <c r="Q1766" t="s">
        <v>14</v>
      </c>
      <c r="R1766" s="4">
        <v>87.9</v>
      </c>
      <c r="S1766" s="4">
        <v>44.07</v>
      </c>
      <c r="T1766" t="s">
        <v>34</v>
      </c>
      <c r="U1766" s="4">
        <v>7.74</v>
      </c>
      <c r="V1766" s="4">
        <v>10.221</v>
      </c>
      <c r="W1766" s="4">
        <v>43.83</v>
      </c>
    </row>
    <row r="1767" spans="1:23" ht="15" customHeight="1" x14ac:dyDescent="0.25">
      <c r="A1767">
        <v>1767</v>
      </c>
      <c r="B1767" s="1">
        <v>45950.583333333343</v>
      </c>
      <c r="C1767">
        <v>14</v>
      </c>
      <c r="D1767" t="s">
        <v>57</v>
      </c>
      <c r="E1767">
        <v>10</v>
      </c>
      <c r="F1767" t="s">
        <v>39</v>
      </c>
      <c r="G1767" t="s">
        <v>33</v>
      </c>
      <c r="H1767" t="s">
        <v>49</v>
      </c>
      <c r="I1767" t="s">
        <v>27</v>
      </c>
      <c r="J1767" t="s">
        <v>18</v>
      </c>
      <c r="K1767" s="2">
        <v>26000</v>
      </c>
      <c r="L1767" s="3">
        <v>20.399999999999999</v>
      </c>
      <c r="M1767" s="3">
        <v>71.3</v>
      </c>
      <c r="N1767" s="3">
        <v>505.7</v>
      </c>
      <c r="O1767" s="2">
        <v>172</v>
      </c>
      <c r="P1767">
        <v>0</v>
      </c>
      <c r="Q1767" t="s">
        <v>14</v>
      </c>
      <c r="R1767" s="4">
        <v>149.5</v>
      </c>
      <c r="S1767" s="4">
        <v>141.63999999999999</v>
      </c>
      <c r="T1767" t="s">
        <v>34</v>
      </c>
      <c r="U1767" s="4">
        <v>1.4</v>
      </c>
      <c r="V1767" s="4">
        <v>5.75</v>
      </c>
      <c r="W1767" s="4">
        <v>7.86</v>
      </c>
    </row>
    <row r="1768" spans="1:23" ht="15" customHeight="1" x14ac:dyDescent="0.25">
      <c r="A1768">
        <v>2135</v>
      </c>
      <c r="B1768" s="1">
        <v>45950.583333333343</v>
      </c>
      <c r="C1768">
        <v>14</v>
      </c>
      <c r="D1768" t="s">
        <v>57</v>
      </c>
      <c r="E1768">
        <v>10</v>
      </c>
      <c r="F1768" t="s">
        <v>39</v>
      </c>
      <c r="G1768" t="s">
        <v>33</v>
      </c>
      <c r="H1768" t="s">
        <v>52</v>
      </c>
      <c r="I1768" t="s">
        <v>13</v>
      </c>
      <c r="J1768" t="s">
        <v>21</v>
      </c>
      <c r="K1768" s="2">
        <v>9800</v>
      </c>
      <c r="L1768" s="3">
        <v>22.4</v>
      </c>
      <c r="M1768" s="3">
        <v>73.400000000000006</v>
      </c>
      <c r="N1768" s="3">
        <v>554.70000000000005</v>
      </c>
      <c r="O1768" s="2">
        <v>77</v>
      </c>
      <c r="P1768">
        <v>0</v>
      </c>
      <c r="Q1768" t="s">
        <v>14</v>
      </c>
      <c r="R1768" s="4">
        <v>19.68</v>
      </c>
      <c r="S1768" s="4">
        <v>0</v>
      </c>
      <c r="T1768" t="s">
        <v>34</v>
      </c>
      <c r="U1768" s="4">
        <v>3.42</v>
      </c>
      <c r="V1768" s="4">
        <v>2.008</v>
      </c>
      <c r="W1768" s="4">
        <v>19.68</v>
      </c>
    </row>
    <row r="1769" spans="1:23" ht="15" customHeight="1" x14ac:dyDescent="0.25">
      <c r="A1769">
        <v>1031</v>
      </c>
      <c r="B1769" s="1">
        <v>45950.583333333343</v>
      </c>
      <c r="C1769">
        <v>14</v>
      </c>
      <c r="D1769" t="s">
        <v>57</v>
      </c>
      <c r="E1769">
        <v>10</v>
      </c>
      <c r="F1769" t="s">
        <v>39</v>
      </c>
      <c r="G1769" t="s">
        <v>33</v>
      </c>
      <c r="H1769" t="s">
        <v>50</v>
      </c>
      <c r="I1769" t="s">
        <v>22</v>
      </c>
      <c r="J1769" t="s">
        <v>12</v>
      </c>
      <c r="K1769" s="2">
        <v>21000</v>
      </c>
      <c r="L1769" s="3">
        <v>25.3</v>
      </c>
      <c r="M1769" s="3">
        <v>59.1</v>
      </c>
      <c r="N1769" s="3">
        <v>643</v>
      </c>
      <c r="O1769" s="2">
        <v>389</v>
      </c>
      <c r="P1769">
        <v>1</v>
      </c>
      <c r="Q1769" t="s">
        <v>20</v>
      </c>
      <c r="R1769" s="4">
        <v>198.54</v>
      </c>
      <c r="S1769" s="4">
        <v>121.32</v>
      </c>
      <c r="T1769" t="s">
        <v>34</v>
      </c>
      <c r="U1769" s="4">
        <v>13.45</v>
      </c>
      <c r="V1769" s="4">
        <v>9.4540000000000006</v>
      </c>
      <c r="W1769" s="4">
        <v>77.22</v>
      </c>
    </row>
    <row r="1770" spans="1:23" ht="15" customHeight="1" x14ac:dyDescent="0.25">
      <c r="A1770">
        <v>1399</v>
      </c>
      <c r="B1770" s="1">
        <v>45950.583333333343</v>
      </c>
      <c r="C1770">
        <v>14</v>
      </c>
      <c r="D1770" t="s">
        <v>57</v>
      </c>
      <c r="E1770">
        <v>10</v>
      </c>
      <c r="F1770" t="s">
        <v>39</v>
      </c>
      <c r="G1770" t="s">
        <v>33</v>
      </c>
      <c r="H1770" t="s">
        <v>51</v>
      </c>
      <c r="I1770" t="s">
        <v>25</v>
      </c>
      <c r="J1770" t="s">
        <v>15</v>
      </c>
      <c r="K1770" s="2">
        <v>17400</v>
      </c>
      <c r="L1770" s="3">
        <v>22.8</v>
      </c>
      <c r="M1770" s="3">
        <v>70.3</v>
      </c>
      <c r="N1770" s="3">
        <v>642.9</v>
      </c>
      <c r="O1770" s="2">
        <v>1366</v>
      </c>
      <c r="P1770">
        <v>0</v>
      </c>
      <c r="Q1770" t="s">
        <v>14</v>
      </c>
      <c r="R1770" s="4">
        <v>198.61</v>
      </c>
      <c r="S1770" s="4">
        <v>86.21</v>
      </c>
      <c r="T1770" t="s">
        <v>34</v>
      </c>
      <c r="U1770" s="4">
        <v>20.329999999999998</v>
      </c>
      <c r="V1770" s="4">
        <v>11.414</v>
      </c>
      <c r="W1770" s="4">
        <v>112.4</v>
      </c>
    </row>
    <row r="1771" spans="1:23" ht="15" customHeight="1" x14ac:dyDescent="0.25">
      <c r="A1771">
        <v>295</v>
      </c>
      <c r="B1771" s="1">
        <v>45950.583333333343</v>
      </c>
      <c r="C1771">
        <v>14</v>
      </c>
      <c r="D1771" t="s">
        <v>57</v>
      </c>
      <c r="E1771">
        <v>10</v>
      </c>
      <c r="F1771" t="s">
        <v>39</v>
      </c>
      <c r="G1771" t="s">
        <v>33</v>
      </c>
      <c r="H1771" t="s">
        <v>53</v>
      </c>
      <c r="I1771" t="s">
        <v>19</v>
      </c>
      <c r="J1771" t="s">
        <v>26</v>
      </c>
      <c r="K1771" s="2">
        <v>12500</v>
      </c>
      <c r="L1771" s="3">
        <v>22.6</v>
      </c>
      <c r="M1771" s="3"/>
      <c r="N1771" s="3">
        <v>569.79999999999995</v>
      </c>
      <c r="O1771" s="2">
        <v>533</v>
      </c>
      <c r="P1771">
        <v>0</v>
      </c>
      <c r="Q1771" t="s">
        <v>14</v>
      </c>
      <c r="R1771" s="4">
        <v>103.19</v>
      </c>
      <c r="S1771" s="4">
        <v>86.92</v>
      </c>
      <c r="T1771" t="s">
        <v>34</v>
      </c>
      <c r="U1771" s="4">
        <v>2.81</v>
      </c>
      <c r="V1771" s="4">
        <v>8.2550000000000008</v>
      </c>
      <c r="W1771" s="4">
        <v>16.27</v>
      </c>
    </row>
    <row r="1772" spans="1:23" ht="15" customHeight="1" x14ac:dyDescent="0.25">
      <c r="A1772">
        <v>1768</v>
      </c>
      <c r="B1772" s="1">
        <v>45950.833333333343</v>
      </c>
      <c r="C1772">
        <v>20</v>
      </c>
      <c r="D1772" t="s">
        <v>57</v>
      </c>
      <c r="E1772">
        <v>10</v>
      </c>
      <c r="F1772" t="s">
        <v>39</v>
      </c>
      <c r="G1772" t="s">
        <v>33</v>
      </c>
      <c r="H1772" t="s">
        <v>49</v>
      </c>
      <c r="I1772" t="s">
        <v>27</v>
      </c>
      <c r="J1772" t="s">
        <v>18</v>
      </c>
      <c r="K1772" s="2">
        <v>26000</v>
      </c>
      <c r="L1772" s="3">
        <v>17.7</v>
      </c>
      <c r="M1772" s="3">
        <v>67.2</v>
      </c>
      <c r="N1772" s="3">
        <v>0</v>
      </c>
      <c r="O1772" s="2">
        <v>151</v>
      </c>
      <c r="P1772">
        <v>0</v>
      </c>
      <c r="Q1772" t="s">
        <v>14</v>
      </c>
      <c r="R1772" s="4">
        <v>232.01</v>
      </c>
      <c r="S1772" s="4">
        <v>0</v>
      </c>
      <c r="T1772" t="s">
        <v>37</v>
      </c>
      <c r="U1772" s="4">
        <v>63.15</v>
      </c>
      <c r="V1772" s="4">
        <v>8.923</v>
      </c>
      <c r="W1772" s="4">
        <v>232.01</v>
      </c>
    </row>
    <row r="1773" spans="1:23" ht="15" customHeight="1" x14ac:dyDescent="0.25">
      <c r="A1773">
        <v>2136</v>
      </c>
      <c r="B1773" s="1">
        <v>45950.833333333343</v>
      </c>
      <c r="C1773">
        <v>20</v>
      </c>
      <c r="D1773" t="s">
        <v>57</v>
      </c>
      <c r="E1773">
        <v>10</v>
      </c>
      <c r="F1773" t="s">
        <v>39</v>
      </c>
      <c r="G1773" t="s">
        <v>33</v>
      </c>
      <c r="H1773" t="s">
        <v>52</v>
      </c>
      <c r="I1773" t="s">
        <v>13</v>
      </c>
      <c r="J1773" t="s">
        <v>21</v>
      </c>
      <c r="K1773" s="2">
        <v>9800</v>
      </c>
      <c r="L1773" s="3">
        <v>16</v>
      </c>
      <c r="M1773" s="3">
        <v>85.6</v>
      </c>
      <c r="N1773" s="3">
        <v>0</v>
      </c>
      <c r="O1773" s="2">
        <v>317</v>
      </c>
      <c r="P1773">
        <v>0</v>
      </c>
      <c r="Q1773" t="s">
        <v>14</v>
      </c>
      <c r="R1773" s="4">
        <v>97.34</v>
      </c>
      <c r="S1773" s="4">
        <v>0</v>
      </c>
      <c r="T1773" t="s">
        <v>37</v>
      </c>
      <c r="U1773" s="4">
        <v>26.6</v>
      </c>
      <c r="V1773" s="4">
        <v>9.9329999999999998</v>
      </c>
      <c r="W1773" s="4">
        <v>97.34</v>
      </c>
    </row>
    <row r="1774" spans="1:23" ht="15" customHeight="1" x14ac:dyDescent="0.25">
      <c r="A1774">
        <v>664</v>
      </c>
      <c r="B1774" s="1">
        <v>45950.833333333343</v>
      </c>
      <c r="C1774">
        <v>20</v>
      </c>
      <c r="D1774" t="s">
        <v>57</v>
      </c>
      <c r="E1774">
        <v>10</v>
      </c>
      <c r="F1774" t="s">
        <v>39</v>
      </c>
      <c r="G1774" t="s">
        <v>33</v>
      </c>
      <c r="H1774" t="s">
        <v>54</v>
      </c>
      <c r="I1774" t="s">
        <v>16</v>
      </c>
      <c r="J1774" t="s">
        <v>24</v>
      </c>
      <c r="K1774" s="2">
        <v>8600</v>
      </c>
      <c r="L1774" s="3">
        <v>16.8</v>
      </c>
      <c r="M1774" s="3">
        <v>78.599999999999994</v>
      </c>
      <c r="N1774" s="3">
        <v>0</v>
      </c>
      <c r="O1774" s="2">
        <v>93</v>
      </c>
      <c r="P1774">
        <v>0</v>
      </c>
      <c r="Q1774" t="s">
        <v>14</v>
      </c>
      <c r="R1774" s="4">
        <v>22.43</v>
      </c>
      <c r="S1774" s="4">
        <v>0</v>
      </c>
      <c r="T1774" t="s">
        <v>37</v>
      </c>
      <c r="U1774" s="4">
        <v>6.06</v>
      </c>
      <c r="V1774" s="4">
        <v>2.6080000000000001</v>
      </c>
      <c r="W1774" s="4">
        <v>22.43</v>
      </c>
    </row>
    <row r="1775" spans="1:23" ht="15" customHeight="1" x14ac:dyDescent="0.25">
      <c r="A1775">
        <v>296</v>
      </c>
      <c r="B1775" s="1">
        <v>45950.833333333343</v>
      </c>
      <c r="C1775">
        <v>20</v>
      </c>
      <c r="D1775" t="s">
        <v>57</v>
      </c>
      <c r="E1775">
        <v>10</v>
      </c>
      <c r="F1775" t="s">
        <v>39</v>
      </c>
      <c r="G1775" t="s">
        <v>33</v>
      </c>
      <c r="H1775" t="s">
        <v>53</v>
      </c>
      <c r="I1775" t="s">
        <v>19</v>
      </c>
      <c r="J1775" t="s">
        <v>26</v>
      </c>
      <c r="K1775" s="2">
        <v>12500</v>
      </c>
      <c r="L1775" s="3">
        <v>19.100000000000001</v>
      </c>
      <c r="M1775" s="3">
        <v>65.8</v>
      </c>
      <c r="N1775" s="3">
        <v>0</v>
      </c>
      <c r="O1775" s="2">
        <v>116</v>
      </c>
      <c r="P1775">
        <v>0</v>
      </c>
      <c r="Q1775" t="s">
        <v>14</v>
      </c>
      <c r="R1775" s="4">
        <v>45.32</v>
      </c>
      <c r="S1775" s="4">
        <v>0</v>
      </c>
      <c r="T1775" t="s">
        <v>37</v>
      </c>
      <c r="U1775" s="4">
        <v>12.14</v>
      </c>
      <c r="V1775" s="4">
        <v>3.6259999999999999</v>
      </c>
      <c r="W1775" s="4">
        <v>45.32</v>
      </c>
    </row>
    <row r="1776" spans="1:23" ht="15" customHeight="1" x14ac:dyDescent="0.25">
      <c r="A1776">
        <v>1400</v>
      </c>
      <c r="B1776" s="1">
        <v>45950.833333333343</v>
      </c>
      <c r="C1776">
        <v>20</v>
      </c>
      <c r="D1776" t="s">
        <v>57</v>
      </c>
      <c r="E1776">
        <v>10</v>
      </c>
      <c r="F1776" t="s">
        <v>39</v>
      </c>
      <c r="G1776" t="s">
        <v>33</v>
      </c>
      <c r="H1776" t="s">
        <v>51</v>
      </c>
      <c r="I1776" t="s">
        <v>25</v>
      </c>
      <c r="J1776" t="s">
        <v>15</v>
      </c>
      <c r="K1776" s="2">
        <v>17400</v>
      </c>
      <c r="L1776" s="3">
        <v>16.2</v>
      </c>
      <c r="M1776" s="3">
        <v>74.3</v>
      </c>
      <c r="N1776" s="3">
        <v>0</v>
      </c>
      <c r="O1776" s="2">
        <v>1448</v>
      </c>
      <c r="P1776">
        <v>0</v>
      </c>
      <c r="Q1776" t="s">
        <v>14</v>
      </c>
      <c r="R1776" s="4">
        <v>258.48</v>
      </c>
      <c r="S1776" s="4">
        <v>0</v>
      </c>
      <c r="T1776" t="s">
        <v>37</v>
      </c>
      <c r="U1776" s="4">
        <v>68.88</v>
      </c>
      <c r="V1776" s="4">
        <v>14.855</v>
      </c>
      <c r="W1776" s="4">
        <v>258.48</v>
      </c>
    </row>
    <row r="1777" spans="1:23" ht="15" customHeight="1" x14ac:dyDescent="0.25">
      <c r="A1777">
        <v>1032</v>
      </c>
      <c r="B1777" s="1">
        <v>45950.833333333343</v>
      </c>
      <c r="C1777">
        <v>20</v>
      </c>
      <c r="D1777" t="s">
        <v>57</v>
      </c>
      <c r="E1777">
        <v>10</v>
      </c>
      <c r="F1777" t="s">
        <v>39</v>
      </c>
      <c r="G1777" t="s">
        <v>33</v>
      </c>
      <c r="H1777" t="s">
        <v>50</v>
      </c>
      <c r="I1777" t="s">
        <v>22</v>
      </c>
      <c r="J1777" t="s">
        <v>12</v>
      </c>
      <c r="K1777" s="2">
        <v>21000</v>
      </c>
      <c r="L1777" s="3">
        <v>18.3</v>
      </c>
      <c r="M1777" s="3">
        <v>67.7</v>
      </c>
      <c r="N1777" s="3">
        <v>0</v>
      </c>
      <c r="O1777" s="2">
        <v>398</v>
      </c>
      <c r="P1777">
        <v>0</v>
      </c>
      <c r="Q1777" t="s">
        <v>14</v>
      </c>
      <c r="R1777" s="4">
        <v>285.07</v>
      </c>
      <c r="S1777" s="4">
        <v>0</v>
      </c>
      <c r="T1777" t="s">
        <v>37</v>
      </c>
      <c r="U1777" s="4">
        <v>75.319999999999993</v>
      </c>
      <c r="V1777" s="4">
        <v>13.574999999999999</v>
      </c>
      <c r="W1777" s="4">
        <v>285.07</v>
      </c>
    </row>
    <row r="1778" spans="1:23" ht="15" customHeight="1" x14ac:dyDescent="0.25">
      <c r="A1778">
        <v>1033</v>
      </c>
      <c r="B1778" s="1">
        <v>45954</v>
      </c>
      <c r="C1778">
        <v>0</v>
      </c>
      <c r="D1778" t="s">
        <v>58</v>
      </c>
      <c r="E1778">
        <v>10</v>
      </c>
      <c r="F1778" t="s">
        <v>39</v>
      </c>
      <c r="G1778" t="s">
        <v>33</v>
      </c>
      <c r="H1778" t="s">
        <v>50</v>
      </c>
      <c r="I1778" t="s">
        <v>22</v>
      </c>
      <c r="J1778" t="s">
        <v>12</v>
      </c>
      <c r="K1778" s="2">
        <v>21000</v>
      </c>
      <c r="L1778" s="3">
        <v>14.3</v>
      </c>
      <c r="M1778" s="3">
        <v>71</v>
      </c>
      <c r="N1778" s="3">
        <v>0</v>
      </c>
      <c r="O1778" s="2">
        <v>243</v>
      </c>
      <c r="P1778">
        <v>1</v>
      </c>
      <c r="Q1778" t="s">
        <v>17</v>
      </c>
      <c r="R1778" s="4">
        <v>189.79</v>
      </c>
      <c r="S1778" s="4">
        <v>0</v>
      </c>
      <c r="T1778" t="s">
        <v>31</v>
      </c>
      <c r="U1778" s="4">
        <v>19.87</v>
      </c>
      <c r="V1778" s="4">
        <v>9.0380000000000003</v>
      </c>
      <c r="W1778" s="4">
        <v>189.79</v>
      </c>
    </row>
    <row r="1779" spans="1:23" ht="15" customHeight="1" x14ac:dyDescent="0.25">
      <c r="A1779">
        <v>1769</v>
      </c>
      <c r="B1779" s="1">
        <v>45954</v>
      </c>
      <c r="C1779">
        <v>0</v>
      </c>
      <c r="D1779" t="s">
        <v>58</v>
      </c>
      <c r="E1779">
        <v>10</v>
      </c>
      <c r="F1779" t="s">
        <v>39</v>
      </c>
      <c r="G1779" t="s">
        <v>33</v>
      </c>
      <c r="H1779" t="s">
        <v>49</v>
      </c>
      <c r="I1779" t="s">
        <v>27</v>
      </c>
      <c r="J1779" t="s">
        <v>18</v>
      </c>
      <c r="K1779" s="2">
        <v>26000</v>
      </c>
      <c r="L1779" s="3">
        <v>8.9</v>
      </c>
      <c r="M1779" s="3">
        <v>73.8</v>
      </c>
      <c r="N1779" s="3">
        <v>0</v>
      </c>
      <c r="O1779" s="2">
        <v>31</v>
      </c>
      <c r="P1779">
        <v>1</v>
      </c>
      <c r="Q1779" t="s">
        <v>17</v>
      </c>
      <c r="R1779" s="4">
        <v>129.54</v>
      </c>
      <c r="S1779" s="4">
        <v>0</v>
      </c>
      <c r="T1779" t="s">
        <v>31</v>
      </c>
      <c r="U1779" s="4">
        <v>14.16</v>
      </c>
      <c r="V1779" s="4">
        <v>4.9820000000000002</v>
      </c>
      <c r="W1779" s="4">
        <v>129.54</v>
      </c>
    </row>
    <row r="1780" spans="1:23" ht="15" customHeight="1" x14ac:dyDescent="0.25">
      <c r="A1780">
        <v>297</v>
      </c>
      <c r="B1780" s="1">
        <v>45954</v>
      </c>
      <c r="C1780">
        <v>0</v>
      </c>
      <c r="D1780" t="s">
        <v>58</v>
      </c>
      <c r="E1780">
        <v>10</v>
      </c>
      <c r="F1780" t="s">
        <v>39</v>
      </c>
      <c r="G1780" t="s">
        <v>33</v>
      </c>
      <c r="H1780" t="s">
        <v>53</v>
      </c>
      <c r="I1780" t="s">
        <v>19</v>
      </c>
      <c r="J1780" t="s">
        <v>26</v>
      </c>
      <c r="K1780" s="2">
        <v>12500</v>
      </c>
      <c r="L1780" s="3">
        <v>11.5</v>
      </c>
      <c r="M1780" s="3">
        <v>58.8</v>
      </c>
      <c r="N1780" s="3">
        <v>0</v>
      </c>
      <c r="O1780" s="2">
        <v>12</v>
      </c>
      <c r="P1780">
        <v>0</v>
      </c>
      <c r="Q1780" t="s">
        <v>14</v>
      </c>
      <c r="R1780" s="4">
        <v>23.88</v>
      </c>
      <c r="S1780" s="4">
        <v>0</v>
      </c>
      <c r="T1780" t="s">
        <v>31</v>
      </c>
      <c r="U1780" s="4">
        <v>2.61</v>
      </c>
      <c r="V1780" s="4">
        <v>1.91</v>
      </c>
      <c r="W1780" s="4">
        <v>23.88</v>
      </c>
    </row>
    <row r="1781" spans="1:23" ht="15" customHeight="1" x14ac:dyDescent="0.25">
      <c r="A1781">
        <v>665</v>
      </c>
      <c r="B1781" s="1">
        <v>45954</v>
      </c>
      <c r="C1781">
        <v>0</v>
      </c>
      <c r="D1781" t="s">
        <v>58</v>
      </c>
      <c r="E1781">
        <v>10</v>
      </c>
      <c r="F1781" t="s">
        <v>39</v>
      </c>
      <c r="G1781" t="s">
        <v>33</v>
      </c>
      <c r="H1781" t="s">
        <v>54</v>
      </c>
      <c r="I1781" t="s">
        <v>16</v>
      </c>
      <c r="J1781" t="s">
        <v>24</v>
      </c>
      <c r="K1781" s="2">
        <v>8600</v>
      </c>
      <c r="L1781" s="3">
        <v>8.4</v>
      </c>
      <c r="M1781" s="3">
        <v>80.400000000000006</v>
      </c>
      <c r="N1781" s="3">
        <v>0</v>
      </c>
      <c r="O1781" s="2">
        <v>92</v>
      </c>
      <c r="P1781">
        <v>1</v>
      </c>
      <c r="Q1781" t="s">
        <v>17</v>
      </c>
      <c r="R1781" s="4">
        <v>27.95</v>
      </c>
      <c r="S1781" s="4">
        <v>0</v>
      </c>
      <c r="T1781" t="s">
        <v>31</v>
      </c>
      <c r="U1781" s="4">
        <v>3.14</v>
      </c>
      <c r="V1781" s="4">
        <v>3.25</v>
      </c>
      <c r="W1781" s="4">
        <v>27.95</v>
      </c>
    </row>
    <row r="1782" spans="1:23" ht="15" customHeight="1" x14ac:dyDescent="0.25">
      <c r="A1782">
        <v>2137</v>
      </c>
      <c r="B1782" s="1">
        <v>45954</v>
      </c>
      <c r="C1782">
        <v>0</v>
      </c>
      <c r="D1782" t="s">
        <v>58</v>
      </c>
      <c r="E1782">
        <v>10</v>
      </c>
      <c r="F1782" t="s">
        <v>39</v>
      </c>
      <c r="G1782" t="s">
        <v>33</v>
      </c>
      <c r="H1782" t="s">
        <v>52</v>
      </c>
      <c r="I1782" t="s">
        <v>13</v>
      </c>
      <c r="J1782" t="s">
        <v>21</v>
      </c>
      <c r="K1782" s="2">
        <v>9800</v>
      </c>
      <c r="L1782" s="3">
        <v>12.9</v>
      </c>
      <c r="M1782" s="3">
        <v>79.3</v>
      </c>
      <c r="N1782" s="3">
        <v>0</v>
      </c>
      <c r="O1782" s="2">
        <v>320</v>
      </c>
      <c r="P1782">
        <v>1</v>
      </c>
      <c r="Q1782" t="s">
        <v>17</v>
      </c>
      <c r="R1782" s="4">
        <v>100.51</v>
      </c>
      <c r="S1782" s="4">
        <v>0</v>
      </c>
      <c r="T1782" t="s">
        <v>31</v>
      </c>
      <c r="U1782" s="4">
        <v>10.73</v>
      </c>
      <c r="V1782" s="4">
        <v>10.256</v>
      </c>
      <c r="W1782" s="4">
        <v>100.51</v>
      </c>
    </row>
    <row r="1783" spans="1:23" ht="15" customHeight="1" x14ac:dyDescent="0.25">
      <c r="A1783">
        <v>1401</v>
      </c>
      <c r="B1783" s="1">
        <v>45954</v>
      </c>
      <c r="C1783">
        <v>0</v>
      </c>
      <c r="D1783" t="s">
        <v>58</v>
      </c>
      <c r="E1783">
        <v>10</v>
      </c>
      <c r="F1783" t="s">
        <v>39</v>
      </c>
      <c r="G1783" t="s">
        <v>33</v>
      </c>
      <c r="H1783" t="s">
        <v>51</v>
      </c>
      <c r="I1783" t="s">
        <v>25</v>
      </c>
      <c r="J1783" t="s">
        <v>15</v>
      </c>
      <c r="K1783" s="2">
        <v>17400</v>
      </c>
      <c r="L1783" s="3">
        <v>15.4</v>
      </c>
      <c r="M1783" s="3">
        <v>77.099999999999994</v>
      </c>
      <c r="N1783" s="3">
        <v>0</v>
      </c>
      <c r="O1783" s="2">
        <v>0</v>
      </c>
      <c r="P1783">
        <v>0</v>
      </c>
      <c r="Q1783" t="s">
        <v>14</v>
      </c>
      <c r="R1783" s="4">
        <v>46.34</v>
      </c>
      <c r="S1783" s="4">
        <v>0</v>
      </c>
      <c r="T1783" t="s">
        <v>31</v>
      </c>
      <c r="U1783" s="4">
        <v>5.13</v>
      </c>
      <c r="V1783" s="4">
        <v>2.6629999999999998</v>
      </c>
      <c r="W1783" s="4">
        <v>46.34</v>
      </c>
    </row>
    <row r="1784" spans="1:23" ht="15" customHeight="1" x14ac:dyDescent="0.25">
      <c r="A1784">
        <v>666</v>
      </c>
      <c r="B1784" s="1">
        <v>45954.333333333343</v>
      </c>
      <c r="C1784">
        <v>8</v>
      </c>
      <c r="D1784" t="s">
        <v>58</v>
      </c>
      <c r="E1784">
        <v>10</v>
      </c>
      <c r="F1784" t="s">
        <v>39</v>
      </c>
      <c r="G1784" t="s">
        <v>33</v>
      </c>
      <c r="H1784" t="s">
        <v>54</v>
      </c>
      <c r="I1784" t="s">
        <v>16</v>
      </c>
      <c r="J1784" t="s">
        <v>24</v>
      </c>
      <c r="K1784" s="2">
        <v>8600</v>
      </c>
      <c r="L1784" s="3">
        <v>13</v>
      </c>
      <c r="M1784" s="3">
        <v>83.2</v>
      </c>
      <c r="N1784" s="3">
        <v>73.8</v>
      </c>
      <c r="O1784" s="2">
        <v>842</v>
      </c>
      <c r="P1784">
        <v>1</v>
      </c>
      <c r="Q1784" t="s">
        <v>17</v>
      </c>
      <c r="R1784" s="4">
        <v>118.34</v>
      </c>
      <c r="S1784" s="4">
        <v>5.28</v>
      </c>
      <c r="T1784" t="s">
        <v>34</v>
      </c>
      <c r="U1784" s="4">
        <v>20.22</v>
      </c>
      <c r="V1784" s="4">
        <v>13.76</v>
      </c>
      <c r="W1784" s="4">
        <v>113.06</v>
      </c>
    </row>
    <row r="1785" spans="1:23" ht="15" customHeight="1" x14ac:dyDescent="0.25">
      <c r="A1785">
        <v>2138</v>
      </c>
      <c r="B1785" s="1">
        <v>45954.333333333343</v>
      </c>
      <c r="C1785">
        <v>8</v>
      </c>
      <c r="D1785" t="s">
        <v>58</v>
      </c>
      <c r="E1785">
        <v>10</v>
      </c>
      <c r="F1785" t="s">
        <v>39</v>
      </c>
      <c r="G1785" t="s">
        <v>33</v>
      </c>
      <c r="H1785" t="s">
        <v>52</v>
      </c>
      <c r="I1785" t="s">
        <v>13</v>
      </c>
      <c r="J1785" t="s">
        <v>21</v>
      </c>
      <c r="K1785" s="2">
        <v>9800</v>
      </c>
      <c r="L1785" s="3">
        <v>12.3</v>
      </c>
      <c r="M1785" s="3">
        <v>77.599999999999994</v>
      </c>
      <c r="N1785" s="3">
        <v>1</v>
      </c>
      <c r="O1785" s="2">
        <v>55</v>
      </c>
      <c r="P1785">
        <v>1</v>
      </c>
      <c r="Q1785" t="s">
        <v>17</v>
      </c>
      <c r="R1785" s="4">
        <v>32.39</v>
      </c>
      <c r="S1785" s="4">
        <v>0</v>
      </c>
      <c r="T1785" t="s">
        <v>34</v>
      </c>
      <c r="U1785" s="4">
        <v>5.54</v>
      </c>
      <c r="V1785" s="4">
        <v>3.3050000000000002</v>
      </c>
      <c r="W1785" s="4">
        <v>32.39</v>
      </c>
    </row>
    <row r="1786" spans="1:23" ht="15" customHeight="1" x14ac:dyDescent="0.25">
      <c r="A1786">
        <v>298</v>
      </c>
      <c r="B1786" s="1">
        <v>45954.333333333343</v>
      </c>
      <c r="C1786">
        <v>8</v>
      </c>
      <c r="D1786" t="s">
        <v>58</v>
      </c>
      <c r="E1786">
        <v>10</v>
      </c>
      <c r="F1786" t="s">
        <v>39</v>
      </c>
      <c r="G1786" t="s">
        <v>33</v>
      </c>
      <c r="H1786" t="s">
        <v>53</v>
      </c>
      <c r="I1786" t="s">
        <v>19</v>
      </c>
      <c r="J1786" t="s">
        <v>26</v>
      </c>
      <c r="K1786" s="2">
        <v>12500</v>
      </c>
      <c r="L1786" s="3">
        <v>7.9</v>
      </c>
      <c r="M1786" s="3">
        <v>69.5</v>
      </c>
      <c r="N1786" s="3">
        <v>32</v>
      </c>
      <c r="O1786" s="2">
        <v>327</v>
      </c>
      <c r="P1786">
        <v>1</v>
      </c>
      <c r="Q1786" t="s">
        <v>17</v>
      </c>
      <c r="R1786" s="4">
        <v>104.15</v>
      </c>
      <c r="S1786" s="4">
        <v>4.8</v>
      </c>
      <c r="T1786" t="s">
        <v>34</v>
      </c>
      <c r="U1786" s="4">
        <v>17.309999999999999</v>
      </c>
      <c r="V1786" s="4">
        <v>8.3320000000000007</v>
      </c>
      <c r="W1786" s="4">
        <v>99.35</v>
      </c>
    </row>
    <row r="1787" spans="1:23" ht="15" customHeight="1" x14ac:dyDescent="0.25">
      <c r="A1787">
        <v>1770</v>
      </c>
      <c r="B1787" s="1">
        <v>45954.333333333343</v>
      </c>
      <c r="C1787">
        <v>8</v>
      </c>
      <c r="D1787" t="s">
        <v>58</v>
      </c>
      <c r="E1787">
        <v>10</v>
      </c>
      <c r="F1787" t="s">
        <v>39</v>
      </c>
      <c r="G1787" t="s">
        <v>33</v>
      </c>
      <c r="H1787" t="s">
        <v>49</v>
      </c>
      <c r="I1787" t="s">
        <v>27</v>
      </c>
      <c r="J1787" t="s">
        <v>18</v>
      </c>
      <c r="K1787" s="2">
        <v>26000</v>
      </c>
      <c r="L1787" s="3">
        <v>10.5</v>
      </c>
      <c r="M1787" s="3">
        <v>77.400000000000006</v>
      </c>
      <c r="N1787" s="3">
        <v>37.799999999999997</v>
      </c>
      <c r="O1787" s="2">
        <v>159</v>
      </c>
      <c r="P1787">
        <v>1</v>
      </c>
      <c r="Q1787" t="s">
        <v>17</v>
      </c>
      <c r="R1787" s="4">
        <v>268.5</v>
      </c>
      <c r="S1787" s="4">
        <v>10.41</v>
      </c>
      <c r="T1787" t="s">
        <v>34</v>
      </c>
      <c r="U1787" s="4">
        <v>45.22</v>
      </c>
      <c r="V1787" s="4">
        <v>10.327</v>
      </c>
      <c r="W1787" s="4">
        <v>258.08999999999997</v>
      </c>
    </row>
    <row r="1788" spans="1:23" ht="15" customHeight="1" x14ac:dyDescent="0.25">
      <c r="A1788">
        <v>1402</v>
      </c>
      <c r="B1788" s="1">
        <v>45954.333333333343</v>
      </c>
      <c r="C1788">
        <v>8</v>
      </c>
      <c r="D1788" t="s">
        <v>58</v>
      </c>
      <c r="E1788">
        <v>10</v>
      </c>
      <c r="F1788" t="s">
        <v>39</v>
      </c>
      <c r="G1788" t="s">
        <v>33</v>
      </c>
      <c r="H1788" t="s">
        <v>51</v>
      </c>
      <c r="I1788" t="s">
        <v>25</v>
      </c>
      <c r="J1788" t="s">
        <v>15</v>
      </c>
      <c r="K1788" s="2">
        <v>17400</v>
      </c>
      <c r="L1788" s="3">
        <v>13.6</v>
      </c>
      <c r="M1788" s="3">
        <v>63.7</v>
      </c>
      <c r="N1788" s="3">
        <v>35.700000000000003</v>
      </c>
      <c r="O1788" s="2">
        <v>15</v>
      </c>
      <c r="P1788">
        <v>0</v>
      </c>
      <c r="Q1788" t="s">
        <v>14</v>
      </c>
      <c r="R1788" s="4">
        <v>51.88</v>
      </c>
      <c r="S1788" s="4">
        <v>4.62</v>
      </c>
      <c r="T1788" t="s">
        <v>34</v>
      </c>
      <c r="U1788" s="4">
        <v>8.5299999999999994</v>
      </c>
      <c r="V1788" s="4">
        <v>2.9820000000000002</v>
      </c>
      <c r="W1788" s="4">
        <v>47.26</v>
      </c>
    </row>
    <row r="1789" spans="1:23" ht="15" customHeight="1" x14ac:dyDescent="0.25">
      <c r="A1789">
        <v>1034</v>
      </c>
      <c r="B1789" s="1">
        <v>45954.333333333343</v>
      </c>
      <c r="C1789">
        <v>8</v>
      </c>
      <c r="D1789" t="s">
        <v>58</v>
      </c>
      <c r="E1789">
        <v>10</v>
      </c>
      <c r="F1789" t="s">
        <v>39</v>
      </c>
      <c r="G1789" t="s">
        <v>33</v>
      </c>
      <c r="H1789" t="s">
        <v>50</v>
      </c>
      <c r="I1789" t="s">
        <v>22</v>
      </c>
      <c r="J1789" t="s">
        <v>12</v>
      </c>
      <c r="K1789" s="2">
        <v>21000</v>
      </c>
      <c r="L1789" s="3"/>
      <c r="M1789" s="3">
        <v>71</v>
      </c>
      <c r="N1789" s="3">
        <v>50.4</v>
      </c>
      <c r="O1789" s="2">
        <v>367</v>
      </c>
      <c r="P1789">
        <v>1</v>
      </c>
      <c r="Q1789" t="s">
        <v>17</v>
      </c>
      <c r="R1789" s="4">
        <v>271.37</v>
      </c>
      <c r="S1789" s="4">
        <v>10.55</v>
      </c>
      <c r="T1789" t="s">
        <v>34</v>
      </c>
      <c r="U1789" s="4">
        <v>47.63</v>
      </c>
      <c r="V1789" s="4">
        <v>12.922000000000001</v>
      </c>
      <c r="W1789" s="4">
        <v>260.82</v>
      </c>
    </row>
    <row r="1790" spans="1:23" ht="15" customHeight="1" x14ac:dyDescent="0.25">
      <c r="A1790">
        <v>299</v>
      </c>
      <c r="B1790" s="1">
        <v>45954.583333333343</v>
      </c>
      <c r="C1790">
        <v>14</v>
      </c>
      <c r="D1790" t="s">
        <v>58</v>
      </c>
      <c r="E1790">
        <v>10</v>
      </c>
      <c r="F1790" t="s">
        <v>39</v>
      </c>
      <c r="G1790" t="s">
        <v>33</v>
      </c>
      <c r="H1790" t="s">
        <v>53</v>
      </c>
      <c r="I1790" t="s">
        <v>19</v>
      </c>
      <c r="J1790" t="s">
        <v>26</v>
      </c>
      <c r="K1790" s="2">
        <v>12500</v>
      </c>
      <c r="L1790" s="3">
        <v>19.399999999999999</v>
      </c>
      <c r="M1790" s="3">
        <v>59.1</v>
      </c>
      <c r="N1790" s="3">
        <v>495.7</v>
      </c>
      <c r="O1790" s="2">
        <v>650</v>
      </c>
      <c r="P1790">
        <v>0</v>
      </c>
      <c r="Q1790" t="s">
        <v>14</v>
      </c>
      <c r="R1790" s="4">
        <v>113.32</v>
      </c>
      <c r="S1790" s="4">
        <v>76.16</v>
      </c>
      <c r="T1790" t="s">
        <v>34</v>
      </c>
      <c r="U1790" s="4">
        <v>6.47</v>
      </c>
      <c r="V1790" s="4">
        <v>9.0660000000000007</v>
      </c>
      <c r="W1790" s="4">
        <v>37.159999999999997</v>
      </c>
    </row>
    <row r="1791" spans="1:23" ht="15" customHeight="1" x14ac:dyDescent="0.25">
      <c r="A1791">
        <v>1771</v>
      </c>
      <c r="B1791" s="1">
        <v>45954.583333333343</v>
      </c>
      <c r="C1791">
        <v>14</v>
      </c>
      <c r="D1791" t="s">
        <v>58</v>
      </c>
      <c r="E1791">
        <v>10</v>
      </c>
      <c r="F1791" t="s">
        <v>39</v>
      </c>
      <c r="G1791" t="s">
        <v>33</v>
      </c>
      <c r="H1791" t="s">
        <v>49</v>
      </c>
      <c r="I1791" t="s">
        <v>27</v>
      </c>
      <c r="J1791" t="s">
        <v>18</v>
      </c>
      <c r="K1791" s="2">
        <v>26000</v>
      </c>
      <c r="L1791" s="3">
        <v>19.899999999999999</v>
      </c>
      <c r="M1791" s="3">
        <v>69.400000000000006</v>
      </c>
      <c r="N1791" s="3">
        <v>496.1</v>
      </c>
      <c r="O1791" s="2">
        <v>160</v>
      </c>
      <c r="P1791">
        <v>0</v>
      </c>
      <c r="Q1791" t="s">
        <v>14</v>
      </c>
      <c r="R1791" s="4">
        <v>141.26</v>
      </c>
      <c r="S1791" s="4">
        <v>140.41999999999999</v>
      </c>
      <c r="T1791" t="s">
        <v>34</v>
      </c>
      <c r="U1791" s="4">
        <v>0.14000000000000001</v>
      </c>
      <c r="V1791" s="4">
        <v>5.4329999999999998</v>
      </c>
      <c r="W1791" s="4">
        <v>0.84</v>
      </c>
    </row>
    <row r="1792" spans="1:23" ht="15" customHeight="1" x14ac:dyDescent="0.25">
      <c r="A1792">
        <v>667</v>
      </c>
      <c r="B1792" s="1">
        <v>45954.583333333343</v>
      </c>
      <c r="C1792">
        <v>14</v>
      </c>
      <c r="D1792" t="s">
        <v>58</v>
      </c>
      <c r="E1792">
        <v>10</v>
      </c>
      <c r="F1792" t="s">
        <v>39</v>
      </c>
      <c r="G1792" t="s">
        <v>33</v>
      </c>
      <c r="H1792" t="s">
        <v>54</v>
      </c>
      <c r="I1792" t="s">
        <v>16</v>
      </c>
      <c r="J1792" t="s">
        <v>24</v>
      </c>
      <c r="K1792" s="2">
        <v>8600</v>
      </c>
      <c r="L1792" s="3">
        <v>16.3</v>
      </c>
      <c r="M1792" s="3">
        <v>77.400000000000006</v>
      </c>
      <c r="N1792" s="3">
        <v>518.4</v>
      </c>
      <c r="O1792" s="2">
        <v>753</v>
      </c>
      <c r="P1792">
        <v>0</v>
      </c>
      <c r="Q1792" t="s">
        <v>14</v>
      </c>
      <c r="R1792" s="4">
        <v>77.650000000000006</v>
      </c>
      <c r="S1792" s="4">
        <v>40.96</v>
      </c>
      <c r="T1792" t="s">
        <v>34</v>
      </c>
      <c r="U1792" s="4">
        <v>6.36</v>
      </c>
      <c r="V1792" s="4">
        <v>9.0289999999999999</v>
      </c>
      <c r="W1792" s="4">
        <v>36.69</v>
      </c>
    </row>
    <row r="1793" spans="1:23" ht="15" customHeight="1" x14ac:dyDescent="0.25">
      <c r="A1793">
        <v>1403</v>
      </c>
      <c r="B1793" s="1">
        <v>45954.583333333343</v>
      </c>
      <c r="C1793">
        <v>14</v>
      </c>
      <c r="D1793" t="s">
        <v>58</v>
      </c>
      <c r="E1793">
        <v>10</v>
      </c>
      <c r="F1793" t="s">
        <v>39</v>
      </c>
      <c r="G1793" t="s">
        <v>33</v>
      </c>
      <c r="H1793" t="s">
        <v>51</v>
      </c>
      <c r="I1793" t="s">
        <v>25</v>
      </c>
      <c r="J1793" t="s">
        <v>15</v>
      </c>
      <c r="K1793" s="2">
        <v>17400</v>
      </c>
      <c r="L1793" s="3">
        <v>25.5</v>
      </c>
      <c r="M1793" s="3">
        <v>64.2</v>
      </c>
      <c r="N1793" s="3">
        <v>472.9</v>
      </c>
      <c r="O1793" s="2">
        <v>1301</v>
      </c>
      <c r="P1793">
        <v>1</v>
      </c>
      <c r="Q1793" t="s">
        <v>20</v>
      </c>
      <c r="R1793" s="4">
        <v>208.52</v>
      </c>
      <c r="S1793" s="4">
        <v>63.21</v>
      </c>
      <c r="T1793" t="s">
        <v>34</v>
      </c>
      <c r="U1793" s="4">
        <v>25.31</v>
      </c>
      <c r="V1793" s="4">
        <v>11.984</v>
      </c>
      <c r="W1793" s="4">
        <v>145.31</v>
      </c>
    </row>
    <row r="1794" spans="1:23" ht="15" customHeight="1" x14ac:dyDescent="0.25">
      <c r="A1794">
        <v>1035</v>
      </c>
      <c r="B1794" s="1">
        <v>45954.583333333343</v>
      </c>
      <c r="C1794">
        <v>14</v>
      </c>
      <c r="D1794" t="s">
        <v>58</v>
      </c>
      <c r="E1794">
        <v>10</v>
      </c>
      <c r="F1794" t="s">
        <v>39</v>
      </c>
      <c r="G1794" t="s">
        <v>33</v>
      </c>
      <c r="H1794" t="s">
        <v>50</v>
      </c>
      <c r="I1794" t="s">
        <v>22</v>
      </c>
      <c r="J1794" t="s">
        <v>12</v>
      </c>
      <c r="K1794" s="2">
        <v>21000</v>
      </c>
      <c r="L1794" s="3">
        <v>26.7</v>
      </c>
      <c r="M1794" s="3">
        <v>57.7</v>
      </c>
      <c r="N1794" s="3">
        <v>602.9</v>
      </c>
      <c r="O1794" s="2">
        <v>397</v>
      </c>
      <c r="P1794">
        <v>1</v>
      </c>
      <c r="Q1794" t="s">
        <v>20</v>
      </c>
      <c r="R1794" s="4">
        <v>225.22</v>
      </c>
      <c r="S1794" s="4">
        <v>120.75</v>
      </c>
      <c r="T1794" t="s">
        <v>34</v>
      </c>
      <c r="U1794" s="4">
        <v>18.100000000000001</v>
      </c>
      <c r="V1794" s="4">
        <v>10.725</v>
      </c>
      <c r="W1794" s="4">
        <v>104.47</v>
      </c>
    </row>
    <row r="1795" spans="1:23" ht="15" customHeight="1" x14ac:dyDescent="0.25">
      <c r="A1795">
        <v>2139</v>
      </c>
      <c r="B1795" s="1">
        <v>45954.583333333343</v>
      </c>
      <c r="C1795">
        <v>14</v>
      </c>
      <c r="D1795" t="s">
        <v>58</v>
      </c>
      <c r="E1795">
        <v>10</v>
      </c>
      <c r="F1795" t="s">
        <v>39</v>
      </c>
      <c r="G1795" t="s">
        <v>33</v>
      </c>
      <c r="H1795" t="s">
        <v>52</v>
      </c>
      <c r="I1795" t="s">
        <v>13</v>
      </c>
      <c r="J1795" t="s">
        <v>21</v>
      </c>
      <c r="K1795" s="2">
        <v>9800</v>
      </c>
      <c r="L1795" s="3">
        <v>23.8</v>
      </c>
      <c r="M1795" s="3">
        <v>68.599999999999994</v>
      </c>
      <c r="N1795" s="3">
        <v>577.5</v>
      </c>
      <c r="O1795" s="2">
        <v>93</v>
      </c>
      <c r="P1795">
        <v>1</v>
      </c>
      <c r="Q1795" t="s">
        <v>23</v>
      </c>
      <c r="R1795" s="4">
        <v>20.39</v>
      </c>
      <c r="S1795" s="4">
        <v>0</v>
      </c>
      <c r="T1795" t="s">
        <v>34</v>
      </c>
      <c r="U1795" s="4">
        <v>3.6</v>
      </c>
      <c r="V1795" s="4">
        <v>2.081</v>
      </c>
      <c r="W1795" s="4">
        <v>20.39</v>
      </c>
    </row>
    <row r="1796" spans="1:23" ht="15" customHeight="1" x14ac:dyDescent="0.25">
      <c r="A1796">
        <v>300</v>
      </c>
      <c r="B1796" s="1">
        <v>45954.833333333343</v>
      </c>
      <c r="C1796">
        <v>20</v>
      </c>
      <c r="D1796" t="s">
        <v>58</v>
      </c>
      <c r="E1796">
        <v>10</v>
      </c>
      <c r="F1796" t="s">
        <v>39</v>
      </c>
      <c r="G1796" t="s">
        <v>33</v>
      </c>
      <c r="H1796" t="s">
        <v>53</v>
      </c>
      <c r="I1796" t="s">
        <v>19</v>
      </c>
      <c r="J1796" t="s">
        <v>26</v>
      </c>
      <c r="K1796" s="2">
        <v>12500</v>
      </c>
      <c r="L1796" s="3">
        <v>15.9</v>
      </c>
      <c r="M1796" s="3">
        <v>62</v>
      </c>
      <c r="N1796" s="3">
        <v>0</v>
      </c>
      <c r="O1796" s="2">
        <v>106</v>
      </c>
      <c r="P1796">
        <v>1</v>
      </c>
      <c r="Q1796" t="s">
        <v>23</v>
      </c>
      <c r="R1796" s="4">
        <v>41.77</v>
      </c>
      <c r="S1796" s="4">
        <v>0</v>
      </c>
      <c r="T1796" t="s">
        <v>37</v>
      </c>
      <c r="U1796" s="4">
        <v>11.33</v>
      </c>
      <c r="V1796" s="4">
        <v>3.3420000000000001</v>
      </c>
      <c r="W1796" s="4">
        <v>41.77</v>
      </c>
    </row>
    <row r="1797" spans="1:23" ht="15" customHeight="1" x14ac:dyDescent="0.25">
      <c r="A1797">
        <v>1772</v>
      </c>
      <c r="B1797" s="1">
        <v>45954.833333333343</v>
      </c>
      <c r="C1797">
        <v>20</v>
      </c>
      <c r="D1797" t="s">
        <v>58</v>
      </c>
      <c r="E1797">
        <v>10</v>
      </c>
      <c r="F1797" t="s">
        <v>39</v>
      </c>
      <c r="G1797" t="s">
        <v>33</v>
      </c>
      <c r="H1797" t="s">
        <v>49</v>
      </c>
      <c r="I1797" t="s">
        <v>27</v>
      </c>
      <c r="J1797" t="s">
        <v>18</v>
      </c>
      <c r="K1797" s="2">
        <v>26000</v>
      </c>
      <c r="L1797" s="3">
        <v>12</v>
      </c>
      <c r="M1797" s="3">
        <v>61.5</v>
      </c>
      <c r="N1797" s="3">
        <v>0</v>
      </c>
      <c r="O1797" s="2">
        <v>151</v>
      </c>
      <c r="P1797">
        <v>1</v>
      </c>
      <c r="Q1797" t="s">
        <v>17</v>
      </c>
      <c r="R1797" s="4">
        <v>232.2</v>
      </c>
      <c r="S1797" s="4">
        <v>0</v>
      </c>
      <c r="T1797" t="s">
        <v>37</v>
      </c>
      <c r="U1797" s="4">
        <v>61.23</v>
      </c>
      <c r="V1797" s="4">
        <v>8.9309999999999992</v>
      </c>
      <c r="W1797" s="4">
        <v>232.2</v>
      </c>
    </row>
    <row r="1798" spans="1:23" ht="15" customHeight="1" x14ac:dyDescent="0.25">
      <c r="A1798">
        <v>2140</v>
      </c>
      <c r="B1798" s="1">
        <v>45954.833333333343</v>
      </c>
      <c r="C1798">
        <v>20</v>
      </c>
      <c r="D1798" t="s">
        <v>58</v>
      </c>
      <c r="E1798">
        <v>10</v>
      </c>
      <c r="F1798" t="s">
        <v>39</v>
      </c>
      <c r="G1798" t="s">
        <v>33</v>
      </c>
      <c r="H1798" t="s">
        <v>52</v>
      </c>
      <c r="I1798" t="s">
        <v>13</v>
      </c>
      <c r="J1798" t="s">
        <v>21</v>
      </c>
      <c r="K1798" s="2">
        <v>9800</v>
      </c>
      <c r="L1798" s="3">
        <v>16.5</v>
      </c>
      <c r="M1798" s="3">
        <v>80.099999999999994</v>
      </c>
      <c r="N1798" s="3">
        <v>0</v>
      </c>
      <c r="O1798" s="2">
        <v>319</v>
      </c>
      <c r="P1798">
        <v>0</v>
      </c>
      <c r="Q1798" t="s">
        <v>14</v>
      </c>
      <c r="R1798" s="4">
        <v>93.95</v>
      </c>
      <c r="S1798" s="4">
        <v>0</v>
      </c>
      <c r="T1798" t="s">
        <v>37</v>
      </c>
      <c r="U1798" s="4">
        <v>24.76</v>
      </c>
      <c r="V1798" s="4">
        <v>9.5869999999999997</v>
      </c>
      <c r="W1798" s="4">
        <v>93.95</v>
      </c>
    </row>
    <row r="1799" spans="1:23" ht="15" customHeight="1" x14ac:dyDescent="0.25">
      <c r="A1799">
        <v>1404</v>
      </c>
      <c r="B1799" s="1">
        <v>45954.833333333343</v>
      </c>
      <c r="C1799">
        <v>20</v>
      </c>
      <c r="D1799" t="s">
        <v>58</v>
      </c>
      <c r="E1799">
        <v>10</v>
      </c>
      <c r="F1799" t="s">
        <v>39</v>
      </c>
      <c r="G1799" t="s">
        <v>33</v>
      </c>
      <c r="H1799" t="s">
        <v>51</v>
      </c>
      <c r="I1799" t="s">
        <v>25</v>
      </c>
      <c r="J1799" t="s">
        <v>15</v>
      </c>
      <c r="K1799" s="2">
        <v>17400</v>
      </c>
      <c r="L1799" s="3">
        <v>16</v>
      </c>
      <c r="M1799" s="3">
        <v>84.9</v>
      </c>
      <c r="N1799" s="3">
        <v>0</v>
      </c>
      <c r="O1799" s="2">
        <v>1381</v>
      </c>
      <c r="P1799">
        <v>0</v>
      </c>
      <c r="Q1799" t="s">
        <v>14</v>
      </c>
      <c r="R1799" s="4">
        <v>280.47000000000003</v>
      </c>
      <c r="S1799" s="4">
        <v>0</v>
      </c>
      <c r="T1799" t="s">
        <v>37</v>
      </c>
      <c r="U1799" s="4">
        <v>73.819999999999993</v>
      </c>
      <c r="V1799" s="4">
        <v>16.119</v>
      </c>
      <c r="W1799" s="4">
        <v>280.47000000000003</v>
      </c>
    </row>
    <row r="1800" spans="1:23" ht="15" customHeight="1" x14ac:dyDescent="0.25">
      <c r="A1800">
        <v>668</v>
      </c>
      <c r="B1800" s="1">
        <v>45954.833333333343</v>
      </c>
      <c r="C1800">
        <v>20</v>
      </c>
      <c r="D1800" t="s">
        <v>58</v>
      </c>
      <c r="E1800">
        <v>10</v>
      </c>
      <c r="F1800" t="s">
        <v>39</v>
      </c>
      <c r="G1800" t="s">
        <v>33</v>
      </c>
      <c r="H1800" t="s">
        <v>54</v>
      </c>
      <c r="I1800" t="s">
        <v>16</v>
      </c>
      <c r="J1800" t="s">
        <v>24</v>
      </c>
      <c r="K1800" s="2">
        <v>8600</v>
      </c>
      <c r="L1800" s="3">
        <v>13.6</v>
      </c>
      <c r="M1800" s="3">
        <v>98.1</v>
      </c>
      <c r="N1800" s="3">
        <v>0</v>
      </c>
      <c r="O1800" s="2">
        <v>47</v>
      </c>
      <c r="P1800">
        <v>1</v>
      </c>
      <c r="Q1800" t="s">
        <v>17</v>
      </c>
      <c r="R1800" s="4">
        <v>23.65</v>
      </c>
      <c r="S1800" s="4">
        <v>0</v>
      </c>
      <c r="T1800" t="s">
        <v>37</v>
      </c>
      <c r="U1800" s="4">
        <v>6.38</v>
      </c>
      <c r="V1800" s="4">
        <v>2.75</v>
      </c>
      <c r="W1800" s="4">
        <v>23.65</v>
      </c>
    </row>
    <row r="1801" spans="1:23" ht="15" customHeight="1" x14ac:dyDescent="0.25">
      <c r="A1801">
        <v>1036</v>
      </c>
      <c r="B1801" s="1">
        <v>45954.833333333343</v>
      </c>
      <c r="C1801">
        <v>20</v>
      </c>
      <c r="D1801" t="s">
        <v>58</v>
      </c>
      <c r="E1801">
        <v>10</v>
      </c>
      <c r="F1801" t="s">
        <v>39</v>
      </c>
      <c r="G1801" t="s">
        <v>33</v>
      </c>
      <c r="H1801" t="s">
        <v>50</v>
      </c>
      <c r="I1801" t="s">
        <v>22</v>
      </c>
      <c r="J1801" t="s">
        <v>12</v>
      </c>
      <c r="K1801" s="2">
        <v>21000</v>
      </c>
      <c r="L1801" s="3">
        <v>19.3</v>
      </c>
      <c r="M1801" s="3">
        <v>49.7</v>
      </c>
      <c r="N1801" s="3">
        <v>0</v>
      </c>
      <c r="O1801" s="2">
        <v>398</v>
      </c>
      <c r="P1801">
        <v>0</v>
      </c>
      <c r="Q1801" t="s">
        <v>14</v>
      </c>
      <c r="R1801" s="4">
        <v>269.16000000000003</v>
      </c>
      <c r="S1801" s="4">
        <v>0</v>
      </c>
      <c r="T1801" t="s">
        <v>37</v>
      </c>
      <c r="U1801" s="4">
        <v>71.540000000000006</v>
      </c>
      <c r="V1801" s="4">
        <v>12.817</v>
      </c>
      <c r="W1801" s="4">
        <v>269.16000000000003</v>
      </c>
    </row>
    <row r="1802" spans="1:23" ht="15" customHeight="1" x14ac:dyDescent="0.25">
      <c r="A1802">
        <v>301</v>
      </c>
      <c r="B1802" s="1">
        <v>45958</v>
      </c>
      <c r="C1802">
        <v>0</v>
      </c>
      <c r="D1802" t="s">
        <v>59</v>
      </c>
      <c r="E1802">
        <v>10</v>
      </c>
      <c r="F1802" t="s">
        <v>39</v>
      </c>
      <c r="G1802" t="s">
        <v>33</v>
      </c>
      <c r="H1802" t="s">
        <v>53</v>
      </c>
      <c r="I1802" t="s">
        <v>19</v>
      </c>
      <c r="J1802" t="s">
        <v>26</v>
      </c>
      <c r="K1802" s="2">
        <v>12500</v>
      </c>
      <c r="L1802" s="3">
        <v>1.1000000000000001</v>
      </c>
      <c r="M1802" s="3">
        <v>76.400000000000006</v>
      </c>
      <c r="N1802" s="3">
        <v>0</v>
      </c>
      <c r="O1802" s="2">
        <v>40</v>
      </c>
      <c r="P1802">
        <v>0</v>
      </c>
      <c r="Q1802" t="s">
        <v>14</v>
      </c>
      <c r="R1802" s="4">
        <v>26.41</v>
      </c>
      <c r="S1802" s="4">
        <v>0</v>
      </c>
      <c r="T1802" t="s">
        <v>31</v>
      </c>
      <c r="U1802" s="4">
        <v>2.84</v>
      </c>
      <c r="V1802" s="4">
        <v>2.113</v>
      </c>
      <c r="W1802" s="4">
        <v>26.41</v>
      </c>
    </row>
    <row r="1803" spans="1:23" ht="15" customHeight="1" x14ac:dyDescent="0.25">
      <c r="A1803">
        <v>1773</v>
      </c>
      <c r="B1803" s="1">
        <v>45958</v>
      </c>
      <c r="C1803">
        <v>0</v>
      </c>
      <c r="D1803" t="s">
        <v>59</v>
      </c>
      <c r="E1803">
        <v>10</v>
      </c>
      <c r="F1803" t="s">
        <v>39</v>
      </c>
      <c r="G1803" t="s">
        <v>33</v>
      </c>
      <c r="H1803" t="s">
        <v>49</v>
      </c>
      <c r="I1803" t="s">
        <v>27</v>
      </c>
      <c r="J1803" t="s">
        <v>18</v>
      </c>
      <c r="K1803" s="2">
        <v>26000</v>
      </c>
      <c r="L1803" s="3">
        <v>10.7</v>
      </c>
      <c r="M1803" s="3">
        <v>71.3</v>
      </c>
      <c r="N1803" s="3">
        <v>0</v>
      </c>
      <c r="O1803" s="2">
        <v>58</v>
      </c>
      <c r="P1803">
        <v>1</v>
      </c>
      <c r="Q1803" t="s">
        <v>17</v>
      </c>
      <c r="R1803" s="4">
        <v>128.96</v>
      </c>
      <c r="S1803" s="4">
        <v>0</v>
      </c>
      <c r="T1803" t="s">
        <v>31</v>
      </c>
      <c r="U1803" s="4">
        <v>14.69</v>
      </c>
      <c r="V1803" s="4">
        <v>4.96</v>
      </c>
      <c r="W1803" s="4">
        <v>128.96</v>
      </c>
    </row>
    <row r="1804" spans="1:23" ht="15" customHeight="1" x14ac:dyDescent="0.25">
      <c r="A1804">
        <v>669</v>
      </c>
      <c r="B1804" s="1">
        <v>45958</v>
      </c>
      <c r="C1804">
        <v>0</v>
      </c>
      <c r="D1804" t="s">
        <v>59</v>
      </c>
      <c r="E1804">
        <v>10</v>
      </c>
      <c r="F1804" t="s">
        <v>39</v>
      </c>
      <c r="G1804" t="s">
        <v>33</v>
      </c>
      <c r="H1804" t="s">
        <v>54</v>
      </c>
      <c r="I1804" t="s">
        <v>16</v>
      </c>
      <c r="J1804" t="s">
        <v>24</v>
      </c>
      <c r="K1804" s="2">
        <v>8600</v>
      </c>
      <c r="L1804" s="3">
        <v>8.4</v>
      </c>
      <c r="M1804" s="3">
        <v>95.7</v>
      </c>
      <c r="N1804" s="3">
        <v>0</v>
      </c>
      <c r="O1804" s="2"/>
      <c r="P1804">
        <v>1</v>
      </c>
      <c r="Q1804" t="s">
        <v>17</v>
      </c>
      <c r="R1804" s="4">
        <v>28.94</v>
      </c>
      <c r="S1804" s="4">
        <v>0</v>
      </c>
      <c r="T1804" t="s">
        <v>31</v>
      </c>
      <c r="U1804" s="4">
        <v>3.12</v>
      </c>
      <c r="V1804" s="4">
        <v>3.3650000000000002</v>
      </c>
      <c r="W1804" s="4">
        <v>28.94</v>
      </c>
    </row>
    <row r="1805" spans="1:23" ht="15" customHeight="1" x14ac:dyDescent="0.25">
      <c r="A1805">
        <v>2141</v>
      </c>
      <c r="B1805" s="1">
        <v>45958</v>
      </c>
      <c r="C1805">
        <v>0</v>
      </c>
      <c r="D1805" t="s">
        <v>59</v>
      </c>
      <c r="E1805">
        <v>10</v>
      </c>
      <c r="F1805" t="s">
        <v>39</v>
      </c>
      <c r="G1805" t="s">
        <v>33</v>
      </c>
      <c r="H1805" t="s">
        <v>52</v>
      </c>
      <c r="I1805" t="s">
        <v>13</v>
      </c>
      <c r="J1805" t="s">
        <v>21</v>
      </c>
      <c r="K1805" s="2">
        <v>9800</v>
      </c>
      <c r="L1805" s="3">
        <v>12.6</v>
      </c>
      <c r="M1805" s="3">
        <v>79.8</v>
      </c>
      <c r="N1805" s="3">
        <v>0</v>
      </c>
      <c r="O1805" s="2">
        <v>313</v>
      </c>
      <c r="P1805">
        <v>1</v>
      </c>
      <c r="Q1805" t="s">
        <v>17</v>
      </c>
      <c r="R1805" s="4">
        <v>93.14</v>
      </c>
      <c r="S1805" s="4">
        <v>0</v>
      </c>
      <c r="T1805" t="s">
        <v>31</v>
      </c>
      <c r="U1805" s="4">
        <v>10.06</v>
      </c>
      <c r="V1805" s="4">
        <v>9.5039999999999996</v>
      </c>
      <c r="W1805" s="4">
        <v>93.14</v>
      </c>
    </row>
    <row r="1806" spans="1:23" ht="15" customHeight="1" x14ac:dyDescent="0.25">
      <c r="A1806">
        <v>1405</v>
      </c>
      <c r="B1806" s="1">
        <v>45958</v>
      </c>
      <c r="C1806">
        <v>0</v>
      </c>
      <c r="D1806" t="s">
        <v>59</v>
      </c>
      <c r="E1806">
        <v>10</v>
      </c>
      <c r="F1806" t="s">
        <v>39</v>
      </c>
      <c r="G1806" t="s">
        <v>33</v>
      </c>
      <c r="H1806" t="s">
        <v>51</v>
      </c>
      <c r="I1806" t="s">
        <v>25</v>
      </c>
      <c r="J1806" t="s">
        <v>15</v>
      </c>
      <c r="K1806" s="2">
        <v>17400</v>
      </c>
      <c r="L1806" s="3">
        <v>13.1</v>
      </c>
      <c r="M1806" s="3">
        <v>84</v>
      </c>
      <c r="N1806" s="3">
        <v>0</v>
      </c>
      <c r="O1806" s="2">
        <v>46</v>
      </c>
      <c r="P1806">
        <v>0</v>
      </c>
      <c r="Q1806" t="s">
        <v>14</v>
      </c>
      <c r="R1806" s="4">
        <v>49.8</v>
      </c>
      <c r="S1806" s="4">
        <v>0</v>
      </c>
      <c r="T1806" t="s">
        <v>31</v>
      </c>
      <c r="U1806" s="4">
        <v>5.35</v>
      </c>
      <c r="V1806" s="4">
        <v>2.8620000000000001</v>
      </c>
      <c r="W1806" s="4">
        <v>49.8</v>
      </c>
    </row>
    <row r="1807" spans="1:23" ht="15" customHeight="1" x14ac:dyDescent="0.25">
      <c r="A1807">
        <v>1037</v>
      </c>
      <c r="B1807" s="1">
        <v>45958</v>
      </c>
      <c r="C1807">
        <v>0</v>
      </c>
      <c r="D1807" t="s">
        <v>59</v>
      </c>
      <c r="E1807">
        <v>10</v>
      </c>
      <c r="F1807" t="s">
        <v>39</v>
      </c>
      <c r="G1807" t="s">
        <v>33</v>
      </c>
      <c r="H1807" t="s">
        <v>50</v>
      </c>
      <c r="I1807" t="s">
        <v>22</v>
      </c>
      <c r="J1807" t="s">
        <v>12</v>
      </c>
      <c r="K1807" s="2">
        <v>21000</v>
      </c>
      <c r="L1807" s="3">
        <v>14.3</v>
      </c>
      <c r="M1807" s="3">
        <v>79.599999999999994</v>
      </c>
      <c r="N1807" s="3">
        <v>0</v>
      </c>
      <c r="O1807" s="2">
        <v>263</v>
      </c>
      <c r="P1807">
        <v>1</v>
      </c>
      <c r="Q1807" t="s">
        <v>17</v>
      </c>
      <c r="R1807" s="4">
        <v>186.78</v>
      </c>
      <c r="S1807" s="4">
        <v>0</v>
      </c>
      <c r="T1807" t="s">
        <v>31</v>
      </c>
      <c r="U1807" s="4">
        <v>20.47</v>
      </c>
      <c r="V1807" s="4">
        <v>8.8940000000000001</v>
      </c>
      <c r="W1807" s="4">
        <v>186.78</v>
      </c>
    </row>
    <row r="1808" spans="1:23" ht="15" customHeight="1" x14ac:dyDescent="0.25">
      <c r="A1808">
        <v>1038</v>
      </c>
      <c r="B1808" s="1">
        <v>45958.333333333343</v>
      </c>
      <c r="C1808">
        <v>8</v>
      </c>
      <c r="D1808" t="s">
        <v>59</v>
      </c>
      <c r="E1808">
        <v>10</v>
      </c>
      <c r="F1808" t="s">
        <v>39</v>
      </c>
      <c r="G1808" t="s">
        <v>33</v>
      </c>
      <c r="H1808" t="s">
        <v>50</v>
      </c>
      <c r="I1808" t="s">
        <v>22</v>
      </c>
      <c r="J1808" t="s">
        <v>12</v>
      </c>
      <c r="K1808" s="2">
        <v>21000</v>
      </c>
      <c r="L1808" s="3">
        <v>16.5</v>
      </c>
      <c r="M1808" s="3">
        <v>73.900000000000006</v>
      </c>
      <c r="N1808" s="3">
        <v>35.1</v>
      </c>
      <c r="O1808" s="2">
        <v>416</v>
      </c>
      <c r="P1808">
        <v>0</v>
      </c>
      <c r="Q1808" t="s">
        <v>14</v>
      </c>
      <c r="R1808" s="4">
        <v>273.57</v>
      </c>
      <c r="S1808" s="4">
        <v>7.06</v>
      </c>
      <c r="T1808" t="s">
        <v>34</v>
      </c>
      <c r="U1808" s="4">
        <v>45.92</v>
      </c>
      <c r="V1808" s="4">
        <v>13.026999999999999</v>
      </c>
      <c r="W1808" s="4">
        <v>266.51</v>
      </c>
    </row>
    <row r="1809" spans="1:23" ht="15" customHeight="1" x14ac:dyDescent="0.25">
      <c r="A1809">
        <v>1406</v>
      </c>
      <c r="B1809" s="1">
        <v>45958.333333333343</v>
      </c>
      <c r="C1809">
        <v>8</v>
      </c>
      <c r="D1809" t="s">
        <v>59</v>
      </c>
      <c r="E1809">
        <v>10</v>
      </c>
      <c r="F1809" t="s">
        <v>39</v>
      </c>
      <c r="G1809" t="s">
        <v>33</v>
      </c>
      <c r="H1809" t="s">
        <v>51</v>
      </c>
      <c r="I1809" t="s">
        <v>25</v>
      </c>
      <c r="J1809" t="s">
        <v>15</v>
      </c>
      <c r="K1809" s="2">
        <v>17400</v>
      </c>
      <c r="L1809" s="3">
        <v>14.2</v>
      </c>
      <c r="M1809" s="3">
        <v>82.1</v>
      </c>
      <c r="N1809" s="3">
        <v>22</v>
      </c>
      <c r="O1809" s="2">
        <v>216</v>
      </c>
      <c r="P1809">
        <v>0</v>
      </c>
      <c r="Q1809" t="s">
        <v>14</v>
      </c>
      <c r="R1809" s="4">
        <v>60.57</v>
      </c>
      <c r="S1809" s="4">
        <v>2.76</v>
      </c>
      <c r="T1809" t="s">
        <v>34</v>
      </c>
      <c r="U1809" s="4">
        <v>10.5</v>
      </c>
      <c r="V1809" s="4">
        <v>3.4809999999999999</v>
      </c>
      <c r="W1809" s="4">
        <v>57.81</v>
      </c>
    </row>
    <row r="1810" spans="1:23" ht="15" customHeight="1" x14ac:dyDescent="0.25">
      <c r="A1810">
        <v>302</v>
      </c>
      <c r="B1810" s="1">
        <v>45958.333333333343</v>
      </c>
      <c r="C1810">
        <v>8</v>
      </c>
      <c r="D1810" t="s">
        <v>59</v>
      </c>
      <c r="E1810">
        <v>10</v>
      </c>
      <c r="F1810" t="s">
        <v>39</v>
      </c>
      <c r="G1810" t="s">
        <v>33</v>
      </c>
      <c r="H1810" t="s">
        <v>53</v>
      </c>
      <c r="I1810" t="s">
        <v>19</v>
      </c>
      <c r="J1810" t="s">
        <v>26</v>
      </c>
      <c r="K1810" s="2">
        <v>12500</v>
      </c>
      <c r="L1810" s="3">
        <v>9.1</v>
      </c>
      <c r="M1810" s="3">
        <v>50.8</v>
      </c>
      <c r="N1810" s="3">
        <v>26</v>
      </c>
      <c r="O1810" s="2">
        <v>404</v>
      </c>
      <c r="P1810">
        <v>1</v>
      </c>
      <c r="Q1810" t="s">
        <v>17</v>
      </c>
      <c r="R1810" s="4">
        <v>103.14</v>
      </c>
      <c r="S1810" s="4">
        <v>4.13</v>
      </c>
      <c r="T1810" t="s">
        <v>34</v>
      </c>
      <c r="U1810" s="4">
        <v>17.41</v>
      </c>
      <c r="V1810" s="4">
        <v>8.2509999999999994</v>
      </c>
      <c r="W1810" s="4">
        <v>99.01</v>
      </c>
    </row>
    <row r="1811" spans="1:23" ht="15" customHeight="1" x14ac:dyDescent="0.25">
      <c r="A1811">
        <v>670</v>
      </c>
      <c r="B1811" s="1">
        <v>45958.333333333343</v>
      </c>
      <c r="C1811">
        <v>8</v>
      </c>
      <c r="D1811" t="s">
        <v>59</v>
      </c>
      <c r="E1811">
        <v>10</v>
      </c>
      <c r="F1811" t="s">
        <v>39</v>
      </c>
      <c r="G1811" t="s">
        <v>33</v>
      </c>
      <c r="H1811" t="s">
        <v>54</v>
      </c>
      <c r="I1811" t="s">
        <v>16</v>
      </c>
      <c r="J1811" t="s">
        <v>24</v>
      </c>
      <c r="K1811" s="2">
        <v>8600</v>
      </c>
      <c r="L1811" s="3">
        <v>11.7</v>
      </c>
      <c r="M1811" s="3">
        <v>90.3</v>
      </c>
      <c r="N1811" s="3">
        <v>19.399999999999999</v>
      </c>
      <c r="O1811" s="2"/>
      <c r="P1811">
        <v>1</v>
      </c>
      <c r="Q1811" t="s">
        <v>17</v>
      </c>
      <c r="R1811" s="4">
        <v>119.77</v>
      </c>
      <c r="S1811" s="4">
        <v>1.41</v>
      </c>
      <c r="T1811" t="s">
        <v>34</v>
      </c>
      <c r="U1811" s="4">
        <v>20.96</v>
      </c>
      <c r="V1811" s="4">
        <v>13.927</v>
      </c>
      <c r="W1811" s="4">
        <v>118.36</v>
      </c>
    </row>
    <row r="1812" spans="1:23" ht="15" customHeight="1" x14ac:dyDescent="0.25">
      <c r="A1812">
        <v>2142</v>
      </c>
      <c r="B1812" s="1">
        <v>45958.333333333343</v>
      </c>
      <c r="C1812">
        <v>8</v>
      </c>
      <c r="D1812" t="s">
        <v>59</v>
      </c>
      <c r="E1812">
        <v>10</v>
      </c>
      <c r="F1812" t="s">
        <v>39</v>
      </c>
      <c r="G1812" t="s">
        <v>33</v>
      </c>
      <c r="H1812" t="s">
        <v>52</v>
      </c>
      <c r="I1812" t="s">
        <v>13</v>
      </c>
      <c r="J1812" t="s">
        <v>21</v>
      </c>
      <c r="K1812" s="2">
        <v>9800</v>
      </c>
      <c r="L1812" s="3">
        <v>12.1</v>
      </c>
      <c r="M1812" s="3">
        <v>87.3</v>
      </c>
      <c r="N1812" s="3">
        <v>54.2</v>
      </c>
      <c r="O1812" s="2">
        <v>103</v>
      </c>
      <c r="P1812">
        <v>1</v>
      </c>
      <c r="Q1812" t="s">
        <v>17</v>
      </c>
      <c r="R1812" s="4">
        <v>35.57</v>
      </c>
      <c r="S1812" s="4">
        <v>0</v>
      </c>
      <c r="T1812" t="s">
        <v>34</v>
      </c>
      <c r="U1812" s="4">
        <v>6.3</v>
      </c>
      <c r="V1812" s="4">
        <v>3.63</v>
      </c>
      <c r="W1812" s="4">
        <v>35.57</v>
      </c>
    </row>
    <row r="1813" spans="1:23" ht="15" customHeight="1" x14ac:dyDescent="0.25">
      <c r="A1813">
        <v>1774</v>
      </c>
      <c r="B1813" s="1">
        <v>45958.333333333343</v>
      </c>
      <c r="C1813">
        <v>8</v>
      </c>
      <c r="D1813" t="s">
        <v>59</v>
      </c>
      <c r="E1813">
        <v>10</v>
      </c>
      <c r="F1813" t="s">
        <v>39</v>
      </c>
      <c r="G1813" t="s">
        <v>33</v>
      </c>
      <c r="H1813" t="s">
        <v>49</v>
      </c>
      <c r="I1813" t="s">
        <v>27</v>
      </c>
      <c r="J1813" t="s">
        <v>18</v>
      </c>
      <c r="K1813" s="2">
        <v>26000</v>
      </c>
      <c r="L1813" s="3">
        <v>11.7</v>
      </c>
      <c r="M1813" s="3">
        <v>71.900000000000006</v>
      </c>
      <c r="N1813" s="3">
        <v>19.399999999999999</v>
      </c>
      <c r="O1813" s="2">
        <v>158</v>
      </c>
      <c r="P1813">
        <v>1</v>
      </c>
      <c r="Q1813" t="s">
        <v>17</v>
      </c>
      <c r="R1813" s="4">
        <v>250.53</v>
      </c>
      <c r="S1813" s="4">
        <v>5.2</v>
      </c>
      <c r="T1813" t="s">
        <v>34</v>
      </c>
      <c r="U1813" s="4">
        <v>42.1</v>
      </c>
      <c r="V1813" s="4">
        <v>9.6359999999999992</v>
      </c>
      <c r="W1813" s="4">
        <v>245.33</v>
      </c>
    </row>
    <row r="1814" spans="1:23" ht="15" customHeight="1" x14ac:dyDescent="0.25">
      <c r="A1814">
        <v>671</v>
      </c>
      <c r="B1814" s="1">
        <v>45958.583333333343</v>
      </c>
      <c r="C1814">
        <v>14</v>
      </c>
      <c r="D1814" t="s">
        <v>59</v>
      </c>
      <c r="E1814">
        <v>10</v>
      </c>
      <c r="F1814" t="s">
        <v>39</v>
      </c>
      <c r="G1814" t="s">
        <v>33</v>
      </c>
      <c r="H1814" t="s">
        <v>54</v>
      </c>
      <c r="I1814" t="s">
        <v>16</v>
      </c>
      <c r="J1814" t="s">
        <v>24</v>
      </c>
      <c r="K1814" s="2">
        <v>8600</v>
      </c>
      <c r="L1814" s="3">
        <v>17.100000000000001</v>
      </c>
      <c r="M1814" s="3">
        <v>76.2</v>
      </c>
      <c r="N1814" s="3">
        <v>448.5</v>
      </c>
      <c r="O1814" s="2">
        <v>866</v>
      </c>
      <c r="P1814">
        <v>0</v>
      </c>
      <c r="Q1814" t="s">
        <v>14</v>
      </c>
      <c r="R1814" s="4">
        <v>86.62</v>
      </c>
      <c r="S1814" s="4">
        <v>35.65</v>
      </c>
      <c r="T1814" t="s">
        <v>34</v>
      </c>
      <c r="U1814" s="4">
        <v>8.83</v>
      </c>
      <c r="V1814" s="4">
        <v>10.071999999999999</v>
      </c>
      <c r="W1814" s="4">
        <v>50.97</v>
      </c>
    </row>
    <row r="1815" spans="1:23" ht="15" customHeight="1" x14ac:dyDescent="0.25">
      <c r="A1815">
        <v>303</v>
      </c>
      <c r="B1815" s="1">
        <v>45958.583333333343</v>
      </c>
      <c r="C1815">
        <v>14</v>
      </c>
      <c r="D1815" t="s">
        <v>59</v>
      </c>
      <c r="E1815">
        <v>10</v>
      </c>
      <c r="F1815" t="s">
        <v>39</v>
      </c>
      <c r="G1815" t="s">
        <v>33</v>
      </c>
      <c r="H1815" t="s">
        <v>53</v>
      </c>
      <c r="I1815" t="s">
        <v>19</v>
      </c>
      <c r="J1815" t="s">
        <v>26</v>
      </c>
      <c r="K1815" s="2">
        <v>12500</v>
      </c>
      <c r="L1815" s="3">
        <v>18.2</v>
      </c>
      <c r="M1815" s="3">
        <v>59.6</v>
      </c>
      <c r="N1815" s="3">
        <v>568.1</v>
      </c>
      <c r="O1815" s="2">
        <v>566</v>
      </c>
      <c r="P1815">
        <v>0</v>
      </c>
      <c r="Q1815" t="s">
        <v>14</v>
      </c>
      <c r="R1815" s="4">
        <v>101.67</v>
      </c>
      <c r="S1815" s="4">
        <v>86.02</v>
      </c>
      <c r="T1815" t="s">
        <v>34</v>
      </c>
      <c r="U1815" s="4"/>
      <c r="V1815" s="4">
        <v>8.1340000000000003</v>
      </c>
      <c r="W1815" s="4">
        <v>15.65</v>
      </c>
    </row>
    <row r="1816" spans="1:23" ht="15" customHeight="1" x14ac:dyDescent="0.25">
      <c r="A1816">
        <v>2143</v>
      </c>
      <c r="B1816" s="1">
        <v>45958.583333333343</v>
      </c>
      <c r="C1816">
        <v>14</v>
      </c>
      <c r="D1816" t="s">
        <v>59</v>
      </c>
      <c r="E1816">
        <v>10</v>
      </c>
      <c r="F1816" t="s">
        <v>39</v>
      </c>
      <c r="G1816" t="s">
        <v>33</v>
      </c>
      <c r="H1816" t="s">
        <v>52</v>
      </c>
      <c r="I1816" t="s">
        <v>13</v>
      </c>
      <c r="J1816" t="s">
        <v>21</v>
      </c>
      <c r="K1816" s="2">
        <v>9800</v>
      </c>
      <c r="L1816" s="3">
        <v>19.8</v>
      </c>
      <c r="M1816" s="3">
        <v>73.2</v>
      </c>
      <c r="N1816" s="3">
        <v>555.9</v>
      </c>
      <c r="O1816" s="2">
        <v>84</v>
      </c>
      <c r="P1816">
        <v>0</v>
      </c>
      <c r="Q1816" t="s">
        <v>14</v>
      </c>
      <c r="R1816" s="4">
        <v>20.99</v>
      </c>
      <c r="S1816" s="4">
        <v>0</v>
      </c>
      <c r="T1816" t="s">
        <v>34</v>
      </c>
      <c r="U1816" s="4">
        <v>3.6</v>
      </c>
      <c r="V1816" s="4">
        <v>2.1419999999999999</v>
      </c>
      <c r="W1816" s="4">
        <v>20.99</v>
      </c>
    </row>
    <row r="1817" spans="1:23" ht="15" customHeight="1" x14ac:dyDescent="0.25">
      <c r="A1817">
        <v>1407</v>
      </c>
      <c r="B1817" s="1">
        <v>45958.583333333343</v>
      </c>
      <c r="C1817">
        <v>14</v>
      </c>
      <c r="D1817" t="s">
        <v>59</v>
      </c>
      <c r="E1817">
        <v>10</v>
      </c>
      <c r="F1817" t="s">
        <v>39</v>
      </c>
      <c r="G1817" t="s">
        <v>33</v>
      </c>
      <c r="H1817" t="s">
        <v>51</v>
      </c>
      <c r="I1817" t="s">
        <v>25</v>
      </c>
      <c r="J1817" t="s">
        <v>15</v>
      </c>
      <c r="K1817" s="2">
        <v>17400</v>
      </c>
      <c r="L1817" s="3">
        <v>21.9</v>
      </c>
      <c r="M1817" s="3">
        <v>67.400000000000006</v>
      </c>
      <c r="N1817" s="3"/>
      <c r="O1817" s="2">
        <v>1471</v>
      </c>
      <c r="P1817">
        <v>0</v>
      </c>
      <c r="Q1817" t="s">
        <v>14</v>
      </c>
      <c r="R1817" s="4">
        <v>199.79</v>
      </c>
      <c r="S1817" s="4">
        <v>73.7</v>
      </c>
      <c r="T1817" t="s">
        <v>34</v>
      </c>
      <c r="U1817" s="4">
        <v>21.98</v>
      </c>
      <c r="V1817" s="4">
        <v>11.481999999999999</v>
      </c>
      <c r="W1817" s="4">
        <v>126.09</v>
      </c>
    </row>
    <row r="1818" spans="1:23" ht="15" customHeight="1" x14ac:dyDescent="0.25">
      <c r="A1818">
        <v>1039</v>
      </c>
      <c r="B1818" s="1">
        <v>45958.583333333343</v>
      </c>
      <c r="C1818">
        <v>14</v>
      </c>
      <c r="D1818" t="s">
        <v>59</v>
      </c>
      <c r="E1818">
        <v>10</v>
      </c>
      <c r="F1818" t="s">
        <v>39</v>
      </c>
      <c r="G1818" t="s">
        <v>33</v>
      </c>
      <c r="H1818" t="s">
        <v>50</v>
      </c>
      <c r="I1818" t="s">
        <v>22</v>
      </c>
      <c r="J1818" t="s">
        <v>12</v>
      </c>
      <c r="K1818" s="2">
        <v>21000</v>
      </c>
      <c r="L1818" s="3">
        <v>24.9</v>
      </c>
      <c r="M1818" s="3">
        <v>54.3</v>
      </c>
      <c r="N1818" s="3">
        <v>611.20000000000005</v>
      </c>
      <c r="O1818" s="2">
        <v>452</v>
      </c>
      <c r="P1818">
        <v>1</v>
      </c>
      <c r="Q1818" t="s">
        <v>20</v>
      </c>
      <c r="R1818" s="4">
        <v>215.02</v>
      </c>
      <c r="S1818" s="4">
        <v>121.54</v>
      </c>
      <c r="T1818" t="s">
        <v>34</v>
      </c>
      <c r="U1818" s="4">
        <v>16.77</v>
      </c>
      <c r="V1818" s="4">
        <v>10.239000000000001</v>
      </c>
      <c r="W1818" s="4">
        <v>93.48</v>
      </c>
    </row>
    <row r="1819" spans="1:23" ht="15" customHeight="1" x14ac:dyDescent="0.25">
      <c r="A1819">
        <v>1775</v>
      </c>
      <c r="B1819" s="1">
        <v>45958.583333333343</v>
      </c>
      <c r="C1819">
        <v>14</v>
      </c>
      <c r="D1819" t="s">
        <v>59</v>
      </c>
      <c r="E1819">
        <v>10</v>
      </c>
      <c r="F1819" t="s">
        <v>39</v>
      </c>
      <c r="G1819" t="s">
        <v>33</v>
      </c>
      <c r="H1819" t="s">
        <v>49</v>
      </c>
      <c r="I1819" t="s">
        <v>27</v>
      </c>
      <c r="J1819" t="s">
        <v>18</v>
      </c>
      <c r="K1819" s="2">
        <v>26000</v>
      </c>
      <c r="L1819" s="3">
        <v>18.8</v>
      </c>
      <c r="M1819" s="3">
        <v>73.5</v>
      </c>
      <c r="N1819" s="3">
        <v>433.6</v>
      </c>
      <c r="O1819" s="2">
        <v>173</v>
      </c>
      <c r="P1819">
        <v>0</v>
      </c>
      <c r="Q1819" t="s">
        <v>14</v>
      </c>
      <c r="R1819" s="4">
        <v>156.66999999999999</v>
      </c>
      <c r="S1819" s="4">
        <v>120.09</v>
      </c>
      <c r="T1819" t="s">
        <v>34</v>
      </c>
      <c r="U1819" s="4">
        <v>6.29</v>
      </c>
      <c r="V1819" s="4">
        <v>6.0259999999999998</v>
      </c>
      <c r="W1819" s="4">
        <v>36.58</v>
      </c>
    </row>
    <row r="1820" spans="1:23" ht="15" customHeight="1" x14ac:dyDescent="0.25">
      <c r="A1820">
        <v>1408</v>
      </c>
      <c r="B1820" s="1">
        <v>45958.833333333343</v>
      </c>
      <c r="C1820">
        <v>20</v>
      </c>
      <c r="D1820" t="s">
        <v>59</v>
      </c>
      <c r="E1820">
        <v>10</v>
      </c>
      <c r="F1820" t="s">
        <v>39</v>
      </c>
      <c r="G1820" t="s">
        <v>33</v>
      </c>
      <c r="H1820" t="s">
        <v>51</v>
      </c>
      <c r="I1820" t="s">
        <v>25</v>
      </c>
      <c r="J1820" t="s">
        <v>15</v>
      </c>
      <c r="K1820" s="2">
        <v>17400</v>
      </c>
      <c r="L1820" s="3">
        <v>18.5</v>
      </c>
      <c r="M1820" s="3"/>
      <c r="N1820" s="3">
        <v>0</v>
      </c>
      <c r="O1820" s="2">
        <v>1329</v>
      </c>
      <c r="P1820">
        <v>0</v>
      </c>
      <c r="Q1820" t="s">
        <v>14</v>
      </c>
      <c r="R1820" s="4">
        <v>259.70999999999998</v>
      </c>
      <c r="S1820" s="4">
        <v>0</v>
      </c>
      <c r="T1820" t="s">
        <v>37</v>
      </c>
      <c r="U1820" s="4">
        <v>67.37</v>
      </c>
      <c r="V1820" s="4">
        <v>14.926</v>
      </c>
      <c r="W1820" s="4">
        <v>259.70999999999998</v>
      </c>
    </row>
    <row r="1821" spans="1:23" ht="15" customHeight="1" x14ac:dyDescent="0.25">
      <c r="A1821">
        <v>1040</v>
      </c>
      <c r="B1821" s="1">
        <v>45958.833333333343</v>
      </c>
      <c r="C1821">
        <v>20</v>
      </c>
      <c r="D1821" t="s">
        <v>59</v>
      </c>
      <c r="E1821">
        <v>10</v>
      </c>
      <c r="F1821" t="s">
        <v>39</v>
      </c>
      <c r="G1821" t="s">
        <v>33</v>
      </c>
      <c r="H1821" t="s">
        <v>50</v>
      </c>
      <c r="I1821" t="s">
        <v>22</v>
      </c>
      <c r="J1821" t="s">
        <v>12</v>
      </c>
      <c r="K1821" s="2">
        <v>21000</v>
      </c>
      <c r="L1821" s="3">
        <v>23.7</v>
      </c>
      <c r="M1821" s="3">
        <v>53.6</v>
      </c>
      <c r="N1821" s="3">
        <v>0</v>
      </c>
      <c r="O1821" s="2">
        <v>443</v>
      </c>
      <c r="P1821">
        <v>1</v>
      </c>
      <c r="Q1821" t="s">
        <v>23</v>
      </c>
      <c r="R1821" s="4">
        <v>297.72000000000003</v>
      </c>
      <c r="S1821" s="4">
        <v>0</v>
      </c>
      <c r="T1821" t="s">
        <v>37</v>
      </c>
      <c r="U1821" s="4">
        <v>83.54</v>
      </c>
      <c r="V1821" s="4">
        <v>14.177</v>
      </c>
      <c r="W1821" s="4">
        <v>297.72000000000003</v>
      </c>
    </row>
    <row r="1822" spans="1:23" ht="15" customHeight="1" x14ac:dyDescent="0.25">
      <c r="A1822">
        <v>304</v>
      </c>
      <c r="B1822" s="1">
        <v>45958.833333333343</v>
      </c>
      <c r="C1822">
        <v>20</v>
      </c>
      <c r="D1822" t="s">
        <v>59</v>
      </c>
      <c r="E1822">
        <v>10</v>
      </c>
      <c r="F1822" t="s">
        <v>39</v>
      </c>
      <c r="G1822" t="s">
        <v>33</v>
      </c>
      <c r="H1822" t="s">
        <v>53</v>
      </c>
      <c r="I1822" t="s">
        <v>19</v>
      </c>
      <c r="J1822" t="s">
        <v>26</v>
      </c>
      <c r="K1822" s="2">
        <v>12500</v>
      </c>
      <c r="L1822" s="3">
        <v>14.1</v>
      </c>
      <c r="M1822" s="3">
        <v>77.900000000000006</v>
      </c>
      <c r="N1822" s="3">
        <v>0</v>
      </c>
      <c r="O1822" s="2">
        <v>112</v>
      </c>
      <c r="P1822">
        <v>1</v>
      </c>
      <c r="Q1822" t="s">
        <v>17</v>
      </c>
      <c r="R1822" s="4">
        <v>43.54</v>
      </c>
      <c r="S1822" s="4">
        <v>0</v>
      </c>
      <c r="T1822" t="s">
        <v>37</v>
      </c>
      <c r="U1822" s="4">
        <v>11.83</v>
      </c>
      <c r="V1822" s="4">
        <v>3.4830000000000001</v>
      </c>
      <c r="W1822" s="4">
        <v>43.54</v>
      </c>
    </row>
    <row r="1823" spans="1:23" ht="15" customHeight="1" x14ac:dyDescent="0.25">
      <c r="A1823">
        <v>2144</v>
      </c>
      <c r="B1823" s="1">
        <v>45958.833333333343</v>
      </c>
      <c r="C1823">
        <v>20</v>
      </c>
      <c r="D1823" t="s">
        <v>59</v>
      </c>
      <c r="E1823">
        <v>10</v>
      </c>
      <c r="F1823" t="s">
        <v>39</v>
      </c>
      <c r="G1823" t="s">
        <v>33</v>
      </c>
      <c r="H1823" t="s">
        <v>52</v>
      </c>
      <c r="I1823" t="s">
        <v>13</v>
      </c>
      <c r="J1823" t="s">
        <v>21</v>
      </c>
      <c r="K1823" s="2">
        <v>9800</v>
      </c>
      <c r="L1823" s="3">
        <v>15.8</v>
      </c>
      <c r="M1823" s="3">
        <v>73.8</v>
      </c>
      <c r="N1823" s="3">
        <v>0</v>
      </c>
      <c r="O1823" s="2">
        <v>296</v>
      </c>
      <c r="P1823">
        <v>1</v>
      </c>
      <c r="Q1823" t="s">
        <v>23</v>
      </c>
      <c r="R1823" s="4">
        <v>101.11</v>
      </c>
      <c r="S1823" s="4">
        <v>0</v>
      </c>
      <c r="T1823" t="s">
        <v>37</v>
      </c>
      <c r="U1823" s="4">
        <v>26.18</v>
      </c>
      <c r="V1823" s="4">
        <v>10.317</v>
      </c>
      <c r="W1823" s="4">
        <v>101.11</v>
      </c>
    </row>
    <row r="1824" spans="1:23" ht="15" customHeight="1" x14ac:dyDescent="0.25">
      <c r="A1824">
        <v>672</v>
      </c>
      <c r="B1824" s="1">
        <v>45958.833333333343</v>
      </c>
      <c r="C1824">
        <v>20</v>
      </c>
      <c r="D1824" t="s">
        <v>59</v>
      </c>
      <c r="E1824">
        <v>10</v>
      </c>
      <c r="F1824" t="s">
        <v>39</v>
      </c>
      <c r="G1824" t="s">
        <v>33</v>
      </c>
      <c r="H1824" t="s">
        <v>54</v>
      </c>
      <c r="I1824" t="s">
        <v>16</v>
      </c>
      <c r="J1824" t="s">
        <v>24</v>
      </c>
      <c r="K1824" s="2">
        <v>8600</v>
      </c>
      <c r="L1824" s="3">
        <v>14.7</v>
      </c>
      <c r="M1824" s="3">
        <v>87.4</v>
      </c>
      <c r="N1824" s="3">
        <v>0</v>
      </c>
      <c r="O1824" s="2">
        <v>0</v>
      </c>
      <c r="P1824">
        <v>1</v>
      </c>
      <c r="Q1824" t="s">
        <v>23</v>
      </c>
      <c r="R1824" s="4">
        <v>17.89</v>
      </c>
      <c r="S1824" s="4">
        <v>0</v>
      </c>
      <c r="T1824" t="s">
        <v>37</v>
      </c>
      <c r="U1824" s="4">
        <v>4.88</v>
      </c>
      <c r="V1824" s="4">
        <v>2.08</v>
      </c>
      <c r="W1824" s="4">
        <v>17.89</v>
      </c>
    </row>
    <row r="1825" spans="1:23" ht="15" customHeight="1" x14ac:dyDescent="0.25">
      <c r="A1825">
        <v>1776</v>
      </c>
      <c r="B1825" s="1">
        <v>45958.833333333343</v>
      </c>
      <c r="C1825">
        <v>20</v>
      </c>
      <c r="D1825" t="s">
        <v>59</v>
      </c>
      <c r="E1825">
        <v>10</v>
      </c>
      <c r="F1825" t="s">
        <v>39</v>
      </c>
      <c r="G1825" t="s">
        <v>33</v>
      </c>
      <c r="H1825" t="s">
        <v>49</v>
      </c>
      <c r="I1825" t="s">
        <v>27</v>
      </c>
      <c r="J1825" t="s">
        <v>18</v>
      </c>
      <c r="K1825" s="2">
        <v>26000</v>
      </c>
      <c r="L1825" s="3">
        <v>13</v>
      </c>
      <c r="M1825" s="3">
        <v>67.3</v>
      </c>
      <c r="N1825" s="3">
        <v>0</v>
      </c>
      <c r="O1825" s="2">
        <v>177</v>
      </c>
      <c r="P1825">
        <v>1</v>
      </c>
      <c r="Q1825" t="s">
        <v>17</v>
      </c>
      <c r="R1825" s="4">
        <v>252.3</v>
      </c>
      <c r="S1825" s="4">
        <v>0</v>
      </c>
      <c r="T1825" t="s">
        <v>37</v>
      </c>
      <c r="U1825" s="4">
        <v>67.94</v>
      </c>
      <c r="V1825" s="4">
        <v>9.7040000000000006</v>
      </c>
      <c r="W1825" s="4">
        <v>252.3</v>
      </c>
    </row>
    <row r="1826" spans="1:23" ht="15" customHeight="1" x14ac:dyDescent="0.25">
      <c r="A1826">
        <v>1041</v>
      </c>
      <c r="B1826" s="1">
        <v>45962</v>
      </c>
      <c r="C1826">
        <v>0</v>
      </c>
      <c r="D1826" t="s">
        <v>60</v>
      </c>
      <c r="E1826">
        <v>11</v>
      </c>
      <c r="F1826" t="s">
        <v>39</v>
      </c>
      <c r="G1826" t="s">
        <v>36</v>
      </c>
      <c r="H1826" t="s">
        <v>50</v>
      </c>
      <c r="I1826" t="s">
        <v>22</v>
      </c>
      <c r="J1826" t="s">
        <v>12</v>
      </c>
      <c r="K1826" s="2">
        <v>21000</v>
      </c>
      <c r="L1826" s="3">
        <v>10.8</v>
      </c>
      <c r="M1826" s="3">
        <v>62.9</v>
      </c>
      <c r="N1826" s="3">
        <v>0</v>
      </c>
      <c r="O1826" s="2">
        <v>227</v>
      </c>
      <c r="P1826">
        <v>1</v>
      </c>
      <c r="Q1826" t="s">
        <v>17</v>
      </c>
      <c r="R1826" s="4">
        <v>183.55</v>
      </c>
      <c r="S1826" s="4">
        <v>0</v>
      </c>
      <c r="T1826" t="s">
        <v>31</v>
      </c>
      <c r="U1826" s="4">
        <v>20.56</v>
      </c>
      <c r="V1826" s="4">
        <v>8.74</v>
      </c>
      <c r="W1826" s="4">
        <v>183.55</v>
      </c>
    </row>
    <row r="1827" spans="1:23" ht="15" customHeight="1" x14ac:dyDescent="0.25">
      <c r="A1827">
        <v>305</v>
      </c>
      <c r="B1827" s="1">
        <v>45962</v>
      </c>
      <c r="C1827">
        <v>0</v>
      </c>
      <c r="D1827" t="s">
        <v>60</v>
      </c>
      <c r="E1827">
        <v>11</v>
      </c>
      <c r="F1827" t="s">
        <v>39</v>
      </c>
      <c r="G1827" t="s">
        <v>36</v>
      </c>
      <c r="H1827" t="s">
        <v>53</v>
      </c>
      <c r="I1827" t="s">
        <v>19</v>
      </c>
      <c r="J1827" t="s">
        <v>26</v>
      </c>
      <c r="K1827" s="2">
        <v>12500</v>
      </c>
      <c r="L1827" s="3">
        <v>4.7</v>
      </c>
      <c r="M1827" s="3">
        <v>57.1</v>
      </c>
      <c r="N1827" s="3">
        <v>0</v>
      </c>
      <c r="O1827" s="2">
        <v>32</v>
      </c>
      <c r="P1827">
        <v>0</v>
      </c>
      <c r="Q1827" t="s">
        <v>14</v>
      </c>
      <c r="R1827" s="4">
        <v>26.06</v>
      </c>
      <c r="S1827" s="4">
        <v>0</v>
      </c>
      <c r="T1827" t="s">
        <v>31</v>
      </c>
      <c r="U1827" s="4">
        <v>2.74</v>
      </c>
      <c r="V1827" s="4">
        <v>2.085</v>
      </c>
      <c r="W1827" s="4">
        <v>26.06</v>
      </c>
    </row>
    <row r="1828" spans="1:23" ht="15" customHeight="1" x14ac:dyDescent="0.25">
      <c r="A1828">
        <v>1409</v>
      </c>
      <c r="B1828" s="1">
        <v>45962</v>
      </c>
      <c r="C1828">
        <v>0</v>
      </c>
      <c r="D1828" t="s">
        <v>60</v>
      </c>
      <c r="E1828">
        <v>11</v>
      </c>
      <c r="F1828" t="s">
        <v>39</v>
      </c>
      <c r="G1828" t="s">
        <v>36</v>
      </c>
      <c r="H1828" t="s">
        <v>51</v>
      </c>
      <c r="I1828" t="s">
        <v>25</v>
      </c>
      <c r="J1828" t="s">
        <v>15</v>
      </c>
      <c r="K1828" s="2">
        <v>17400</v>
      </c>
      <c r="L1828" s="3">
        <v>10.4</v>
      </c>
      <c r="M1828" s="3">
        <v>72.599999999999994</v>
      </c>
      <c r="N1828" s="3">
        <v>0</v>
      </c>
      <c r="O1828" s="2">
        <v>135</v>
      </c>
      <c r="P1828">
        <v>1</v>
      </c>
      <c r="Q1828" t="s">
        <v>17</v>
      </c>
      <c r="R1828" s="4">
        <v>71.59</v>
      </c>
      <c r="S1828" s="4">
        <v>0</v>
      </c>
      <c r="T1828" t="s">
        <v>31</v>
      </c>
      <c r="U1828" s="4">
        <v>8.1</v>
      </c>
      <c r="V1828" s="4">
        <v>4.1139999999999999</v>
      </c>
      <c r="W1828" s="4">
        <v>71.59</v>
      </c>
    </row>
    <row r="1829" spans="1:23" ht="15" customHeight="1" x14ac:dyDescent="0.25">
      <c r="A1829">
        <v>2145</v>
      </c>
      <c r="B1829" s="1">
        <v>45962</v>
      </c>
      <c r="C1829">
        <v>0</v>
      </c>
      <c r="D1829" t="s">
        <v>60</v>
      </c>
      <c r="E1829">
        <v>11</v>
      </c>
      <c r="F1829" t="s">
        <v>39</v>
      </c>
      <c r="G1829" t="s">
        <v>36</v>
      </c>
      <c r="H1829" t="s">
        <v>52</v>
      </c>
      <c r="I1829" t="s">
        <v>13</v>
      </c>
      <c r="J1829" t="s">
        <v>21</v>
      </c>
      <c r="K1829" s="2">
        <v>9800</v>
      </c>
      <c r="L1829" s="3">
        <v>12.7</v>
      </c>
      <c r="M1829" s="3">
        <v>88.3</v>
      </c>
      <c r="N1829" s="3">
        <v>0</v>
      </c>
      <c r="O1829" s="2">
        <v>308</v>
      </c>
      <c r="P1829">
        <v>1</v>
      </c>
      <c r="Q1829" t="s">
        <v>17</v>
      </c>
      <c r="R1829" s="4">
        <v>95.27</v>
      </c>
      <c r="S1829" s="4">
        <v>0</v>
      </c>
      <c r="T1829" t="s">
        <v>31</v>
      </c>
      <c r="U1829" s="4">
        <v>10.75</v>
      </c>
      <c r="V1829" s="4">
        <v>9.7210000000000001</v>
      </c>
      <c r="W1829" s="4">
        <v>95.27</v>
      </c>
    </row>
    <row r="1830" spans="1:23" ht="15" customHeight="1" x14ac:dyDescent="0.25">
      <c r="A1830">
        <v>673</v>
      </c>
      <c r="B1830" s="1">
        <v>45962</v>
      </c>
      <c r="C1830">
        <v>0</v>
      </c>
      <c r="D1830" t="s">
        <v>60</v>
      </c>
      <c r="E1830">
        <v>11</v>
      </c>
      <c r="F1830" t="s">
        <v>39</v>
      </c>
      <c r="G1830" t="s">
        <v>36</v>
      </c>
      <c r="H1830" t="s">
        <v>54</v>
      </c>
      <c r="I1830" t="s">
        <v>16</v>
      </c>
      <c r="J1830" t="s">
        <v>24</v>
      </c>
      <c r="K1830" s="2">
        <v>8600</v>
      </c>
      <c r="L1830" s="3">
        <v>12.5</v>
      </c>
      <c r="M1830" s="3">
        <v>97.3</v>
      </c>
      <c r="N1830" s="3">
        <v>0</v>
      </c>
      <c r="O1830" s="2">
        <v>34</v>
      </c>
      <c r="P1830">
        <v>0</v>
      </c>
      <c r="Q1830" t="s">
        <v>14</v>
      </c>
      <c r="R1830" s="4">
        <v>14.81</v>
      </c>
      <c r="S1830" s="4">
        <v>0</v>
      </c>
      <c r="T1830" t="s">
        <v>31</v>
      </c>
      <c r="U1830" s="4">
        <v>1.66</v>
      </c>
      <c r="V1830" s="4">
        <v>1.722</v>
      </c>
      <c r="W1830" s="4">
        <v>14.81</v>
      </c>
    </row>
    <row r="1831" spans="1:23" ht="15" customHeight="1" x14ac:dyDescent="0.25">
      <c r="A1831">
        <v>1777</v>
      </c>
      <c r="B1831" s="1">
        <v>45962</v>
      </c>
      <c r="C1831">
        <v>0</v>
      </c>
      <c r="D1831" t="s">
        <v>60</v>
      </c>
      <c r="E1831">
        <v>11</v>
      </c>
      <c r="F1831" t="s">
        <v>39</v>
      </c>
      <c r="G1831" t="s">
        <v>36</v>
      </c>
      <c r="H1831" t="s">
        <v>49</v>
      </c>
      <c r="I1831" t="s">
        <v>27</v>
      </c>
      <c r="J1831" t="s">
        <v>18</v>
      </c>
      <c r="K1831" s="2">
        <v>26000</v>
      </c>
      <c r="L1831" s="3">
        <v>6.6</v>
      </c>
      <c r="M1831" s="3">
        <v>67.2</v>
      </c>
      <c r="N1831" s="3">
        <v>0</v>
      </c>
      <c r="O1831" s="2">
        <v>0</v>
      </c>
      <c r="P1831">
        <v>0</v>
      </c>
      <c r="Q1831" t="s">
        <v>14</v>
      </c>
      <c r="R1831" s="4">
        <v>49.12</v>
      </c>
      <c r="S1831" s="4">
        <v>0</v>
      </c>
      <c r="T1831" t="s">
        <v>31</v>
      </c>
      <c r="U1831" s="4">
        <v>5.1100000000000003</v>
      </c>
      <c r="V1831" s="4">
        <v>1.889</v>
      </c>
      <c r="W1831" s="4">
        <v>49.12</v>
      </c>
    </row>
    <row r="1832" spans="1:23" ht="15" customHeight="1" x14ac:dyDescent="0.25">
      <c r="A1832">
        <v>1410</v>
      </c>
      <c r="B1832" s="1">
        <v>45962.333333333343</v>
      </c>
      <c r="C1832">
        <v>8</v>
      </c>
      <c r="D1832" t="s">
        <v>60</v>
      </c>
      <c r="E1832">
        <v>11</v>
      </c>
      <c r="F1832" t="s">
        <v>39</v>
      </c>
      <c r="G1832" t="s">
        <v>36</v>
      </c>
      <c r="H1832" t="s">
        <v>51</v>
      </c>
      <c r="I1832" t="s">
        <v>25</v>
      </c>
      <c r="J1832" t="s">
        <v>15</v>
      </c>
      <c r="K1832" s="2">
        <v>17400</v>
      </c>
      <c r="L1832" s="3">
        <v>13.3</v>
      </c>
      <c r="M1832" s="3">
        <v>82.1</v>
      </c>
      <c r="N1832" s="3">
        <v>66.8</v>
      </c>
      <c r="O1832" s="2"/>
      <c r="P1832">
        <v>1</v>
      </c>
      <c r="Q1832" t="s">
        <v>17</v>
      </c>
      <c r="R1832" s="4"/>
      <c r="S1832" s="4">
        <v>8.59</v>
      </c>
      <c r="T1832" t="s">
        <v>31</v>
      </c>
      <c r="U1832" s="4">
        <v>4.62</v>
      </c>
      <c r="V1832" s="4"/>
      <c r="W1832" s="4"/>
    </row>
    <row r="1833" spans="1:23" ht="15" customHeight="1" x14ac:dyDescent="0.25">
      <c r="A1833">
        <v>1778</v>
      </c>
      <c r="B1833" s="1">
        <v>45962.333333333343</v>
      </c>
      <c r="C1833">
        <v>8</v>
      </c>
      <c r="D1833" t="s">
        <v>60</v>
      </c>
      <c r="E1833">
        <v>11</v>
      </c>
      <c r="F1833" t="s">
        <v>39</v>
      </c>
      <c r="G1833" t="s">
        <v>36</v>
      </c>
      <c r="H1833" t="s">
        <v>49</v>
      </c>
      <c r="I1833" t="s">
        <v>27</v>
      </c>
      <c r="J1833" t="s">
        <v>18</v>
      </c>
      <c r="K1833" s="2">
        <v>26000</v>
      </c>
      <c r="L1833" s="3">
        <v>13.1</v>
      </c>
      <c r="M1833" s="3">
        <v>72.8</v>
      </c>
      <c r="N1833" s="3">
        <v>44.7</v>
      </c>
      <c r="O1833" s="2">
        <v>15</v>
      </c>
      <c r="P1833">
        <v>0</v>
      </c>
      <c r="Q1833" t="s">
        <v>14</v>
      </c>
      <c r="R1833" s="4">
        <v>48.86</v>
      </c>
      <c r="S1833" s="4">
        <v>11.19</v>
      </c>
      <c r="T1833" t="s">
        <v>31</v>
      </c>
      <c r="U1833" s="4">
        <v>4.26</v>
      </c>
      <c r="V1833" s="4">
        <v>1.879</v>
      </c>
      <c r="W1833" s="4">
        <v>37.67</v>
      </c>
    </row>
    <row r="1834" spans="1:23" ht="15" customHeight="1" x14ac:dyDescent="0.25">
      <c r="A1834">
        <v>1042</v>
      </c>
      <c r="B1834" s="1">
        <v>45962.333333333343</v>
      </c>
      <c r="C1834">
        <v>8</v>
      </c>
      <c r="D1834" t="s">
        <v>60</v>
      </c>
      <c r="E1834">
        <v>11</v>
      </c>
      <c r="F1834" t="s">
        <v>39</v>
      </c>
      <c r="G1834" t="s">
        <v>36</v>
      </c>
      <c r="H1834" t="s">
        <v>50</v>
      </c>
      <c r="I1834" t="s">
        <v>22</v>
      </c>
      <c r="J1834" t="s">
        <v>12</v>
      </c>
      <c r="K1834" s="2">
        <v>21000</v>
      </c>
      <c r="L1834" s="3">
        <v>10.7</v>
      </c>
      <c r="M1834" s="3">
        <v>75.400000000000006</v>
      </c>
      <c r="N1834" s="3">
        <v>28.1</v>
      </c>
      <c r="O1834" s="2">
        <v>401</v>
      </c>
      <c r="P1834">
        <v>1</v>
      </c>
      <c r="Q1834" t="s">
        <v>17</v>
      </c>
      <c r="R1834" s="4">
        <v>283.91000000000003</v>
      </c>
      <c r="S1834" s="4">
        <v>5.38</v>
      </c>
      <c r="T1834" t="s">
        <v>31</v>
      </c>
      <c r="U1834" s="4">
        <v>30.14</v>
      </c>
      <c r="V1834" s="4">
        <v>13.52</v>
      </c>
      <c r="W1834" s="4">
        <v>278.52999999999997</v>
      </c>
    </row>
    <row r="1835" spans="1:23" ht="15" customHeight="1" x14ac:dyDescent="0.25">
      <c r="A1835">
        <v>306</v>
      </c>
      <c r="B1835" s="1">
        <v>45962.333333333343</v>
      </c>
      <c r="C1835">
        <v>8</v>
      </c>
      <c r="D1835" t="s">
        <v>60</v>
      </c>
      <c r="E1835">
        <v>11</v>
      </c>
      <c r="F1835" t="s">
        <v>39</v>
      </c>
      <c r="G1835" t="s">
        <v>36</v>
      </c>
      <c r="H1835" t="s">
        <v>53</v>
      </c>
      <c r="I1835" t="s">
        <v>19</v>
      </c>
      <c r="J1835" t="s">
        <v>26</v>
      </c>
      <c r="K1835" s="2">
        <v>12500</v>
      </c>
      <c r="L1835" s="3">
        <v>9.5</v>
      </c>
      <c r="M1835" s="3">
        <v>54.6</v>
      </c>
      <c r="N1835" s="3">
        <v>38.1</v>
      </c>
      <c r="O1835" s="2">
        <v>30</v>
      </c>
      <c r="P1835">
        <v>0</v>
      </c>
      <c r="Q1835" t="s">
        <v>14</v>
      </c>
      <c r="R1835" s="4">
        <v>24.82</v>
      </c>
      <c r="S1835" s="4">
        <v>6.06</v>
      </c>
      <c r="T1835" t="s">
        <v>31</v>
      </c>
      <c r="U1835" s="4">
        <v>2.13</v>
      </c>
      <c r="V1835" s="4">
        <v>1.986</v>
      </c>
      <c r="W1835" s="4">
        <v>18.760000000000002</v>
      </c>
    </row>
    <row r="1836" spans="1:23" ht="15" customHeight="1" x14ac:dyDescent="0.25">
      <c r="A1836">
        <v>2146</v>
      </c>
      <c r="B1836" s="1">
        <v>45962.333333333343</v>
      </c>
      <c r="C1836">
        <v>8</v>
      </c>
      <c r="D1836" t="s">
        <v>60</v>
      </c>
      <c r="E1836">
        <v>11</v>
      </c>
      <c r="F1836" t="s">
        <v>39</v>
      </c>
      <c r="G1836" t="s">
        <v>36</v>
      </c>
      <c r="H1836" t="s">
        <v>52</v>
      </c>
      <c r="I1836" t="s">
        <v>13</v>
      </c>
      <c r="J1836" t="s">
        <v>21</v>
      </c>
      <c r="K1836" s="2">
        <v>9800</v>
      </c>
      <c r="L1836" s="3">
        <v>14.7</v>
      </c>
      <c r="M1836" s="3">
        <v>95.3</v>
      </c>
      <c r="N1836" s="3">
        <v>0</v>
      </c>
      <c r="O1836" s="2">
        <v>154</v>
      </c>
      <c r="P1836">
        <v>1</v>
      </c>
      <c r="Q1836" t="s">
        <v>23</v>
      </c>
      <c r="R1836" s="4">
        <v>48.28</v>
      </c>
      <c r="S1836" s="4">
        <v>0</v>
      </c>
      <c r="T1836" t="s">
        <v>31</v>
      </c>
      <c r="U1836" s="4">
        <v>5.22</v>
      </c>
      <c r="V1836" s="4">
        <v>4.9269999999999996</v>
      </c>
      <c r="W1836" s="4">
        <v>48.28</v>
      </c>
    </row>
    <row r="1837" spans="1:23" ht="15" customHeight="1" x14ac:dyDescent="0.25">
      <c r="A1837">
        <v>674</v>
      </c>
      <c r="B1837" s="1">
        <v>45962.333333333343</v>
      </c>
      <c r="C1837">
        <v>8</v>
      </c>
      <c r="D1837" t="s">
        <v>60</v>
      </c>
      <c r="E1837">
        <v>11</v>
      </c>
      <c r="F1837" t="s">
        <v>39</v>
      </c>
      <c r="G1837" t="s">
        <v>36</v>
      </c>
      <c r="H1837" t="s">
        <v>54</v>
      </c>
      <c r="I1837" t="s">
        <v>16</v>
      </c>
      <c r="J1837" t="s">
        <v>24</v>
      </c>
      <c r="K1837" s="2">
        <v>8600</v>
      </c>
      <c r="L1837" s="3">
        <v>13.1</v>
      </c>
      <c r="M1837" s="3">
        <v>93.4</v>
      </c>
      <c r="N1837" s="3">
        <v>0</v>
      </c>
      <c r="O1837" s="2">
        <v>14</v>
      </c>
      <c r="P1837">
        <v>0</v>
      </c>
      <c r="Q1837" t="s">
        <v>14</v>
      </c>
      <c r="R1837" s="4">
        <v>13.37</v>
      </c>
      <c r="S1837" s="4">
        <v>0</v>
      </c>
      <c r="T1837" t="s">
        <v>31</v>
      </c>
      <c r="U1837" s="4">
        <v>1.47</v>
      </c>
      <c r="V1837" s="4">
        <v>1.5549999999999999</v>
      </c>
      <c r="W1837" s="4">
        <v>13.37</v>
      </c>
    </row>
    <row r="1838" spans="1:23" ht="15" customHeight="1" x14ac:dyDescent="0.25">
      <c r="A1838">
        <v>1043</v>
      </c>
      <c r="B1838" s="1">
        <v>45962.583333333343</v>
      </c>
      <c r="C1838">
        <v>14</v>
      </c>
      <c r="D1838" t="s">
        <v>60</v>
      </c>
      <c r="E1838">
        <v>11</v>
      </c>
      <c r="F1838" t="s">
        <v>39</v>
      </c>
      <c r="G1838" t="s">
        <v>36</v>
      </c>
      <c r="H1838" t="s">
        <v>50</v>
      </c>
      <c r="I1838" t="s">
        <v>22</v>
      </c>
      <c r="J1838" t="s">
        <v>12</v>
      </c>
      <c r="K1838" s="2">
        <v>21000</v>
      </c>
      <c r="L1838" s="3">
        <v>18.899999999999999</v>
      </c>
      <c r="M1838" s="3">
        <v>63.3</v>
      </c>
      <c r="N1838" s="3">
        <v>453.9</v>
      </c>
      <c r="O1838" s="2">
        <v>392</v>
      </c>
      <c r="P1838">
        <v>0</v>
      </c>
      <c r="Q1838" t="s">
        <v>14</v>
      </c>
      <c r="R1838" s="4">
        <v>189.17</v>
      </c>
      <c r="S1838" s="4">
        <v>93.5</v>
      </c>
      <c r="T1838" t="s">
        <v>31</v>
      </c>
      <c r="U1838" s="4">
        <v>10.7</v>
      </c>
      <c r="V1838" s="4">
        <v>9.0079999999999991</v>
      </c>
      <c r="W1838" s="4">
        <v>95.67</v>
      </c>
    </row>
    <row r="1839" spans="1:23" ht="15" customHeight="1" x14ac:dyDescent="0.25">
      <c r="A1839">
        <v>1411</v>
      </c>
      <c r="B1839" s="1">
        <v>45962.583333333343</v>
      </c>
      <c r="C1839">
        <v>14</v>
      </c>
      <c r="D1839" t="s">
        <v>60</v>
      </c>
      <c r="E1839">
        <v>11</v>
      </c>
      <c r="F1839" t="s">
        <v>39</v>
      </c>
      <c r="G1839" t="s">
        <v>36</v>
      </c>
      <c r="H1839" t="s">
        <v>51</v>
      </c>
      <c r="I1839" t="s">
        <v>25</v>
      </c>
      <c r="J1839" t="s">
        <v>15</v>
      </c>
      <c r="K1839" s="2">
        <v>17400</v>
      </c>
      <c r="L1839" s="3"/>
      <c r="M1839" s="3">
        <v>65.7</v>
      </c>
      <c r="N1839" s="3">
        <v>555.4</v>
      </c>
      <c r="O1839" s="2">
        <v>1530</v>
      </c>
      <c r="P1839">
        <v>0</v>
      </c>
      <c r="Q1839" t="s">
        <v>14</v>
      </c>
      <c r="R1839" s="4">
        <v>217.4</v>
      </c>
      <c r="S1839" s="4">
        <v>67.37</v>
      </c>
      <c r="T1839" t="s">
        <v>31</v>
      </c>
      <c r="U1839" s="4">
        <v>16.47</v>
      </c>
      <c r="V1839" s="4">
        <v>12.494</v>
      </c>
      <c r="W1839" s="4">
        <v>150.03</v>
      </c>
    </row>
    <row r="1840" spans="1:23" ht="15" customHeight="1" x14ac:dyDescent="0.25">
      <c r="A1840">
        <v>307</v>
      </c>
      <c r="B1840" s="1">
        <v>45962.583333333343</v>
      </c>
      <c r="C1840">
        <v>14</v>
      </c>
      <c r="D1840" t="s">
        <v>60</v>
      </c>
      <c r="E1840">
        <v>11</v>
      </c>
      <c r="F1840" t="s">
        <v>39</v>
      </c>
      <c r="G1840" t="s">
        <v>36</v>
      </c>
      <c r="H1840" t="s">
        <v>53</v>
      </c>
      <c r="I1840" t="s">
        <v>19</v>
      </c>
      <c r="J1840" t="s">
        <v>26</v>
      </c>
      <c r="K1840" s="2">
        <v>12500</v>
      </c>
      <c r="L1840" s="3">
        <v>18.600000000000001</v>
      </c>
      <c r="M1840" s="3">
        <v>56.8</v>
      </c>
      <c r="N1840" s="3">
        <v>583.70000000000005</v>
      </c>
      <c r="O1840" s="2">
        <v>4</v>
      </c>
      <c r="P1840">
        <v>0</v>
      </c>
      <c r="Q1840" t="s">
        <v>14</v>
      </c>
      <c r="R1840" s="4">
        <v>15.72</v>
      </c>
      <c r="S1840" s="4">
        <v>88.37</v>
      </c>
      <c r="T1840" t="s">
        <v>31</v>
      </c>
      <c r="U1840" s="4">
        <v>-3.3</v>
      </c>
      <c r="V1840" s="4">
        <v>1.258</v>
      </c>
      <c r="W1840" s="4">
        <v>0</v>
      </c>
    </row>
    <row r="1841" spans="1:23" ht="15" customHeight="1" x14ac:dyDescent="0.25">
      <c r="A1841">
        <v>675</v>
      </c>
      <c r="B1841" s="1">
        <v>45962.583333333343</v>
      </c>
      <c r="C1841">
        <v>14</v>
      </c>
      <c r="D1841" t="s">
        <v>60</v>
      </c>
      <c r="E1841">
        <v>11</v>
      </c>
      <c r="F1841" t="s">
        <v>39</v>
      </c>
      <c r="G1841" t="s">
        <v>36</v>
      </c>
      <c r="H1841" t="s">
        <v>54</v>
      </c>
      <c r="I1841" t="s">
        <v>16</v>
      </c>
      <c r="J1841" t="s">
        <v>24</v>
      </c>
      <c r="K1841" s="2">
        <v>8600</v>
      </c>
      <c r="L1841" s="3">
        <v>16.7</v>
      </c>
      <c r="M1841" s="3">
        <v>76.7</v>
      </c>
      <c r="N1841" s="3"/>
      <c r="O1841" s="2">
        <v>6</v>
      </c>
      <c r="P1841">
        <v>0</v>
      </c>
      <c r="Q1841" t="s">
        <v>14</v>
      </c>
      <c r="R1841" s="4">
        <v>8.08</v>
      </c>
      <c r="S1841" s="4">
        <v>37.9</v>
      </c>
      <c r="T1841" t="s">
        <v>31</v>
      </c>
      <c r="U1841" s="4">
        <v>-1.39</v>
      </c>
      <c r="V1841" s="4">
        <v>0.94</v>
      </c>
      <c r="W1841" s="4">
        <v>0</v>
      </c>
    </row>
    <row r="1842" spans="1:23" ht="15" customHeight="1" x14ac:dyDescent="0.25">
      <c r="A1842">
        <v>1779</v>
      </c>
      <c r="B1842" s="1">
        <v>45962.583333333343</v>
      </c>
      <c r="C1842">
        <v>14</v>
      </c>
      <c r="D1842" t="s">
        <v>60</v>
      </c>
      <c r="E1842">
        <v>11</v>
      </c>
      <c r="F1842" t="s">
        <v>39</v>
      </c>
      <c r="G1842" t="s">
        <v>36</v>
      </c>
      <c r="H1842" t="s">
        <v>49</v>
      </c>
      <c r="I1842" t="s">
        <v>27</v>
      </c>
      <c r="J1842" t="s">
        <v>18</v>
      </c>
      <c r="K1842" s="2">
        <v>26000</v>
      </c>
      <c r="L1842" s="3">
        <v>15.9</v>
      </c>
      <c r="M1842" s="3">
        <v>67.099999999999994</v>
      </c>
      <c r="N1842" s="3">
        <v>583.1</v>
      </c>
      <c r="O1842" s="2">
        <v>3</v>
      </c>
      <c r="P1842">
        <v>0</v>
      </c>
      <c r="Q1842" t="s">
        <v>14</v>
      </c>
      <c r="R1842" s="4">
        <v>31</v>
      </c>
      <c r="S1842" s="4">
        <v>159.51</v>
      </c>
      <c r="T1842" t="s">
        <v>31</v>
      </c>
      <c r="U1842" s="4">
        <v>-5.53</v>
      </c>
      <c r="V1842" s="4">
        <v>1.1919999999999999</v>
      </c>
      <c r="W1842" s="4">
        <v>0</v>
      </c>
    </row>
    <row r="1843" spans="1:23" ht="15" customHeight="1" x14ac:dyDescent="0.25">
      <c r="A1843">
        <v>2147</v>
      </c>
      <c r="B1843" s="1">
        <v>45962.583333333343</v>
      </c>
      <c r="C1843">
        <v>14</v>
      </c>
      <c r="D1843" t="s">
        <v>60</v>
      </c>
      <c r="E1843">
        <v>11</v>
      </c>
      <c r="F1843" t="s">
        <v>39</v>
      </c>
      <c r="G1843" t="s">
        <v>36</v>
      </c>
      <c r="H1843" t="s">
        <v>52</v>
      </c>
      <c r="I1843" t="s">
        <v>13</v>
      </c>
      <c r="J1843" t="s">
        <v>21</v>
      </c>
      <c r="K1843" s="2">
        <v>9800</v>
      </c>
      <c r="L1843" s="3">
        <v>22.5</v>
      </c>
      <c r="M1843" s="3">
        <v>85.6</v>
      </c>
      <c r="N1843" s="3">
        <v>233.3</v>
      </c>
      <c r="O1843" s="2">
        <v>101</v>
      </c>
      <c r="P1843">
        <v>0</v>
      </c>
      <c r="Q1843" t="s">
        <v>14</v>
      </c>
      <c r="R1843" s="4">
        <v>25.62</v>
      </c>
      <c r="S1843" s="4">
        <v>0</v>
      </c>
      <c r="T1843" t="s">
        <v>31</v>
      </c>
      <c r="U1843" s="4">
        <v>2.78</v>
      </c>
      <c r="V1843" s="4">
        <v>2.6139999999999999</v>
      </c>
      <c r="W1843" s="4">
        <v>25.62</v>
      </c>
    </row>
    <row r="1844" spans="1:23" ht="15" customHeight="1" x14ac:dyDescent="0.25">
      <c r="A1844">
        <v>1044</v>
      </c>
      <c r="B1844" s="1">
        <v>45962.833333333343</v>
      </c>
      <c r="C1844">
        <v>20</v>
      </c>
      <c r="D1844" t="s">
        <v>60</v>
      </c>
      <c r="E1844">
        <v>11</v>
      </c>
      <c r="F1844" t="s">
        <v>39</v>
      </c>
      <c r="G1844" t="s">
        <v>36</v>
      </c>
      <c r="H1844" t="s">
        <v>50</v>
      </c>
      <c r="I1844" t="s">
        <v>22</v>
      </c>
      <c r="J1844" t="s">
        <v>12</v>
      </c>
      <c r="K1844" s="2">
        <v>21000</v>
      </c>
      <c r="L1844" s="3">
        <v>16.899999999999999</v>
      </c>
      <c r="M1844" s="3">
        <v>69.2</v>
      </c>
      <c r="N1844" s="3">
        <v>0</v>
      </c>
      <c r="O1844" s="2">
        <v>385</v>
      </c>
      <c r="P1844">
        <v>0</v>
      </c>
      <c r="Q1844" t="s">
        <v>14</v>
      </c>
      <c r="R1844" s="4">
        <v>275.61</v>
      </c>
      <c r="S1844" s="4">
        <v>0</v>
      </c>
      <c r="T1844" t="s">
        <v>31</v>
      </c>
      <c r="U1844" s="4">
        <v>30.59</v>
      </c>
      <c r="V1844" s="4">
        <v>13.124000000000001</v>
      </c>
      <c r="W1844" s="4">
        <v>275.61</v>
      </c>
    </row>
    <row r="1845" spans="1:23" ht="15" customHeight="1" x14ac:dyDescent="0.25">
      <c r="A1845">
        <v>1412</v>
      </c>
      <c r="B1845" s="1">
        <v>45962.833333333343</v>
      </c>
      <c r="C1845">
        <v>20</v>
      </c>
      <c r="D1845" t="s">
        <v>60</v>
      </c>
      <c r="E1845">
        <v>11</v>
      </c>
      <c r="F1845" t="s">
        <v>39</v>
      </c>
      <c r="G1845" t="s">
        <v>36</v>
      </c>
      <c r="H1845" t="s">
        <v>51</v>
      </c>
      <c r="I1845" t="s">
        <v>25</v>
      </c>
      <c r="J1845" t="s">
        <v>15</v>
      </c>
      <c r="K1845" s="2">
        <v>17400</v>
      </c>
      <c r="L1845" s="3">
        <v>16.600000000000001</v>
      </c>
      <c r="M1845" s="3">
        <v>85</v>
      </c>
      <c r="N1845" s="3">
        <v>0</v>
      </c>
      <c r="O1845" s="2">
        <v>1620</v>
      </c>
      <c r="P1845">
        <v>0</v>
      </c>
      <c r="Q1845" t="s">
        <v>14</v>
      </c>
      <c r="R1845" s="4"/>
      <c r="S1845" s="4">
        <v>0</v>
      </c>
      <c r="T1845" t="s">
        <v>31</v>
      </c>
      <c r="U1845" s="4">
        <v>37.03</v>
      </c>
      <c r="V1845" s="4"/>
      <c r="W1845" s="4"/>
    </row>
    <row r="1846" spans="1:23" ht="15" customHeight="1" x14ac:dyDescent="0.25">
      <c r="A1846">
        <v>308</v>
      </c>
      <c r="B1846" s="1">
        <v>45962.833333333343</v>
      </c>
      <c r="C1846">
        <v>20</v>
      </c>
      <c r="D1846" t="s">
        <v>60</v>
      </c>
      <c r="E1846">
        <v>11</v>
      </c>
      <c r="F1846" t="s">
        <v>39</v>
      </c>
      <c r="G1846" t="s">
        <v>36</v>
      </c>
      <c r="H1846" t="s">
        <v>53</v>
      </c>
      <c r="I1846" t="s">
        <v>19</v>
      </c>
      <c r="J1846" t="s">
        <v>26</v>
      </c>
      <c r="K1846" s="2">
        <v>12500</v>
      </c>
      <c r="L1846" s="3">
        <v>12.9</v>
      </c>
      <c r="M1846" s="3">
        <v>61.8</v>
      </c>
      <c r="N1846" s="3">
        <v>0</v>
      </c>
      <c r="O1846" s="2">
        <v>24</v>
      </c>
      <c r="P1846">
        <v>0</v>
      </c>
      <c r="Q1846" t="s">
        <v>14</v>
      </c>
      <c r="R1846" s="4">
        <v>26.93</v>
      </c>
      <c r="S1846" s="4">
        <v>0</v>
      </c>
      <c r="T1846" t="s">
        <v>31</v>
      </c>
      <c r="U1846" s="4">
        <v>2.89</v>
      </c>
      <c r="V1846" s="4">
        <v>2.1539999999999999</v>
      </c>
      <c r="W1846" s="4">
        <v>26.93</v>
      </c>
    </row>
    <row r="1847" spans="1:23" ht="15" customHeight="1" x14ac:dyDescent="0.25">
      <c r="A1847">
        <v>676</v>
      </c>
      <c r="B1847" s="1">
        <v>45962.833333333343</v>
      </c>
      <c r="C1847">
        <v>20</v>
      </c>
      <c r="D1847" t="s">
        <v>60</v>
      </c>
      <c r="E1847">
        <v>11</v>
      </c>
      <c r="F1847" t="s">
        <v>39</v>
      </c>
      <c r="G1847" t="s">
        <v>36</v>
      </c>
      <c r="H1847" t="s">
        <v>54</v>
      </c>
      <c r="I1847" t="s">
        <v>16</v>
      </c>
      <c r="J1847" t="s">
        <v>24</v>
      </c>
      <c r="K1847" s="2">
        <v>8600</v>
      </c>
      <c r="L1847" s="3">
        <v>16.600000000000001</v>
      </c>
      <c r="M1847" s="3"/>
      <c r="N1847" s="3">
        <v>0</v>
      </c>
      <c r="O1847" s="2">
        <v>0</v>
      </c>
      <c r="P1847">
        <v>0</v>
      </c>
      <c r="Q1847" t="s">
        <v>14</v>
      </c>
      <c r="R1847" s="4">
        <v>12.67</v>
      </c>
      <c r="S1847" s="4">
        <v>0</v>
      </c>
      <c r="T1847" t="s">
        <v>31</v>
      </c>
      <c r="U1847" s="4">
        <v>1.4</v>
      </c>
      <c r="V1847" s="4">
        <v>1.4730000000000001</v>
      </c>
      <c r="W1847" s="4">
        <v>12.67</v>
      </c>
    </row>
    <row r="1848" spans="1:23" ht="15" customHeight="1" x14ac:dyDescent="0.25">
      <c r="A1848">
        <v>1780</v>
      </c>
      <c r="B1848" s="1">
        <v>45962.833333333343</v>
      </c>
      <c r="C1848">
        <v>20</v>
      </c>
      <c r="D1848" t="s">
        <v>60</v>
      </c>
      <c r="E1848">
        <v>11</v>
      </c>
      <c r="F1848" t="s">
        <v>39</v>
      </c>
      <c r="G1848" t="s">
        <v>36</v>
      </c>
      <c r="H1848" t="s">
        <v>49</v>
      </c>
      <c r="I1848" t="s">
        <v>27</v>
      </c>
      <c r="J1848" t="s">
        <v>18</v>
      </c>
      <c r="K1848" s="2">
        <v>26000</v>
      </c>
      <c r="L1848" s="3">
        <v>13.4</v>
      </c>
      <c r="M1848" s="3">
        <v>73.8</v>
      </c>
      <c r="N1848" s="3">
        <v>0</v>
      </c>
      <c r="O1848" s="2">
        <v>0</v>
      </c>
      <c r="P1848">
        <v>0</v>
      </c>
      <c r="Q1848" t="s">
        <v>14</v>
      </c>
      <c r="R1848" s="4">
        <v>49.39</v>
      </c>
      <c r="S1848" s="4">
        <v>0</v>
      </c>
      <c r="T1848" t="s">
        <v>31</v>
      </c>
      <c r="U1848" s="4">
        <v>5.38</v>
      </c>
      <c r="V1848" s="4">
        <v>1.9</v>
      </c>
      <c r="W1848" s="4">
        <v>49.39</v>
      </c>
    </row>
    <row r="1849" spans="1:23" ht="15" customHeight="1" x14ac:dyDescent="0.25">
      <c r="A1849">
        <v>2148</v>
      </c>
      <c r="B1849" s="1">
        <v>45962.833333333343</v>
      </c>
      <c r="C1849">
        <v>20</v>
      </c>
      <c r="D1849" t="s">
        <v>60</v>
      </c>
      <c r="E1849">
        <v>11</v>
      </c>
      <c r="F1849" t="s">
        <v>39</v>
      </c>
      <c r="G1849" t="s">
        <v>36</v>
      </c>
      <c r="H1849" t="s">
        <v>52</v>
      </c>
      <c r="I1849" t="s">
        <v>13</v>
      </c>
      <c r="J1849" t="s">
        <v>21</v>
      </c>
      <c r="K1849" s="2">
        <v>9800</v>
      </c>
      <c r="L1849" s="3">
        <v>17.3</v>
      </c>
      <c r="M1849" s="3">
        <v>77.900000000000006</v>
      </c>
      <c r="N1849" s="3">
        <v>0</v>
      </c>
      <c r="O1849" s="2">
        <v>313</v>
      </c>
      <c r="P1849">
        <v>0</v>
      </c>
      <c r="Q1849" t="s">
        <v>14</v>
      </c>
      <c r="R1849" s="4">
        <v>95.22</v>
      </c>
      <c r="S1849" s="4">
        <v>0</v>
      </c>
      <c r="T1849" t="s">
        <v>31</v>
      </c>
      <c r="U1849" s="4">
        <v>10.4</v>
      </c>
      <c r="V1849" s="4">
        <v>9.7159999999999993</v>
      </c>
      <c r="W1849" s="4">
        <v>95.22</v>
      </c>
    </row>
    <row r="1850" spans="1:23" ht="15" customHeight="1" x14ac:dyDescent="0.25">
      <c r="A1850">
        <v>309</v>
      </c>
      <c r="B1850" s="1">
        <v>45966</v>
      </c>
      <c r="C1850">
        <v>0</v>
      </c>
      <c r="D1850" t="s">
        <v>48</v>
      </c>
      <c r="E1850">
        <v>11</v>
      </c>
      <c r="F1850" t="s">
        <v>39</v>
      </c>
      <c r="G1850" t="s">
        <v>33</v>
      </c>
      <c r="H1850" t="s">
        <v>53</v>
      </c>
      <c r="I1850" t="s">
        <v>19</v>
      </c>
      <c r="J1850" t="s">
        <v>26</v>
      </c>
      <c r="K1850" s="2">
        <v>12500</v>
      </c>
      <c r="L1850" s="3">
        <v>8.5</v>
      </c>
      <c r="M1850" s="3">
        <v>75.900000000000006</v>
      </c>
      <c r="N1850" s="3">
        <v>0</v>
      </c>
      <c r="O1850" s="2">
        <v>53</v>
      </c>
      <c r="P1850">
        <v>0</v>
      </c>
      <c r="Q1850" t="s">
        <v>14</v>
      </c>
      <c r="R1850" s="4">
        <v>25.67</v>
      </c>
      <c r="S1850" s="4">
        <v>0</v>
      </c>
      <c r="T1850" t="s">
        <v>31</v>
      </c>
      <c r="U1850" s="4">
        <v>2.78</v>
      </c>
      <c r="V1850" s="4">
        <v>2.0539999999999998</v>
      </c>
      <c r="W1850" s="4">
        <v>25.67</v>
      </c>
    </row>
    <row r="1851" spans="1:23" ht="15" customHeight="1" x14ac:dyDescent="0.25">
      <c r="A1851">
        <v>1413</v>
      </c>
      <c r="B1851" s="1">
        <v>45966</v>
      </c>
      <c r="C1851">
        <v>0</v>
      </c>
      <c r="D1851" t="s">
        <v>48</v>
      </c>
      <c r="E1851">
        <v>11</v>
      </c>
      <c r="F1851" t="s">
        <v>39</v>
      </c>
      <c r="G1851" t="s">
        <v>33</v>
      </c>
      <c r="H1851" t="s">
        <v>51</v>
      </c>
      <c r="I1851" t="s">
        <v>25</v>
      </c>
      <c r="J1851" t="s">
        <v>15</v>
      </c>
      <c r="K1851" s="2">
        <v>17400</v>
      </c>
      <c r="L1851" s="3">
        <v>11.8</v>
      </c>
      <c r="M1851" s="3">
        <v>76.900000000000006</v>
      </c>
      <c r="N1851" s="3">
        <v>0</v>
      </c>
      <c r="O1851" s="2">
        <v>201</v>
      </c>
      <c r="P1851">
        <v>0</v>
      </c>
      <c r="Q1851" t="s">
        <v>14</v>
      </c>
      <c r="R1851" s="4">
        <v>57.23</v>
      </c>
      <c r="S1851" s="4">
        <v>0</v>
      </c>
      <c r="T1851" t="s">
        <v>31</v>
      </c>
      <c r="U1851" s="4">
        <v>6.24</v>
      </c>
      <c r="V1851" s="4">
        <v>3.2890000000000001</v>
      </c>
      <c r="W1851" s="4">
        <v>57.23</v>
      </c>
    </row>
    <row r="1852" spans="1:23" ht="15" customHeight="1" x14ac:dyDescent="0.25">
      <c r="A1852">
        <v>2149</v>
      </c>
      <c r="B1852" s="1">
        <v>45966</v>
      </c>
      <c r="C1852">
        <v>0</v>
      </c>
      <c r="D1852" t="s">
        <v>48</v>
      </c>
      <c r="E1852">
        <v>11</v>
      </c>
      <c r="F1852" t="s">
        <v>39</v>
      </c>
      <c r="G1852" t="s">
        <v>33</v>
      </c>
      <c r="H1852" t="s">
        <v>52</v>
      </c>
      <c r="I1852" t="s">
        <v>13</v>
      </c>
      <c r="J1852" t="s">
        <v>21</v>
      </c>
      <c r="K1852" s="2">
        <v>9800</v>
      </c>
      <c r="L1852" s="3">
        <v>12.6</v>
      </c>
      <c r="M1852" s="3">
        <v>89.5</v>
      </c>
      <c r="N1852" s="3">
        <v>0</v>
      </c>
      <c r="O1852" s="2">
        <v>277</v>
      </c>
      <c r="P1852">
        <v>1</v>
      </c>
      <c r="Q1852" t="s">
        <v>17</v>
      </c>
      <c r="R1852" s="4">
        <v>92.63</v>
      </c>
      <c r="S1852" s="4">
        <v>0</v>
      </c>
      <c r="T1852" t="s">
        <v>31</v>
      </c>
      <c r="U1852" s="4">
        <v>10.119999999999999</v>
      </c>
      <c r="V1852" s="4">
        <v>9.452</v>
      </c>
      <c r="W1852" s="4">
        <v>92.63</v>
      </c>
    </row>
    <row r="1853" spans="1:23" ht="15" customHeight="1" x14ac:dyDescent="0.25">
      <c r="A1853">
        <v>677</v>
      </c>
      <c r="B1853" s="1">
        <v>45966</v>
      </c>
      <c r="C1853">
        <v>0</v>
      </c>
      <c r="D1853" t="s">
        <v>48</v>
      </c>
      <c r="E1853">
        <v>11</v>
      </c>
      <c r="F1853" t="s">
        <v>39</v>
      </c>
      <c r="G1853" t="s">
        <v>33</v>
      </c>
      <c r="H1853" t="s">
        <v>54</v>
      </c>
      <c r="I1853" t="s">
        <v>16</v>
      </c>
      <c r="J1853" t="s">
        <v>24</v>
      </c>
      <c r="K1853" s="2">
        <v>8600</v>
      </c>
      <c r="L1853" s="3">
        <v>11</v>
      </c>
      <c r="M1853" s="3">
        <v>90.7</v>
      </c>
      <c r="N1853" s="3">
        <v>0</v>
      </c>
      <c r="O1853" s="2">
        <v>52</v>
      </c>
      <c r="P1853">
        <v>1</v>
      </c>
      <c r="Q1853" t="s">
        <v>17</v>
      </c>
      <c r="R1853" s="4">
        <v>23.55</v>
      </c>
      <c r="S1853" s="4">
        <v>0</v>
      </c>
      <c r="T1853" t="s">
        <v>31</v>
      </c>
      <c r="U1853" s="4">
        <v>2.61</v>
      </c>
      <c r="V1853" s="4">
        <v>2.738</v>
      </c>
      <c r="W1853" s="4">
        <v>23.55</v>
      </c>
    </row>
    <row r="1854" spans="1:23" ht="15" customHeight="1" x14ac:dyDescent="0.25">
      <c r="A1854">
        <v>1045</v>
      </c>
      <c r="B1854" s="1">
        <v>45966</v>
      </c>
      <c r="C1854">
        <v>0</v>
      </c>
      <c r="D1854" t="s">
        <v>48</v>
      </c>
      <c r="E1854">
        <v>11</v>
      </c>
      <c r="F1854" t="s">
        <v>39</v>
      </c>
      <c r="G1854" t="s">
        <v>33</v>
      </c>
      <c r="H1854" t="s">
        <v>50</v>
      </c>
      <c r="I1854" t="s">
        <v>22</v>
      </c>
      <c r="J1854" t="s">
        <v>12</v>
      </c>
      <c r="K1854" s="2">
        <v>21000</v>
      </c>
      <c r="L1854" s="3">
        <v>9.3000000000000007</v>
      </c>
      <c r="M1854" s="3">
        <v>72.099999999999994</v>
      </c>
      <c r="N1854" s="3">
        <v>0</v>
      </c>
      <c r="O1854" s="2">
        <v>147</v>
      </c>
      <c r="P1854">
        <v>1</v>
      </c>
      <c r="Q1854" t="s">
        <v>17</v>
      </c>
      <c r="R1854" s="4">
        <v>181.63</v>
      </c>
      <c r="S1854" s="4">
        <v>0</v>
      </c>
      <c r="T1854" t="s">
        <v>31</v>
      </c>
      <c r="U1854" s="4">
        <v>19.2</v>
      </c>
      <c r="V1854" s="4">
        <v>8.6489999999999991</v>
      </c>
      <c r="W1854" s="4">
        <v>181.63</v>
      </c>
    </row>
    <row r="1855" spans="1:23" ht="15" customHeight="1" x14ac:dyDescent="0.25">
      <c r="A1855">
        <v>1781</v>
      </c>
      <c r="B1855" s="1">
        <v>45966</v>
      </c>
      <c r="C1855">
        <v>0</v>
      </c>
      <c r="D1855" t="s">
        <v>48</v>
      </c>
      <c r="E1855">
        <v>11</v>
      </c>
      <c r="F1855" t="s">
        <v>39</v>
      </c>
      <c r="G1855" t="s">
        <v>33</v>
      </c>
      <c r="H1855" t="s">
        <v>49</v>
      </c>
      <c r="I1855" t="s">
        <v>27</v>
      </c>
      <c r="J1855" t="s">
        <v>18</v>
      </c>
      <c r="K1855" s="2">
        <v>26000</v>
      </c>
      <c r="L1855" s="3">
        <v>7.2</v>
      </c>
      <c r="M1855" s="3">
        <v>72.900000000000006</v>
      </c>
      <c r="N1855" s="3">
        <v>0</v>
      </c>
      <c r="O1855" s="2">
        <v>54</v>
      </c>
      <c r="P1855">
        <v>1</v>
      </c>
      <c r="Q1855" t="s">
        <v>17</v>
      </c>
      <c r="R1855" s="4">
        <v>127.43</v>
      </c>
      <c r="S1855" s="4">
        <v>0</v>
      </c>
      <c r="T1855" t="s">
        <v>31</v>
      </c>
      <c r="U1855" s="4">
        <v>13.49</v>
      </c>
      <c r="V1855" s="4">
        <v>4.9009999999999998</v>
      </c>
      <c r="W1855" s="4">
        <v>127.43</v>
      </c>
    </row>
    <row r="1856" spans="1:23" ht="15" customHeight="1" x14ac:dyDescent="0.25">
      <c r="A1856">
        <v>2150</v>
      </c>
      <c r="B1856" s="1">
        <v>45966.333333333343</v>
      </c>
      <c r="C1856">
        <v>8</v>
      </c>
      <c r="D1856" t="s">
        <v>48</v>
      </c>
      <c r="E1856">
        <v>11</v>
      </c>
      <c r="F1856" t="s">
        <v>39</v>
      </c>
      <c r="G1856" t="s">
        <v>33</v>
      </c>
      <c r="H1856" t="s">
        <v>52</v>
      </c>
      <c r="I1856" t="s">
        <v>13</v>
      </c>
      <c r="J1856" t="s">
        <v>21</v>
      </c>
      <c r="K1856" s="2">
        <v>9800</v>
      </c>
      <c r="L1856" s="3">
        <v>13.8</v>
      </c>
      <c r="M1856" s="3">
        <v>74</v>
      </c>
      <c r="N1856" s="3">
        <v>23.7</v>
      </c>
      <c r="O1856" s="2">
        <v>44</v>
      </c>
      <c r="P1856">
        <v>1</v>
      </c>
      <c r="Q1856" t="s">
        <v>17</v>
      </c>
      <c r="R1856" s="4">
        <v>30.49</v>
      </c>
      <c r="S1856" s="4">
        <v>0</v>
      </c>
      <c r="T1856" t="s">
        <v>34</v>
      </c>
      <c r="U1856" s="4">
        <v>5.38</v>
      </c>
      <c r="V1856" s="4">
        <v>3.1110000000000002</v>
      </c>
      <c r="W1856" s="4">
        <v>30.49</v>
      </c>
    </row>
    <row r="1857" spans="1:23" ht="15" customHeight="1" x14ac:dyDescent="0.25">
      <c r="A1857">
        <v>1414</v>
      </c>
      <c r="B1857" s="1">
        <v>45966.333333333343</v>
      </c>
      <c r="C1857">
        <v>8</v>
      </c>
      <c r="D1857" t="s">
        <v>48</v>
      </c>
      <c r="E1857">
        <v>11</v>
      </c>
      <c r="F1857" t="s">
        <v>39</v>
      </c>
      <c r="G1857" t="s">
        <v>33</v>
      </c>
      <c r="H1857" t="s">
        <v>51</v>
      </c>
      <c r="I1857" t="s">
        <v>25</v>
      </c>
      <c r="J1857" t="s">
        <v>15</v>
      </c>
      <c r="K1857" s="2">
        <v>17400</v>
      </c>
      <c r="L1857" s="3">
        <v>13.1</v>
      </c>
      <c r="M1857" s="3">
        <v>72.5</v>
      </c>
      <c r="N1857" s="3">
        <v>1.1000000000000001</v>
      </c>
      <c r="O1857" s="2">
        <v>121</v>
      </c>
      <c r="P1857">
        <v>0</v>
      </c>
      <c r="Q1857" t="s">
        <v>14</v>
      </c>
      <c r="R1857" s="4">
        <v>53.12</v>
      </c>
      <c r="S1857" s="4">
        <v>0.15</v>
      </c>
      <c r="T1857" t="s">
        <v>34</v>
      </c>
      <c r="U1857" s="4">
        <v>9.09</v>
      </c>
      <c r="V1857" s="4">
        <v>3.0529999999999999</v>
      </c>
      <c r="W1857" s="4">
        <v>52.97</v>
      </c>
    </row>
    <row r="1858" spans="1:23" ht="15" customHeight="1" x14ac:dyDescent="0.25">
      <c r="A1858">
        <v>1046</v>
      </c>
      <c r="B1858" s="1">
        <v>45966.333333333343</v>
      </c>
      <c r="C1858">
        <v>8</v>
      </c>
      <c r="D1858" t="s">
        <v>48</v>
      </c>
      <c r="E1858">
        <v>11</v>
      </c>
      <c r="F1858" t="s">
        <v>39</v>
      </c>
      <c r="G1858" t="s">
        <v>33</v>
      </c>
      <c r="H1858" t="s">
        <v>50</v>
      </c>
      <c r="I1858" t="s">
        <v>22</v>
      </c>
      <c r="J1858" t="s">
        <v>12</v>
      </c>
      <c r="K1858" s="2">
        <v>21000</v>
      </c>
      <c r="L1858" s="3"/>
      <c r="M1858" s="3">
        <v>80.099999999999994</v>
      </c>
      <c r="N1858" s="3">
        <v>0</v>
      </c>
      <c r="O1858" s="2">
        <v>363</v>
      </c>
      <c r="P1858">
        <v>1</v>
      </c>
      <c r="Q1858" t="s">
        <v>17</v>
      </c>
      <c r="R1858" s="4">
        <v>264.79000000000002</v>
      </c>
      <c r="S1858" s="4">
        <v>0</v>
      </c>
      <c r="T1858" t="s">
        <v>34</v>
      </c>
      <c r="U1858" s="4">
        <v>45.99</v>
      </c>
      <c r="V1858" s="4">
        <v>12.609</v>
      </c>
      <c r="W1858" s="4">
        <v>264.79000000000002</v>
      </c>
    </row>
    <row r="1859" spans="1:23" ht="15" customHeight="1" x14ac:dyDescent="0.25">
      <c r="A1859">
        <v>678</v>
      </c>
      <c r="B1859" s="1">
        <v>45966.333333333343</v>
      </c>
      <c r="C1859">
        <v>8</v>
      </c>
      <c r="D1859" t="s">
        <v>48</v>
      </c>
      <c r="E1859">
        <v>11</v>
      </c>
      <c r="F1859" t="s">
        <v>39</v>
      </c>
      <c r="G1859" t="s">
        <v>33</v>
      </c>
      <c r="H1859" t="s">
        <v>54</v>
      </c>
      <c r="I1859" t="s">
        <v>16</v>
      </c>
      <c r="J1859" t="s">
        <v>24</v>
      </c>
      <c r="K1859" s="2">
        <v>8600</v>
      </c>
      <c r="L1859" s="3">
        <v>12.9</v>
      </c>
      <c r="M1859" s="3">
        <v>77.5</v>
      </c>
      <c r="N1859" s="3">
        <v>0</v>
      </c>
      <c r="O1859" s="2">
        <v>872</v>
      </c>
      <c r="P1859">
        <v>1</v>
      </c>
      <c r="Q1859" t="s">
        <v>17</v>
      </c>
      <c r="R1859" s="4">
        <v>125.79</v>
      </c>
      <c r="S1859" s="4">
        <v>0</v>
      </c>
      <c r="T1859" t="s">
        <v>34</v>
      </c>
      <c r="U1859" s="4">
        <v>22.43</v>
      </c>
      <c r="V1859" s="4">
        <v>14.627000000000001</v>
      </c>
      <c r="W1859" s="4">
        <v>125.79</v>
      </c>
    </row>
    <row r="1860" spans="1:23" ht="15" customHeight="1" x14ac:dyDescent="0.25">
      <c r="A1860">
        <v>1782</v>
      </c>
      <c r="B1860" s="1">
        <v>45966.333333333343</v>
      </c>
      <c r="C1860">
        <v>8</v>
      </c>
      <c r="D1860" t="s">
        <v>48</v>
      </c>
      <c r="E1860">
        <v>11</v>
      </c>
      <c r="F1860" t="s">
        <v>39</v>
      </c>
      <c r="G1860" t="s">
        <v>33</v>
      </c>
      <c r="H1860" t="s">
        <v>49</v>
      </c>
      <c r="I1860" t="s">
        <v>27</v>
      </c>
      <c r="J1860" t="s">
        <v>18</v>
      </c>
      <c r="K1860" s="2">
        <v>26000</v>
      </c>
      <c r="L1860" s="3">
        <v>10.7</v>
      </c>
      <c r="M1860" s="3">
        <v>68.599999999999994</v>
      </c>
      <c r="N1860" s="3">
        <v>28.7</v>
      </c>
      <c r="O1860" s="2">
        <v>158</v>
      </c>
      <c r="P1860">
        <v>1</v>
      </c>
      <c r="Q1860" t="s">
        <v>17</v>
      </c>
      <c r="R1860" s="4">
        <v>241.35</v>
      </c>
      <c r="S1860" s="4">
        <v>7.51</v>
      </c>
      <c r="T1860" t="s">
        <v>34</v>
      </c>
      <c r="U1860" s="4">
        <v>39.64</v>
      </c>
      <c r="V1860" s="4">
        <v>9.2829999999999995</v>
      </c>
      <c r="W1860" s="4">
        <v>233.84</v>
      </c>
    </row>
    <row r="1861" spans="1:23" ht="15" customHeight="1" x14ac:dyDescent="0.25">
      <c r="A1861">
        <v>310</v>
      </c>
      <c r="B1861" s="1">
        <v>45966.333333333343</v>
      </c>
      <c r="C1861">
        <v>8</v>
      </c>
      <c r="D1861" t="s">
        <v>48</v>
      </c>
      <c r="E1861">
        <v>11</v>
      </c>
      <c r="F1861" t="s">
        <v>39</v>
      </c>
      <c r="G1861" t="s">
        <v>33</v>
      </c>
      <c r="H1861" t="s">
        <v>53</v>
      </c>
      <c r="I1861" t="s">
        <v>19</v>
      </c>
      <c r="J1861" t="s">
        <v>26</v>
      </c>
      <c r="K1861" s="2">
        <v>12500</v>
      </c>
      <c r="L1861" s="3">
        <v>7.1</v>
      </c>
      <c r="M1861" s="3">
        <v>72.400000000000006</v>
      </c>
      <c r="N1861" s="3">
        <v>7.4</v>
      </c>
      <c r="O1861" s="2">
        <v>337</v>
      </c>
      <c r="P1861">
        <v>1</v>
      </c>
      <c r="Q1861" t="s">
        <v>17</v>
      </c>
      <c r="R1861" s="4">
        <v>100.78</v>
      </c>
      <c r="S1861" s="4">
        <v>1.1499999999999999</v>
      </c>
      <c r="T1861" t="s">
        <v>34</v>
      </c>
      <c r="U1861" s="4">
        <v>17.809999999999999</v>
      </c>
      <c r="V1861" s="4">
        <v>8.0619999999999994</v>
      </c>
      <c r="W1861" s="4">
        <v>99.63</v>
      </c>
    </row>
    <row r="1862" spans="1:23" ht="15" customHeight="1" x14ac:dyDescent="0.25">
      <c r="A1862">
        <v>679</v>
      </c>
      <c r="B1862" s="1">
        <v>45966.583333333343</v>
      </c>
      <c r="C1862">
        <v>14</v>
      </c>
      <c r="D1862" t="s">
        <v>48</v>
      </c>
      <c r="E1862">
        <v>11</v>
      </c>
      <c r="F1862" t="s">
        <v>39</v>
      </c>
      <c r="G1862" t="s">
        <v>33</v>
      </c>
      <c r="H1862" t="s">
        <v>54</v>
      </c>
      <c r="I1862" t="s">
        <v>16</v>
      </c>
      <c r="J1862" t="s">
        <v>24</v>
      </c>
      <c r="K1862" s="2">
        <v>8600</v>
      </c>
      <c r="L1862" s="3"/>
      <c r="M1862" s="3">
        <v>90.5</v>
      </c>
      <c r="N1862" s="3">
        <v>454.6</v>
      </c>
      <c r="O1862" s="2">
        <v>825</v>
      </c>
      <c r="P1862">
        <v>1</v>
      </c>
      <c r="Q1862" t="s">
        <v>17</v>
      </c>
      <c r="R1862" s="4">
        <v>83.72</v>
      </c>
      <c r="S1862" s="4">
        <v>34.409999999999997</v>
      </c>
      <c r="T1862" t="s">
        <v>34</v>
      </c>
      <c r="U1862" s="4">
        <v>8.58</v>
      </c>
      <c r="V1862" s="4">
        <v>9.7349999999999994</v>
      </c>
      <c r="W1862" s="4">
        <v>49.31</v>
      </c>
    </row>
    <row r="1863" spans="1:23" ht="15" customHeight="1" x14ac:dyDescent="0.25">
      <c r="A1863">
        <v>311</v>
      </c>
      <c r="B1863" s="1">
        <v>45966.583333333343</v>
      </c>
      <c r="C1863">
        <v>14</v>
      </c>
      <c r="D1863" t="s">
        <v>48</v>
      </c>
      <c r="E1863">
        <v>11</v>
      </c>
      <c r="F1863" t="s">
        <v>39</v>
      </c>
      <c r="G1863" t="s">
        <v>33</v>
      </c>
      <c r="H1863" t="s">
        <v>53</v>
      </c>
      <c r="I1863" t="s">
        <v>19</v>
      </c>
      <c r="J1863" t="s">
        <v>26</v>
      </c>
      <c r="K1863" s="2">
        <v>12500</v>
      </c>
      <c r="L1863" s="3">
        <v>14.7</v>
      </c>
      <c r="M1863" s="3">
        <v>68.3</v>
      </c>
      <c r="N1863" s="3">
        <v>457.1</v>
      </c>
      <c r="O1863" s="2">
        <v>591</v>
      </c>
      <c r="P1863">
        <v>1</v>
      </c>
      <c r="Q1863" t="s">
        <v>23</v>
      </c>
      <c r="R1863" s="4">
        <v>104.68</v>
      </c>
      <c r="S1863" s="4">
        <v>70.16</v>
      </c>
      <c r="T1863" t="s">
        <v>34</v>
      </c>
      <c r="U1863" s="4">
        <v>6.07</v>
      </c>
      <c r="V1863" s="4">
        <v>8.3740000000000006</v>
      </c>
      <c r="W1863" s="4">
        <v>34.520000000000003</v>
      </c>
    </row>
    <row r="1864" spans="1:23" ht="15" customHeight="1" x14ac:dyDescent="0.25">
      <c r="A1864">
        <v>2151</v>
      </c>
      <c r="B1864" s="1">
        <v>45966.583333333343</v>
      </c>
      <c r="C1864">
        <v>14</v>
      </c>
      <c r="D1864" t="s">
        <v>48</v>
      </c>
      <c r="E1864">
        <v>11</v>
      </c>
      <c r="F1864" t="s">
        <v>39</v>
      </c>
      <c r="G1864" t="s">
        <v>33</v>
      </c>
      <c r="H1864" t="s">
        <v>52</v>
      </c>
      <c r="I1864" t="s">
        <v>13</v>
      </c>
      <c r="J1864" t="s">
        <v>21</v>
      </c>
      <c r="K1864" s="2">
        <v>9800</v>
      </c>
      <c r="L1864" s="3">
        <v>18.3</v>
      </c>
      <c r="M1864" s="3">
        <v>89</v>
      </c>
      <c r="N1864" s="3">
        <v>453.7</v>
      </c>
      <c r="O1864" s="2">
        <v>55</v>
      </c>
      <c r="P1864">
        <v>0</v>
      </c>
      <c r="Q1864" t="s">
        <v>14</v>
      </c>
      <c r="R1864" s="4">
        <v>17.98</v>
      </c>
      <c r="S1864" s="4">
        <v>0</v>
      </c>
      <c r="T1864" t="s">
        <v>34</v>
      </c>
      <c r="U1864" s="4">
        <v>3.17</v>
      </c>
      <c r="V1864" s="4">
        <v>1.835</v>
      </c>
      <c r="W1864" s="4">
        <v>17.98</v>
      </c>
    </row>
    <row r="1865" spans="1:23" ht="15" customHeight="1" x14ac:dyDescent="0.25">
      <c r="A1865">
        <v>1783</v>
      </c>
      <c r="B1865" s="1">
        <v>45966.583333333343</v>
      </c>
      <c r="C1865">
        <v>14</v>
      </c>
      <c r="D1865" t="s">
        <v>48</v>
      </c>
      <c r="E1865">
        <v>11</v>
      </c>
      <c r="F1865" t="s">
        <v>39</v>
      </c>
      <c r="G1865" t="s">
        <v>33</v>
      </c>
      <c r="H1865" t="s">
        <v>49</v>
      </c>
      <c r="I1865" t="s">
        <v>27</v>
      </c>
      <c r="J1865" t="s">
        <v>18</v>
      </c>
      <c r="K1865" s="2">
        <v>26000</v>
      </c>
      <c r="L1865" s="3">
        <v>21.3</v>
      </c>
      <c r="M1865" s="3">
        <v>48.9</v>
      </c>
      <c r="N1865" s="3">
        <v>550.5</v>
      </c>
      <c r="O1865" s="2">
        <v>169</v>
      </c>
      <c r="P1865">
        <v>0</v>
      </c>
      <c r="Q1865" t="s">
        <v>14</v>
      </c>
      <c r="R1865" s="4">
        <v>154.16999999999999</v>
      </c>
      <c r="S1865" s="4">
        <v>138.09</v>
      </c>
      <c r="T1865" t="s">
        <v>34</v>
      </c>
      <c r="U1865" s="4">
        <v>2.78</v>
      </c>
      <c r="V1865" s="4">
        <v>5.93</v>
      </c>
      <c r="W1865" s="4">
        <v>16.079999999999998</v>
      </c>
    </row>
    <row r="1866" spans="1:23" ht="15" customHeight="1" x14ac:dyDescent="0.25">
      <c r="A1866">
        <v>1047</v>
      </c>
      <c r="B1866" s="1">
        <v>45966.583333333343</v>
      </c>
      <c r="C1866">
        <v>14</v>
      </c>
      <c r="D1866" t="s">
        <v>48</v>
      </c>
      <c r="E1866">
        <v>11</v>
      </c>
      <c r="F1866" t="s">
        <v>39</v>
      </c>
      <c r="G1866" t="s">
        <v>33</v>
      </c>
      <c r="H1866" t="s">
        <v>50</v>
      </c>
      <c r="I1866" t="s">
        <v>22</v>
      </c>
      <c r="J1866" t="s">
        <v>12</v>
      </c>
      <c r="K1866" s="2">
        <v>21000</v>
      </c>
      <c r="L1866" s="3">
        <v>23.2</v>
      </c>
      <c r="M1866" s="3">
        <v>56.4</v>
      </c>
      <c r="N1866" s="3">
        <v>619.6</v>
      </c>
      <c r="O1866" s="2">
        <v>402</v>
      </c>
      <c r="P1866">
        <v>1</v>
      </c>
      <c r="Q1866" t="s">
        <v>23</v>
      </c>
      <c r="R1866" s="4">
        <v>201.74</v>
      </c>
      <c r="S1866" s="4">
        <v>118.79</v>
      </c>
      <c r="T1866" t="s">
        <v>34</v>
      </c>
      <c r="U1866" s="4">
        <v>14.38</v>
      </c>
      <c r="V1866" s="4">
        <v>9.6069999999999993</v>
      </c>
      <c r="W1866" s="4">
        <v>82.95</v>
      </c>
    </row>
    <row r="1867" spans="1:23" ht="15" customHeight="1" x14ac:dyDescent="0.25">
      <c r="A1867">
        <v>1415</v>
      </c>
      <c r="B1867" s="1">
        <v>45966.583333333343</v>
      </c>
      <c r="C1867">
        <v>14</v>
      </c>
      <c r="D1867" t="s">
        <v>48</v>
      </c>
      <c r="E1867">
        <v>11</v>
      </c>
      <c r="F1867" t="s">
        <v>39</v>
      </c>
      <c r="G1867" t="s">
        <v>33</v>
      </c>
      <c r="H1867" t="s">
        <v>51</v>
      </c>
      <c r="I1867" t="s">
        <v>25</v>
      </c>
      <c r="J1867" t="s">
        <v>15</v>
      </c>
      <c r="K1867" s="2">
        <v>17400</v>
      </c>
      <c r="L1867" s="3">
        <v>21.2</v>
      </c>
      <c r="M1867" s="3">
        <v>64</v>
      </c>
      <c r="N1867" s="3">
        <v>463.7</v>
      </c>
      <c r="O1867" s="2">
        <v>1348</v>
      </c>
      <c r="P1867">
        <v>0</v>
      </c>
      <c r="Q1867" t="s">
        <v>14</v>
      </c>
      <c r="R1867" s="4">
        <v>190.34</v>
      </c>
      <c r="S1867" s="4">
        <v>65.180000000000007</v>
      </c>
      <c r="T1867" t="s">
        <v>34</v>
      </c>
      <c r="U1867" s="4">
        <v>21.97</v>
      </c>
      <c r="V1867" s="4">
        <v>10.939</v>
      </c>
      <c r="W1867" s="4">
        <v>125.16</v>
      </c>
    </row>
    <row r="1868" spans="1:23" ht="15" customHeight="1" x14ac:dyDescent="0.25">
      <c r="A1868">
        <v>2152</v>
      </c>
      <c r="B1868" s="1">
        <v>45966.833333333343</v>
      </c>
      <c r="C1868">
        <v>20</v>
      </c>
      <c r="D1868" t="s">
        <v>48</v>
      </c>
      <c r="E1868">
        <v>11</v>
      </c>
      <c r="F1868" t="s">
        <v>39</v>
      </c>
      <c r="G1868" t="s">
        <v>33</v>
      </c>
      <c r="H1868" t="s">
        <v>52</v>
      </c>
      <c r="I1868" t="s">
        <v>13</v>
      </c>
      <c r="J1868" t="s">
        <v>21</v>
      </c>
      <c r="K1868" s="2">
        <v>9800</v>
      </c>
      <c r="L1868" s="3">
        <v>16.399999999999999</v>
      </c>
      <c r="M1868" s="3">
        <v>76.5</v>
      </c>
      <c r="N1868" s="3">
        <v>0</v>
      </c>
      <c r="O1868" s="2">
        <v>303</v>
      </c>
      <c r="P1868">
        <v>0</v>
      </c>
      <c r="Q1868" t="s">
        <v>14</v>
      </c>
      <c r="R1868" s="4">
        <v>99.79</v>
      </c>
      <c r="S1868" s="4">
        <v>0</v>
      </c>
      <c r="T1868" t="s">
        <v>37</v>
      </c>
      <c r="U1868" s="4">
        <v>26.97</v>
      </c>
      <c r="V1868" s="4">
        <v>10.183</v>
      </c>
      <c r="W1868" s="4">
        <v>99.79</v>
      </c>
    </row>
    <row r="1869" spans="1:23" ht="15" customHeight="1" x14ac:dyDescent="0.25">
      <c r="A1869">
        <v>680</v>
      </c>
      <c r="B1869" s="1">
        <v>45966.833333333343</v>
      </c>
      <c r="C1869">
        <v>20</v>
      </c>
      <c r="D1869" t="s">
        <v>48</v>
      </c>
      <c r="E1869">
        <v>11</v>
      </c>
      <c r="F1869" t="s">
        <v>39</v>
      </c>
      <c r="G1869" t="s">
        <v>33</v>
      </c>
      <c r="H1869" t="s">
        <v>54</v>
      </c>
      <c r="I1869" t="s">
        <v>16</v>
      </c>
      <c r="J1869" t="s">
        <v>24</v>
      </c>
      <c r="K1869" s="2">
        <v>8600</v>
      </c>
      <c r="L1869" s="3">
        <v>13.8</v>
      </c>
      <c r="M1869" s="3">
        <v>96.2</v>
      </c>
      <c r="N1869" s="3">
        <v>0</v>
      </c>
      <c r="O1869" s="2">
        <v>93</v>
      </c>
      <c r="P1869">
        <v>1</v>
      </c>
      <c r="Q1869" t="s">
        <v>17</v>
      </c>
      <c r="R1869" s="4">
        <v>23.61</v>
      </c>
      <c r="S1869" s="4">
        <v>0</v>
      </c>
      <c r="T1869" t="s">
        <v>37</v>
      </c>
      <c r="U1869" s="4">
        <v>6.24</v>
      </c>
      <c r="V1869" s="4">
        <v>2.7450000000000001</v>
      </c>
      <c r="W1869" s="4">
        <v>23.61</v>
      </c>
    </row>
    <row r="1870" spans="1:23" ht="15" customHeight="1" x14ac:dyDescent="0.25">
      <c r="A1870">
        <v>312</v>
      </c>
      <c r="B1870" s="1">
        <v>45966.833333333343</v>
      </c>
      <c r="C1870">
        <v>20</v>
      </c>
      <c r="D1870" t="s">
        <v>48</v>
      </c>
      <c r="E1870">
        <v>11</v>
      </c>
      <c r="F1870" t="s">
        <v>39</v>
      </c>
      <c r="G1870" t="s">
        <v>33</v>
      </c>
      <c r="H1870" t="s">
        <v>53</v>
      </c>
      <c r="I1870" t="s">
        <v>19</v>
      </c>
      <c r="J1870" t="s">
        <v>26</v>
      </c>
      <c r="K1870" s="2">
        <v>12500</v>
      </c>
      <c r="L1870" s="3">
        <v>14.7</v>
      </c>
      <c r="M1870" s="3">
        <v>72</v>
      </c>
      <c r="N1870" s="3">
        <v>0</v>
      </c>
      <c r="O1870" s="2">
        <v>92</v>
      </c>
      <c r="P1870">
        <v>1</v>
      </c>
      <c r="Q1870" t="s">
        <v>23</v>
      </c>
      <c r="R1870" s="4">
        <v>39.85</v>
      </c>
      <c r="S1870" s="4">
        <v>0</v>
      </c>
      <c r="T1870" t="s">
        <v>37</v>
      </c>
      <c r="U1870" s="4">
        <v>10.51</v>
      </c>
      <c r="V1870" s="4">
        <v>3.1880000000000002</v>
      </c>
      <c r="W1870" s="4">
        <v>39.85</v>
      </c>
    </row>
    <row r="1871" spans="1:23" ht="15" customHeight="1" x14ac:dyDescent="0.25">
      <c r="A1871">
        <v>1048</v>
      </c>
      <c r="B1871" s="1">
        <v>45966.833333333343</v>
      </c>
      <c r="C1871">
        <v>20</v>
      </c>
      <c r="D1871" t="s">
        <v>48</v>
      </c>
      <c r="E1871">
        <v>11</v>
      </c>
      <c r="F1871" t="s">
        <v>39</v>
      </c>
      <c r="G1871" t="s">
        <v>33</v>
      </c>
      <c r="H1871" t="s">
        <v>50</v>
      </c>
      <c r="I1871" t="s">
        <v>22</v>
      </c>
      <c r="J1871" t="s">
        <v>12</v>
      </c>
      <c r="K1871" s="2">
        <v>21000</v>
      </c>
      <c r="L1871" s="3">
        <v>17.899999999999999</v>
      </c>
      <c r="M1871" s="3">
        <v>75.2</v>
      </c>
      <c r="N1871" s="3">
        <v>0</v>
      </c>
      <c r="O1871" s="2">
        <v>388</v>
      </c>
      <c r="P1871">
        <v>0</v>
      </c>
      <c r="Q1871" t="s">
        <v>14</v>
      </c>
      <c r="R1871" s="4">
        <v>280.98</v>
      </c>
      <c r="S1871" s="4">
        <v>0</v>
      </c>
      <c r="T1871" t="s">
        <v>37</v>
      </c>
      <c r="U1871" s="4">
        <v>77.099999999999994</v>
      </c>
      <c r="V1871" s="4">
        <v>13.38</v>
      </c>
      <c r="W1871" s="4">
        <v>280.98</v>
      </c>
    </row>
    <row r="1872" spans="1:23" ht="15" customHeight="1" x14ac:dyDescent="0.25">
      <c r="A1872">
        <v>1416</v>
      </c>
      <c r="B1872" s="1">
        <v>45966.833333333343</v>
      </c>
      <c r="C1872">
        <v>20</v>
      </c>
      <c r="D1872" t="s">
        <v>48</v>
      </c>
      <c r="E1872">
        <v>11</v>
      </c>
      <c r="F1872" t="s">
        <v>39</v>
      </c>
      <c r="G1872" t="s">
        <v>33</v>
      </c>
      <c r="H1872" t="s">
        <v>51</v>
      </c>
      <c r="I1872" t="s">
        <v>25</v>
      </c>
      <c r="J1872" t="s">
        <v>15</v>
      </c>
      <c r="K1872" s="2">
        <v>17400</v>
      </c>
      <c r="L1872" s="3">
        <v>16.5</v>
      </c>
      <c r="M1872" s="3">
        <v>69.900000000000006</v>
      </c>
      <c r="N1872" s="3">
        <v>0</v>
      </c>
      <c r="O1872" s="2">
        <v>1433</v>
      </c>
      <c r="P1872">
        <v>0</v>
      </c>
      <c r="Q1872" t="s">
        <v>14</v>
      </c>
      <c r="R1872" s="4">
        <v>286.42</v>
      </c>
      <c r="S1872" s="4">
        <v>0</v>
      </c>
      <c r="T1872" t="s">
        <v>37</v>
      </c>
      <c r="U1872" s="4">
        <v>77.22</v>
      </c>
      <c r="V1872" s="4">
        <v>16.460999999999999</v>
      </c>
      <c r="W1872" s="4">
        <v>286.42</v>
      </c>
    </row>
    <row r="1873" spans="1:23" ht="15" customHeight="1" x14ac:dyDescent="0.25">
      <c r="A1873">
        <v>1784</v>
      </c>
      <c r="B1873" s="1">
        <v>45966.833333333343</v>
      </c>
      <c r="C1873">
        <v>20</v>
      </c>
      <c r="D1873" t="s">
        <v>48</v>
      </c>
      <c r="E1873">
        <v>11</v>
      </c>
      <c r="F1873" t="s">
        <v>39</v>
      </c>
      <c r="G1873" t="s">
        <v>33</v>
      </c>
      <c r="H1873" t="s">
        <v>49</v>
      </c>
      <c r="I1873" t="s">
        <v>27</v>
      </c>
      <c r="J1873" t="s">
        <v>18</v>
      </c>
      <c r="K1873" s="2">
        <v>26000</v>
      </c>
      <c r="L1873" s="3">
        <v>11.3</v>
      </c>
      <c r="M1873" s="3">
        <v>70.099999999999994</v>
      </c>
      <c r="N1873" s="3">
        <v>0</v>
      </c>
      <c r="O1873" s="2">
        <v>170</v>
      </c>
      <c r="P1873">
        <v>1</v>
      </c>
      <c r="Q1873" t="s">
        <v>17</v>
      </c>
      <c r="R1873" s="4">
        <v>232.57</v>
      </c>
      <c r="S1873" s="4">
        <v>0</v>
      </c>
      <c r="T1873" t="s">
        <v>37</v>
      </c>
      <c r="U1873" s="4">
        <v>61.49</v>
      </c>
      <c r="V1873" s="4">
        <v>8.9450000000000003</v>
      </c>
      <c r="W1873" s="4">
        <v>232.57</v>
      </c>
    </row>
    <row r="1874" spans="1:23" ht="15" customHeight="1" x14ac:dyDescent="0.25">
      <c r="A1874">
        <v>2153</v>
      </c>
      <c r="B1874" s="1">
        <v>45970</v>
      </c>
      <c r="C1874">
        <v>0</v>
      </c>
      <c r="D1874" t="s">
        <v>55</v>
      </c>
      <c r="E1874">
        <v>11</v>
      </c>
      <c r="F1874" t="s">
        <v>39</v>
      </c>
      <c r="G1874" t="s">
        <v>36</v>
      </c>
      <c r="H1874" t="s">
        <v>52</v>
      </c>
      <c r="I1874" t="s">
        <v>13</v>
      </c>
      <c r="J1874" t="s">
        <v>21</v>
      </c>
      <c r="K1874" s="2">
        <v>9800</v>
      </c>
      <c r="L1874" s="3">
        <v>11.4</v>
      </c>
      <c r="M1874" s="3">
        <v>90</v>
      </c>
      <c r="N1874" s="3">
        <v>0</v>
      </c>
      <c r="O1874" s="2">
        <v>298</v>
      </c>
      <c r="P1874">
        <v>1</v>
      </c>
      <c r="Q1874" t="s">
        <v>17</v>
      </c>
      <c r="R1874" s="4">
        <v>94.33</v>
      </c>
      <c r="S1874" s="4">
        <v>0</v>
      </c>
      <c r="T1874" t="s">
        <v>31</v>
      </c>
      <c r="U1874" s="4">
        <v>10.37</v>
      </c>
      <c r="V1874" s="4">
        <v>9.6259999999999994</v>
      </c>
      <c r="W1874" s="4">
        <v>94.33</v>
      </c>
    </row>
    <row r="1875" spans="1:23" ht="15" customHeight="1" x14ac:dyDescent="0.25">
      <c r="A1875">
        <v>681</v>
      </c>
      <c r="B1875" s="1">
        <v>45970</v>
      </c>
      <c r="C1875">
        <v>0</v>
      </c>
      <c r="D1875" t="s">
        <v>55</v>
      </c>
      <c r="E1875">
        <v>11</v>
      </c>
      <c r="F1875" t="s">
        <v>39</v>
      </c>
      <c r="G1875" t="s">
        <v>36</v>
      </c>
      <c r="H1875" t="s">
        <v>54</v>
      </c>
      <c r="I1875" t="s">
        <v>16</v>
      </c>
      <c r="J1875" t="s">
        <v>24</v>
      </c>
      <c r="K1875" s="2">
        <v>8600</v>
      </c>
      <c r="L1875" s="3">
        <v>11.5</v>
      </c>
      <c r="M1875" s="3">
        <v>90.2</v>
      </c>
      <c r="N1875" s="3">
        <v>0</v>
      </c>
      <c r="O1875" s="2">
        <v>35</v>
      </c>
      <c r="P1875">
        <v>0</v>
      </c>
      <c r="Q1875" t="s">
        <v>14</v>
      </c>
      <c r="R1875" s="4">
        <v>13.42</v>
      </c>
      <c r="S1875" s="4">
        <v>0</v>
      </c>
      <c r="T1875" t="s">
        <v>31</v>
      </c>
      <c r="U1875" s="4">
        <v>1.43</v>
      </c>
      <c r="V1875" s="4">
        <v>1.56</v>
      </c>
      <c r="W1875" s="4">
        <v>13.42</v>
      </c>
    </row>
    <row r="1876" spans="1:23" ht="15" customHeight="1" x14ac:dyDescent="0.25">
      <c r="A1876">
        <v>313</v>
      </c>
      <c r="B1876" s="1">
        <v>45970</v>
      </c>
      <c r="C1876">
        <v>0</v>
      </c>
      <c r="D1876" t="s">
        <v>55</v>
      </c>
      <c r="E1876">
        <v>11</v>
      </c>
      <c r="F1876" t="s">
        <v>39</v>
      </c>
      <c r="G1876" t="s">
        <v>36</v>
      </c>
      <c r="H1876" t="s">
        <v>53</v>
      </c>
      <c r="I1876" t="s">
        <v>19</v>
      </c>
      <c r="J1876" t="s">
        <v>26</v>
      </c>
      <c r="K1876" s="2">
        <v>12500</v>
      </c>
      <c r="L1876" s="3">
        <v>4.0999999999999996</v>
      </c>
      <c r="M1876" s="3">
        <v>75.599999999999994</v>
      </c>
      <c r="N1876" s="3">
        <v>0</v>
      </c>
      <c r="O1876" s="2">
        <v>0</v>
      </c>
      <c r="P1876">
        <v>0</v>
      </c>
      <c r="Q1876" t="s">
        <v>14</v>
      </c>
      <c r="R1876" s="4">
        <v>24.3</v>
      </c>
      <c r="S1876" s="4">
        <v>0</v>
      </c>
      <c r="T1876" t="s">
        <v>31</v>
      </c>
      <c r="U1876" s="4">
        <v>2.67</v>
      </c>
      <c r="V1876" s="4">
        <v>1.944</v>
      </c>
      <c r="W1876" s="4">
        <v>24.3</v>
      </c>
    </row>
    <row r="1877" spans="1:23" ht="15" customHeight="1" x14ac:dyDescent="0.25">
      <c r="A1877">
        <v>1417</v>
      </c>
      <c r="B1877" s="1">
        <v>45970</v>
      </c>
      <c r="C1877">
        <v>0</v>
      </c>
      <c r="D1877" t="s">
        <v>55</v>
      </c>
      <c r="E1877">
        <v>11</v>
      </c>
      <c r="F1877" t="s">
        <v>39</v>
      </c>
      <c r="G1877" t="s">
        <v>36</v>
      </c>
      <c r="H1877" t="s">
        <v>51</v>
      </c>
      <c r="I1877" t="s">
        <v>25</v>
      </c>
      <c r="J1877" t="s">
        <v>15</v>
      </c>
      <c r="K1877" s="2">
        <v>17400</v>
      </c>
      <c r="L1877" s="3">
        <v>11.8</v>
      </c>
      <c r="M1877" s="3">
        <v>97.1</v>
      </c>
      <c r="N1877" s="3">
        <v>0</v>
      </c>
      <c r="O1877" s="2">
        <v>0</v>
      </c>
      <c r="P1877">
        <v>1</v>
      </c>
      <c r="Q1877" t="s">
        <v>17</v>
      </c>
      <c r="R1877" s="4">
        <v>54.66</v>
      </c>
      <c r="S1877" s="4">
        <v>0</v>
      </c>
      <c r="T1877" t="s">
        <v>31</v>
      </c>
      <c r="U1877" s="4">
        <v>5.96</v>
      </c>
      <c r="V1877" s="4">
        <v>3.141</v>
      </c>
      <c r="W1877" s="4">
        <v>54.66</v>
      </c>
    </row>
    <row r="1878" spans="1:23" ht="15" customHeight="1" x14ac:dyDescent="0.25">
      <c r="A1878">
        <v>1785</v>
      </c>
      <c r="B1878" s="1">
        <v>45970</v>
      </c>
      <c r="C1878">
        <v>0</v>
      </c>
      <c r="D1878" t="s">
        <v>55</v>
      </c>
      <c r="E1878">
        <v>11</v>
      </c>
      <c r="F1878" t="s">
        <v>39</v>
      </c>
      <c r="G1878" t="s">
        <v>36</v>
      </c>
      <c r="H1878" t="s">
        <v>49</v>
      </c>
      <c r="I1878" t="s">
        <v>27</v>
      </c>
      <c r="J1878" t="s">
        <v>18</v>
      </c>
      <c r="K1878" s="2">
        <v>26000</v>
      </c>
      <c r="L1878" s="3">
        <v>6.9</v>
      </c>
      <c r="M1878" s="3">
        <v>93.1</v>
      </c>
      <c r="N1878" s="3">
        <v>0</v>
      </c>
      <c r="O1878" s="2">
        <v>23</v>
      </c>
      <c r="P1878">
        <v>1</v>
      </c>
      <c r="Q1878" t="s">
        <v>17</v>
      </c>
      <c r="R1878" s="4">
        <v>86.47</v>
      </c>
      <c r="S1878" s="4">
        <v>0</v>
      </c>
      <c r="T1878" t="s">
        <v>31</v>
      </c>
      <c r="U1878" s="4">
        <v>9.26</v>
      </c>
      <c r="V1878" s="4">
        <v>3.3260000000000001</v>
      </c>
      <c r="W1878" s="4">
        <v>86.47</v>
      </c>
    </row>
    <row r="1879" spans="1:23" ht="15" customHeight="1" x14ac:dyDescent="0.25">
      <c r="A1879">
        <v>1049</v>
      </c>
      <c r="B1879" s="1">
        <v>45970</v>
      </c>
      <c r="C1879">
        <v>0</v>
      </c>
      <c r="D1879" t="s">
        <v>55</v>
      </c>
      <c r="E1879">
        <v>11</v>
      </c>
      <c r="F1879" t="s">
        <v>39</v>
      </c>
      <c r="G1879" t="s">
        <v>36</v>
      </c>
      <c r="H1879" t="s">
        <v>50</v>
      </c>
      <c r="I1879" t="s">
        <v>22</v>
      </c>
      <c r="J1879" t="s">
        <v>12</v>
      </c>
      <c r="K1879" s="2">
        <v>21000</v>
      </c>
      <c r="L1879" s="3">
        <v>6.7</v>
      </c>
      <c r="M1879" s="3">
        <v>67.900000000000006</v>
      </c>
      <c r="N1879" s="3">
        <v>0</v>
      </c>
      <c r="O1879" s="2">
        <v>183</v>
      </c>
      <c r="P1879">
        <v>1</v>
      </c>
      <c r="Q1879" t="s">
        <v>17</v>
      </c>
      <c r="R1879" s="4">
        <v>193.3</v>
      </c>
      <c r="S1879" s="4">
        <v>0</v>
      </c>
      <c r="T1879" t="s">
        <v>31</v>
      </c>
      <c r="U1879" s="4">
        <v>21.05</v>
      </c>
      <c r="V1879" s="4">
        <v>9.2050000000000001</v>
      </c>
      <c r="W1879" s="4">
        <v>193.3</v>
      </c>
    </row>
    <row r="1880" spans="1:23" ht="15" customHeight="1" x14ac:dyDescent="0.25">
      <c r="A1880">
        <v>2154</v>
      </c>
      <c r="B1880" s="1">
        <v>45970.333333333343</v>
      </c>
      <c r="C1880">
        <v>8</v>
      </c>
      <c r="D1880" t="s">
        <v>55</v>
      </c>
      <c r="E1880">
        <v>11</v>
      </c>
      <c r="F1880" t="s">
        <v>39</v>
      </c>
      <c r="G1880" t="s">
        <v>36</v>
      </c>
      <c r="H1880" t="s">
        <v>52</v>
      </c>
      <c r="I1880" t="s">
        <v>13</v>
      </c>
      <c r="J1880" t="s">
        <v>21</v>
      </c>
      <c r="K1880" s="2">
        <v>9800</v>
      </c>
      <c r="L1880" s="3">
        <v>13.4</v>
      </c>
      <c r="M1880" s="3"/>
      <c r="N1880" s="3">
        <v>0</v>
      </c>
      <c r="O1880" s="2">
        <v>89</v>
      </c>
      <c r="P1880">
        <v>1</v>
      </c>
      <c r="Q1880" t="s">
        <v>17</v>
      </c>
      <c r="R1880" s="4">
        <v>41.1</v>
      </c>
      <c r="S1880" s="4">
        <v>0</v>
      </c>
      <c r="T1880" t="s">
        <v>31</v>
      </c>
      <c r="U1880" s="4">
        <v>4.4800000000000004</v>
      </c>
      <c r="V1880" s="4">
        <v>4.194</v>
      </c>
      <c r="W1880" s="4">
        <v>41.1</v>
      </c>
    </row>
    <row r="1881" spans="1:23" ht="15" customHeight="1" x14ac:dyDescent="0.25">
      <c r="A1881">
        <v>1050</v>
      </c>
      <c r="B1881" s="1">
        <v>45970.333333333343</v>
      </c>
      <c r="C1881">
        <v>8</v>
      </c>
      <c r="D1881" t="s">
        <v>55</v>
      </c>
      <c r="E1881">
        <v>11</v>
      </c>
      <c r="F1881" t="s">
        <v>39</v>
      </c>
      <c r="G1881" t="s">
        <v>36</v>
      </c>
      <c r="H1881" t="s">
        <v>50</v>
      </c>
      <c r="I1881" t="s">
        <v>22</v>
      </c>
      <c r="J1881" t="s">
        <v>12</v>
      </c>
      <c r="K1881" s="2">
        <v>21000</v>
      </c>
      <c r="L1881" s="3">
        <v>14.1</v>
      </c>
      <c r="M1881" s="3">
        <v>71</v>
      </c>
      <c r="N1881" s="3">
        <v>0</v>
      </c>
      <c r="O1881" s="2">
        <v>413</v>
      </c>
      <c r="P1881">
        <v>1</v>
      </c>
      <c r="Q1881" t="s">
        <v>17</v>
      </c>
      <c r="R1881" s="4">
        <v>291.98</v>
      </c>
      <c r="S1881" s="4">
        <v>0</v>
      </c>
      <c r="T1881" t="s">
        <v>31</v>
      </c>
      <c r="U1881" s="4">
        <v>32.03</v>
      </c>
      <c r="V1881" s="4">
        <v>13.904</v>
      </c>
      <c r="W1881" s="4">
        <v>291.98</v>
      </c>
    </row>
    <row r="1882" spans="1:23" ht="15" customHeight="1" x14ac:dyDescent="0.25">
      <c r="A1882">
        <v>314</v>
      </c>
      <c r="B1882" s="1">
        <v>45970.333333333343</v>
      </c>
      <c r="C1882">
        <v>8</v>
      </c>
      <c r="D1882" t="s">
        <v>55</v>
      </c>
      <c r="E1882">
        <v>11</v>
      </c>
      <c r="F1882" t="s">
        <v>39</v>
      </c>
      <c r="G1882" t="s">
        <v>36</v>
      </c>
      <c r="H1882" t="s">
        <v>53</v>
      </c>
      <c r="I1882" t="s">
        <v>19</v>
      </c>
      <c r="J1882" t="s">
        <v>26</v>
      </c>
      <c r="K1882" s="2">
        <v>12500</v>
      </c>
      <c r="L1882" s="3">
        <v>11.5</v>
      </c>
      <c r="M1882" s="3">
        <v>79.5</v>
      </c>
      <c r="N1882" s="3">
        <v>0</v>
      </c>
      <c r="O1882" s="2">
        <v>3</v>
      </c>
      <c r="P1882">
        <v>0</v>
      </c>
      <c r="Q1882" t="s">
        <v>14</v>
      </c>
      <c r="R1882" s="4">
        <v>23.4</v>
      </c>
      <c r="S1882" s="4">
        <v>0</v>
      </c>
      <c r="T1882" t="s">
        <v>31</v>
      </c>
      <c r="U1882" s="4">
        <v>2.5099999999999998</v>
      </c>
      <c r="V1882" s="4">
        <v>1.8720000000000001</v>
      </c>
      <c r="W1882" s="4">
        <v>23.4</v>
      </c>
    </row>
    <row r="1883" spans="1:23" ht="15" customHeight="1" x14ac:dyDescent="0.25">
      <c r="A1883">
        <v>1418</v>
      </c>
      <c r="B1883" s="1">
        <v>45970.333333333343</v>
      </c>
      <c r="C1883">
        <v>8</v>
      </c>
      <c r="D1883" t="s">
        <v>55</v>
      </c>
      <c r="E1883">
        <v>11</v>
      </c>
      <c r="F1883" t="s">
        <v>39</v>
      </c>
      <c r="G1883" t="s">
        <v>36</v>
      </c>
      <c r="H1883" t="s">
        <v>51</v>
      </c>
      <c r="I1883" t="s">
        <v>25</v>
      </c>
      <c r="J1883" t="s">
        <v>15</v>
      </c>
      <c r="K1883" s="2">
        <v>17400</v>
      </c>
      <c r="L1883" s="3">
        <v>10.9</v>
      </c>
      <c r="M1883" s="3">
        <v>81.400000000000006</v>
      </c>
      <c r="N1883" s="3">
        <v>0</v>
      </c>
      <c r="O1883" s="2">
        <v>72</v>
      </c>
      <c r="P1883">
        <v>1</v>
      </c>
      <c r="Q1883" t="s">
        <v>17</v>
      </c>
      <c r="R1883" s="4">
        <v>63.92</v>
      </c>
      <c r="S1883" s="4">
        <v>0</v>
      </c>
      <c r="T1883" t="s">
        <v>31</v>
      </c>
      <c r="U1883" s="4">
        <v>6.88</v>
      </c>
      <c r="V1883" s="4">
        <v>3.6739999999999999</v>
      </c>
      <c r="W1883" s="4">
        <v>63.92</v>
      </c>
    </row>
    <row r="1884" spans="1:23" ht="15" customHeight="1" x14ac:dyDescent="0.25">
      <c r="A1884">
        <v>1786</v>
      </c>
      <c r="B1884" s="1">
        <v>45970.333333333343</v>
      </c>
      <c r="C1884">
        <v>8</v>
      </c>
      <c r="D1884" t="s">
        <v>55</v>
      </c>
      <c r="E1884">
        <v>11</v>
      </c>
      <c r="F1884" t="s">
        <v>39</v>
      </c>
      <c r="G1884" t="s">
        <v>36</v>
      </c>
      <c r="H1884" t="s">
        <v>49</v>
      </c>
      <c r="I1884" t="s">
        <v>27</v>
      </c>
      <c r="J1884" t="s">
        <v>18</v>
      </c>
      <c r="K1884" s="2">
        <v>26000</v>
      </c>
      <c r="L1884" s="3">
        <v>10.7</v>
      </c>
      <c r="M1884" s="3">
        <v>76.7</v>
      </c>
      <c r="N1884" s="3">
        <v>0</v>
      </c>
      <c r="O1884" s="2">
        <v>68</v>
      </c>
      <c r="P1884">
        <v>1</v>
      </c>
      <c r="Q1884" t="s">
        <v>17</v>
      </c>
      <c r="R1884" s="4">
        <v>141.30000000000001</v>
      </c>
      <c r="S1884" s="4">
        <v>0</v>
      </c>
      <c r="T1884" t="s">
        <v>31</v>
      </c>
      <c r="U1884" s="4">
        <v>16.36</v>
      </c>
      <c r="V1884" s="4">
        <v>5.4349999999999996</v>
      </c>
      <c r="W1884" s="4">
        <v>141.30000000000001</v>
      </c>
    </row>
    <row r="1885" spans="1:23" ht="15" customHeight="1" x14ac:dyDescent="0.25">
      <c r="A1885">
        <v>682</v>
      </c>
      <c r="B1885" s="1">
        <v>45970.333333333343</v>
      </c>
      <c r="C1885">
        <v>8</v>
      </c>
      <c r="D1885" t="s">
        <v>55</v>
      </c>
      <c r="E1885">
        <v>11</v>
      </c>
      <c r="F1885" t="s">
        <v>39</v>
      </c>
      <c r="G1885" t="s">
        <v>36</v>
      </c>
      <c r="H1885" t="s">
        <v>54</v>
      </c>
      <c r="I1885" t="s">
        <v>16</v>
      </c>
      <c r="J1885" t="s">
        <v>24</v>
      </c>
      <c r="K1885" s="2">
        <v>8600</v>
      </c>
      <c r="L1885" s="3">
        <v>10.8</v>
      </c>
      <c r="M1885" s="3">
        <v>89</v>
      </c>
      <c r="N1885" s="3">
        <v>0</v>
      </c>
      <c r="O1885" s="2">
        <v>0</v>
      </c>
      <c r="P1885">
        <v>0</v>
      </c>
      <c r="Q1885" t="s">
        <v>14</v>
      </c>
      <c r="R1885" s="4">
        <v>13.4</v>
      </c>
      <c r="S1885" s="4">
        <v>0</v>
      </c>
      <c r="T1885" t="s">
        <v>31</v>
      </c>
      <c r="U1885" s="4">
        <v>1.41</v>
      </c>
      <c r="V1885" s="4">
        <v>1.5580000000000001</v>
      </c>
      <c r="W1885" s="4">
        <v>13.4</v>
      </c>
    </row>
    <row r="1886" spans="1:23" ht="15" customHeight="1" x14ac:dyDescent="0.25">
      <c r="A1886">
        <v>315</v>
      </c>
      <c r="B1886" s="1">
        <v>45970.583333333343</v>
      </c>
      <c r="C1886">
        <v>14</v>
      </c>
      <c r="D1886" t="s">
        <v>55</v>
      </c>
      <c r="E1886">
        <v>11</v>
      </c>
      <c r="F1886" t="s">
        <v>39</v>
      </c>
      <c r="G1886" t="s">
        <v>36</v>
      </c>
      <c r="H1886" t="s">
        <v>53</v>
      </c>
      <c r="I1886" t="s">
        <v>19</v>
      </c>
      <c r="J1886" t="s">
        <v>26</v>
      </c>
      <c r="K1886" s="2">
        <v>12500</v>
      </c>
      <c r="L1886" s="3">
        <v>17.899999999999999</v>
      </c>
      <c r="M1886" s="3">
        <v>63.9</v>
      </c>
      <c r="N1886" s="3">
        <v>410.7</v>
      </c>
      <c r="O1886" s="2">
        <v>14</v>
      </c>
      <c r="P1886">
        <v>0</v>
      </c>
      <c r="Q1886" t="s">
        <v>14</v>
      </c>
      <c r="R1886" s="4">
        <v>16.97</v>
      </c>
      <c r="S1886" s="4">
        <v>60.02</v>
      </c>
      <c r="T1886" t="s">
        <v>31</v>
      </c>
      <c r="U1886" s="4">
        <v>-1.88</v>
      </c>
      <c r="V1886" s="4">
        <v>1.3580000000000001</v>
      </c>
      <c r="W1886" s="4">
        <v>0</v>
      </c>
    </row>
    <row r="1887" spans="1:23" ht="15" customHeight="1" x14ac:dyDescent="0.25">
      <c r="A1887">
        <v>2155</v>
      </c>
      <c r="B1887" s="1">
        <v>45970.583333333343</v>
      </c>
      <c r="C1887">
        <v>14</v>
      </c>
      <c r="D1887" t="s">
        <v>55</v>
      </c>
      <c r="E1887">
        <v>11</v>
      </c>
      <c r="F1887" t="s">
        <v>39</v>
      </c>
      <c r="G1887" t="s">
        <v>36</v>
      </c>
      <c r="H1887" t="s">
        <v>52</v>
      </c>
      <c r="I1887" t="s">
        <v>13</v>
      </c>
      <c r="J1887" t="s">
        <v>21</v>
      </c>
      <c r="K1887" s="2">
        <v>9800</v>
      </c>
      <c r="L1887" s="3">
        <v>16.7</v>
      </c>
      <c r="M1887" s="3">
        <v>76</v>
      </c>
      <c r="N1887" s="3">
        <v>413.8</v>
      </c>
      <c r="O1887" s="2">
        <v>152</v>
      </c>
      <c r="P1887">
        <v>0</v>
      </c>
      <c r="Q1887" t="s">
        <v>14</v>
      </c>
      <c r="R1887" s="4">
        <v>28.45</v>
      </c>
      <c r="S1887" s="4">
        <v>0</v>
      </c>
      <c r="T1887" t="s">
        <v>31</v>
      </c>
      <c r="U1887" s="4">
        <v>3.01</v>
      </c>
      <c r="V1887" s="4">
        <v>2.903</v>
      </c>
      <c r="W1887" s="4">
        <v>28.45</v>
      </c>
    </row>
    <row r="1888" spans="1:23" ht="15" customHeight="1" x14ac:dyDescent="0.25">
      <c r="A1888">
        <v>1419</v>
      </c>
      <c r="B1888" s="1">
        <v>45970.583333333343</v>
      </c>
      <c r="C1888">
        <v>14</v>
      </c>
      <c r="D1888" t="s">
        <v>55</v>
      </c>
      <c r="E1888">
        <v>11</v>
      </c>
      <c r="F1888" t="s">
        <v>39</v>
      </c>
      <c r="G1888" t="s">
        <v>36</v>
      </c>
      <c r="H1888" t="s">
        <v>51</v>
      </c>
      <c r="I1888" t="s">
        <v>25</v>
      </c>
      <c r="J1888" t="s">
        <v>15</v>
      </c>
      <c r="K1888" s="2">
        <v>17400</v>
      </c>
      <c r="L1888" s="3">
        <v>19.3</v>
      </c>
      <c r="M1888" s="3">
        <v>69.5</v>
      </c>
      <c r="N1888" s="3">
        <v>500.8</v>
      </c>
      <c r="O1888" s="2">
        <v>1525</v>
      </c>
      <c r="P1888">
        <v>0</v>
      </c>
      <c r="Q1888" t="s">
        <v>14</v>
      </c>
      <c r="R1888" s="4">
        <v>226.21</v>
      </c>
      <c r="S1888" s="4">
        <v>59.38</v>
      </c>
      <c r="T1888" t="s">
        <v>31</v>
      </c>
      <c r="U1888" s="4">
        <v>17.75</v>
      </c>
      <c r="V1888" s="4">
        <v>13.000999999999999</v>
      </c>
      <c r="W1888" s="4">
        <v>166.83</v>
      </c>
    </row>
    <row r="1889" spans="1:23" ht="15" customHeight="1" x14ac:dyDescent="0.25">
      <c r="A1889">
        <v>1787</v>
      </c>
      <c r="B1889" s="1">
        <v>45970.583333333343</v>
      </c>
      <c r="C1889">
        <v>14</v>
      </c>
      <c r="D1889" t="s">
        <v>55</v>
      </c>
      <c r="E1889">
        <v>11</v>
      </c>
      <c r="F1889" t="s">
        <v>39</v>
      </c>
      <c r="G1889" t="s">
        <v>36</v>
      </c>
      <c r="H1889" t="s">
        <v>49</v>
      </c>
      <c r="I1889" t="s">
        <v>27</v>
      </c>
      <c r="J1889" t="s">
        <v>18</v>
      </c>
      <c r="K1889" s="2">
        <v>26000</v>
      </c>
      <c r="L1889" s="3">
        <v>16</v>
      </c>
      <c r="M1889" s="3">
        <v>57.4</v>
      </c>
      <c r="N1889" s="3">
        <v>411.7</v>
      </c>
      <c r="O1889" s="2">
        <v>58</v>
      </c>
      <c r="P1889">
        <v>0</v>
      </c>
      <c r="Q1889" t="s">
        <v>14</v>
      </c>
      <c r="R1889" s="4">
        <v>84.1</v>
      </c>
      <c r="S1889" s="4">
        <v>107.2</v>
      </c>
      <c r="T1889" t="s">
        <v>31</v>
      </c>
      <c r="U1889" s="4">
        <v>-1.02</v>
      </c>
      <c r="V1889" s="4">
        <v>3.2349999999999999</v>
      </c>
      <c r="W1889" s="4">
        <v>0</v>
      </c>
    </row>
    <row r="1890" spans="1:23" ht="15" customHeight="1" x14ac:dyDescent="0.25">
      <c r="A1890">
        <v>1051</v>
      </c>
      <c r="B1890" s="1">
        <v>45970.583333333343</v>
      </c>
      <c r="C1890">
        <v>14</v>
      </c>
      <c r="D1890" t="s">
        <v>55</v>
      </c>
      <c r="E1890">
        <v>11</v>
      </c>
      <c r="F1890" t="s">
        <v>39</v>
      </c>
      <c r="G1890" t="s">
        <v>36</v>
      </c>
      <c r="H1890" t="s">
        <v>50</v>
      </c>
      <c r="I1890" t="s">
        <v>22</v>
      </c>
      <c r="J1890" t="s">
        <v>12</v>
      </c>
      <c r="K1890" s="2">
        <v>21000</v>
      </c>
      <c r="L1890" s="3">
        <v>19.600000000000001</v>
      </c>
      <c r="M1890" s="3">
        <v>53.1</v>
      </c>
      <c r="N1890" s="3">
        <v>595.29999999999995</v>
      </c>
      <c r="O1890" s="2">
        <v>420</v>
      </c>
      <c r="P1890">
        <v>0</v>
      </c>
      <c r="Q1890" t="s">
        <v>14</v>
      </c>
      <c r="R1890" s="4">
        <v>201.58</v>
      </c>
      <c r="S1890" s="4">
        <v>118.01</v>
      </c>
      <c r="T1890" t="s">
        <v>31</v>
      </c>
      <c r="U1890" s="4">
        <v>8.8699999999999992</v>
      </c>
      <c r="V1890" s="4">
        <v>9.5990000000000002</v>
      </c>
      <c r="W1890" s="4">
        <v>83.57</v>
      </c>
    </row>
    <row r="1891" spans="1:23" ht="15" customHeight="1" x14ac:dyDescent="0.25">
      <c r="A1891">
        <v>683</v>
      </c>
      <c r="B1891" s="1">
        <v>45970.583333333343</v>
      </c>
      <c r="C1891">
        <v>14</v>
      </c>
      <c r="D1891" t="s">
        <v>55</v>
      </c>
      <c r="E1891">
        <v>11</v>
      </c>
      <c r="F1891" t="s">
        <v>39</v>
      </c>
      <c r="G1891" t="s">
        <v>36</v>
      </c>
      <c r="H1891" t="s">
        <v>54</v>
      </c>
      <c r="I1891" t="s">
        <v>16</v>
      </c>
      <c r="J1891" t="s">
        <v>24</v>
      </c>
      <c r="K1891" s="2">
        <v>8600</v>
      </c>
      <c r="L1891" s="3">
        <v>13.5</v>
      </c>
      <c r="M1891" s="3">
        <v>95.1</v>
      </c>
      <c r="N1891" s="3">
        <v>453.5</v>
      </c>
      <c r="O1891" s="2">
        <v>37</v>
      </c>
      <c r="P1891">
        <v>0</v>
      </c>
      <c r="Q1891" t="s">
        <v>14</v>
      </c>
      <c r="R1891" s="4">
        <v>8.9499999999999993</v>
      </c>
      <c r="S1891" s="4">
        <v>33.090000000000003</v>
      </c>
      <c r="T1891" t="s">
        <v>31</v>
      </c>
      <c r="U1891" s="4">
        <v>-1.06</v>
      </c>
      <c r="V1891" s="4">
        <v>1.0409999999999999</v>
      </c>
      <c r="W1891" s="4">
        <v>0</v>
      </c>
    </row>
    <row r="1892" spans="1:23" ht="15" customHeight="1" x14ac:dyDescent="0.25">
      <c r="A1892">
        <v>316</v>
      </c>
      <c r="B1892" s="1">
        <v>45970.833333333343</v>
      </c>
      <c r="C1892">
        <v>20</v>
      </c>
      <c r="D1892" t="s">
        <v>55</v>
      </c>
      <c r="E1892">
        <v>11</v>
      </c>
      <c r="F1892" t="s">
        <v>39</v>
      </c>
      <c r="G1892" t="s">
        <v>36</v>
      </c>
      <c r="H1892" t="s">
        <v>53</v>
      </c>
      <c r="I1892" t="s">
        <v>19</v>
      </c>
      <c r="J1892" t="s">
        <v>26</v>
      </c>
      <c r="K1892" s="2">
        <v>12500</v>
      </c>
      <c r="L1892" s="3">
        <v>10.5</v>
      </c>
      <c r="M1892" s="3">
        <v>66.900000000000006</v>
      </c>
      <c r="N1892" s="3">
        <v>0</v>
      </c>
      <c r="O1892" s="2">
        <v>2</v>
      </c>
      <c r="P1892">
        <v>0</v>
      </c>
      <c r="Q1892" t="s">
        <v>14</v>
      </c>
      <c r="R1892" s="4">
        <v>23.14</v>
      </c>
      <c r="S1892" s="4">
        <v>0</v>
      </c>
      <c r="T1892" t="s">
        <v>31</v>
      </c>
      <c r="U1892" s="4">
        <v>2.62</v>
      </c>
      <c r="V1892" s="4">
        <v>1.851</v>
      </c>
      <c r="W1892" s="4">
        <v>23.14</v>
      </c>
    </row>
    <row r="1893" spans="1:23" ht="15" customHeight="1" x14ac:dyDescent="0.25">
      <c r="A1893">
        <v>684</v>
      </c>
      <c r="B1893" s="1">
        <v>45970.833333333343</v>
      </c>
      <c r="C1893">
        <v>20</v>
      </c>
      <c r="D1893" t="s">
        <v>55</v>
      </c>
      <c r="E1893">
        <v>11</v>
      </c>
      <c r="F1893" t="s">
        <v>39</v>
      </c>
      <c r="G1893" t="s">
        <v>36</v>
      </c>
      <c r="H1893" t="s">
        <v>54</v>
      </c>
      <c r="I1893" t="s">
        <v>16</v>
      </c>
      <c r="J1893" t="s">
        <v>24</v>
      </c>
      <c r="K1893" s="2">
        <v>8600</v>
      </c>
      <c r="L1893" s="3">
        <v>12.8</v>
      </c>
      <c r="M1893" s="3">
        <v>89.1</v>
      </c>
      <c r="N1893" s="3">
        <v>0</v>
      </c>
      <c r="O1893" s="2">
        <v>15</v>
      </c>
      <c r="P1893">
        <v>0</v>
      </c>
      <c r="Q1893" t="s">
        <v>14</v>
      </c>
      <c r="R1893" s="4">
        <v>14.09</v>
      </c>
      <c r="S1893" s="4">
        <v>0</v>
      </c>
      <c r="T1893" t="s">
        <v>31</v>
      </c>
      <c r="U1893" s="4">
        <v>1.53</v>
      </c>
      <c r="V1893" s="4">
        <v>1.6379999999999999</v>
      </c>
      <c r="W1893" s="4">
        <v>14.09</v>
      </c>
    </row>
    <row r="1894" spans="1:23" ht="15" customHeight="1" x14ac:dyDescent="0.25">
      <c r="A1894">
        <v>1420</v>
      </c>
      <c r="B1894" s="1">
        <v>45970.833333333343</v>
      </c>
      <c r="C1894">
        <v>20</v>
      </c>
      <c r="D1894" t="s">
        <v>55</v>
      </c>
      <c r="E1894">
        <v>11</v>
      </c>
      <c r="F1894" t="s">
        <v>39</v>
      </c>
      <c r="G1894" t="s">
        <v>36</v>
      </c>
      <c r="H1894" t="s">
        <v>51</v>
      </c>
      <c r="I1894" t="s">
        <v>25</v>
      </c>
      <c r="J1894" t="s">
        <v>15</v>
      </c>
      <c r="K1894" s="2">
        <v>17400</v>
      </c>
      <c r="L1894" s="3">
        <v>17</v>
      </c>
      <c r="M1894" s="3">
        <v>87</v>
      </c>
      <c r="N1894" s="3">
        <v>0</v>
      </c>
      <c r="O1894" s="2">
        <v>1506</v>
      </c>
      <c r="P1894">
        <v>0</v>
      </c>
      <c r="Q1894" t="s">
        <v>14</v>
      </c>
      <c r="R1894" s="4">
        <v>298.37</v>
      </c>
      <c r="S1894" s="4">
        <v>0</v>
      </c>
      <c r="T1894" t="s">
        <v>31</v>
      </c>
      <c r="U1894" s="4">
        <v>32.020000000000003</v>
      </c>
      <c r="V1894" s="4">
        <v>17.148</v>
      </c>
      <c r="W1894" s="4">
        <v>298.37</v>
      </c>
    </row>
    <row r="1895" spans="1:23" ht="15" customHeight="1" x14ac:dyDescent="0.25">
      <c r="A1895">
        <v>1788</v>
      </c>
      <c r="B1895" s="1">
        <v>45970.833333333343</v>
      </c>
      <c r="C1895">
        <v>20</v>
      </c>
      <c r="D1895" t="s">
        <v>55</v>
      </c>
      <c r="E1895">
        <v>11</v>
      </c>
      <c r="F1895" t="s">
        <v>39</v>
      </c>
      <c r="G1895" t="s">
        <v>36</v>
      </c>
      <c r="H1895" t="s">
        <v>49</v>
      </c>
      <c r="I1895" t="s">
        <v>27</v>
      </c>
      <c r="J1895" t="s">
        <v>18</v>
      </c>
      <c r="K1895" s="2">
        <v>26000</v>
      </c>
      <c r="L1895" s="3">
        <v>14.5</v>
      </c>
      <c r="M1895" s="3">
        <v>76.099999999999994</v>
      </c>
      <c r="N1895" s="3">
        <v>0</v>
      </c>
      <c r="O1895" s="2">
        <v>79</v>
      </c>
      <c r="P1895">
        <v>1</v>
      </c>
      <c r="Q1895" t="s">
        <v>23</v>
      </c>
      <c r="R1895" s="4">
        <v>129.47</v>
      </c>
      <c r="S1895" s="4">
        <v>0</v>
      </c>
      <c r="T1895" t="s">
        <v>31</v>
      </c>
      <c r="U1895" s="4">
        <v>14.05</v>
      </c>
      <c r="V1895" s="4">
        <v>4.9800000000000004</v>
      </c>
      <c r="W1895" s="4">
        <v>129.47</v>
      </c>
    </row>
    <row r="1896" spans="1:23" ht="15" customHeight="1" x14ac:dyDescent="0.25">
      <c r="A1896">
        <v>2156</v>
      </c>
      <c r="B1896" s="1">
        <v>45970.833333333343</v>
      </c>
      <c r="C1896">
        <v>20</v>
      </c>
      <c r="D1896" t="s">
        <v>55</v>
      </c>
      <c r="E1896">
        <v>11</v>
      </c>
      <c r="F1896" t="s">
        <v>39</v>
      </c>
      <c r="G1896" t="s">
        <v>36</v>
      </c>
      <c r="H1896" t="s">
        <v>52</v>
      </c>
      <c r="I1896" t="s">
        <v>13</v>
      </c>
      <c r="J1896" t="s">
        <v>21</v>
      </c>
      <c r="K1896" s="2">
        <v>9800</v>
      </c>
      <c r="L1896" s="3">
        <v>15.2</v>
      </c>
      <c r="M1896" s="3">
        <v>85.2</v>
      </c>
      <c r="N1896" s="3">
        <v>0</v>
      </c>
      <c r="O1896" s="2">
        <v>293</v>
      </c>
      <c r="P1896">
        <v>1</v>
      </c>
      <c r="Q1896" t="s">
        <v>23</v>
      </c>
      <c r="R1896" s="4">
        <v>102.51</v>
      </c>
      <c r="S1896" s="4">
        <v>0</v>
      </c>
      <c r="T1896" t="s">
        <v>31</v>
      </c>
      <c r="U1896" s="4">
        <v>10.92</v>
      </c>
      <c r="V1896" s="4">
        <v>10.46</v>
      </c>
      <c r="W1896" s="4">
        <v>102.51</v>
      </c>
    </row>
    <row r="1897" spans="1:23" ht="15" customHeight="1" x14ac:dyDescent="0.25">
      <c r="A1897">
        <v>1052</v>
      </c>
      <c r="B1897" s="1">
        <v>45970.833333333343</v>
      </c>
      <c r="C1897">
        <v>20</v>
      </c>
      <c r="D1897" t="s">
        <v>55</v>
      </c>
      <c r="E1897">
        <v>11</v>
      </c>
      <c r="F1897" t="s">
        <v>39</v>
      </c>
      <c r="G1897" t="s">
        <v>36</v>
      </c>
      <c r="H1897" t="s">
        <v>50</v>
      </c>
      <c r="I1897" t="s">
        <v>22</v>
      </c>
      <c r="J1897" t="s">
        <v>12</v>
      </c>
      <c r="K1897" s="2">
        <v>21000</v>
      </c>
      <c r="L1897" s="3">
        <v>15</v>
      </c>
      <c r="M1897" s="3">
        <v>66</v>
      </c>
      <c r="N1897" s="3">
        <v>0</v>
      </c>
      <c r="O1897" s="2">
        <v>378</v>
      </c>
      <c r="P1897">
        <v>1</v>
      </c>
      <c r="Q1897" t="s">
        <v>23</v>
      </c>
      <c r="R1897" s="4">
        <v>277.32</v>
      </c>
      <c r="S1897" s="4">
        <v>0</v>
      </c>
      <c r="T1897" t="s">
        <v>31</v>
      </c>
      <c r="U1897" s="4">
        <v>29.37</v>
      </c>
      <c r="V1897" s="4">
        <v>13.206</v>
      </c>
      <c r="W1897" s="4">
        <v>277.32</v>
      </c>
    </row>
    <row r="1898" spans="1:23" ht="15" customHeight="1" x14ac:dyDescent="0.25">
      <c r="A1898">
        <v>685</v>
      </c>
      <c r="B1898" s="1">
        <v>45974</v>
      </c>
      <c r="C1898">
        <v>0</v>
      </c>
      <c r="D1898" t="s">
        <v>56</v>
      </c>
      <c r="E1898">
        <v>11</v>
      </c>
      <c r="F1898" t="s">
        <v>39</v>
      </c>
      <c r="G1898" t="s">
        <v>33</v>
      </c>
      <c r="H1898" t="s">
        <v>54</v>
      </c>
      <c r="I1898" t="s">
        <v>16</v>
      </c>
      <c r="J1898" t="s">
        <v>24</v>
      </c>
      <c r="K1898" s="2">
        <v>8600</v>
      </c>
      <c r="L1898" s="3">
        <v>6.3</v>
      </c>
      <c r="M1898" s="3">
        <v>99</v>
      </c>
      <c r="N1898" s="3">
        <v>0</v>
      </c>
      <c r="O1898" s="2">
        <v>49</v>
      </c>
      <c r="P1898">
        <v>1</v>
      </c>
      <c r="Q1898" t="s">
        <v>17</v>
      </c>
      <c r="R1898" s="4">
        <v>27.43</v>
      </c>
      <c r="S1898" s="4">
        <v>0</v>
      </c>
      <c r="T1898" t="s">
        <v>31</v>
      </c>
      <c r="U1898" s="4">
        <v>2.92</v>
      </c>
      <c r="V1898" s="4">
        <v>3.19</v>
      </c>
      <c r="W1898" s="4">
        <v>27.43</v>
      </c>
    </row>
    <row r="1899" spans="1:23" ht="15" customHeight="1" x14ac:dyDescent="0.25">
      <c r="A1899">
        <v>2157</v>
      </c>
      <c r="B1899" s="1">
        <v>45974</v>
      </c>
      <c r="C1899">
        <v>0</v>
      </c>
      <c r="D1899" t="s">
        <v>56</v>
      </c>
      <c r="E1899">
        <v>11</v>
      </c>
      <c r="F1899" t="s">
        <v>39</v>
      </c>
      <c r="G1899" t="s">
        <v>33</v>
      </c>
      <c r="H1899" t="s">
        <v>52</v>
      </c>
      <c r="I1899" t="s">
        <v>13</v>
      </c>
      <c r="J1899" t="s">
        <v>21</v>
      </c>
      <c r="K1899" s="2">
        <v>9800</v>
      </c>
      <c r="L1899" s="3">
        <v>9.6</v>
      </c>
      <c r="M1899" s="3">
        <v>95.7</v>
      </c>
      <c r="N1899" s="3">
        <v>0</v>
      </c>
      <c r="O1899" s="2">
        <v>316</v>
      </c>
      <c r="P1899">
        <v>1</v>
      </c>
      <c r="Q1899" t="s">
        <v>17</v>
      </c>
      <c r="R1899" s="4">
        <v>106.29</v>
      </c>
      <c r="S1899" s="4">
        <v>0</v>
      </c>
      <c r="T1899" t="s">
        <v>31</v>
      </c>
      <c r="U1899" s="4">
        <v>11.95</v>
      </c>
      <c r="V1899" s="4">
        <v>10.846</v>
      </c>
      <c r="W1899" s="4">
        <v>106.29</v>
      </c>
    </row>
    <row r="1900" spans="1:23" ht="15" customHeight="1" x14ac:dyDescent="0.25">
      <c r="A1900">
        <v>317</v>
      </c>
      <c r="B1900" s="1">
        <v>45974</v>
      </c>
      <c r="C1900">
        <v>0</v>
      </c>
      <c r="D1900" t="s">
        <v>56</v>
      </c>
      <c r="E1900">
        <v>11</v>
      </c>
      <c r="F1900" t="s">
        <v>39</v>
      </c>
      <c r="G1900" t="s">
        <v>33</v>
      </c>
      <c r="H1900" t="s">
        <v>53</v>
      </c>
      <c r="I1900" t="s">
        <v>19</v>
      </c>
      <c r="J1900" t="s">
        <v>26</v>
      </c>
      <c r="K1900" s="2">
        <v>12500</v>
      </c>
      <c r="L1900" s="3">
        <v>3.8</v>
      </c>
      <c r="M1900" s="3">
        <v>76.3</v>
      </c>
      <c r="N1900" s="3">
        <v>0</v>
      </c>
      <c r="O1900" s="2">
        <v>0</v>
      </c>
      <c r="P1900">
        <v>0</v>
      </c>
      <c r="Q1900" t="s">
        <v>14</v>
      </c>
      <c r="R1900" s="4">
        <v>22.84</v>
      </c>
      <c r="S1900" s="4">
        <v>0</v>
      </c>
      <c r="T1900" t="s">
        <v>31</v>
      </c>
      <c r="U1900" s="4">
        <v>2.5099999999999998</v>
      </c>
      <c r="V1900" s="4">
        <v>1.827</v>
      </c>
      <c r="W1900" s="4">
        <v>22.84</v>
      </c>
    </row>
    <row r="1901" spans="1:23" ht="15" customHeight="1" x14ac:dyDescent="0.25">
      <c r="A1901">
        <v>1053</v>
      </c>
      <c r="B1901" s="1">
        <v>45974</v>
      </c>
      <c r="C1901">
        <v>0</v>
      </c>
      <c r="D1901" t="s">
        <v>56</v>
      </c>
      <c r="E1901">
        <v>11</v>
      </c>
      <c r="F1901" t="s">
        <v>39</v>
      </c>
      <c r="G1901" t="s">
        <v>33</v>
      </c>
      <c r="H1901" t="s">
        <v>50</v>
      </c>
      <c r="I1901" t="s">
        <v>22</v>
      </c>
      <c r="J1901" t="s">
        <v>12</v>
      </c>
      <c r="K1901" s="2">
        <v>21000</v>
      </c>
      <c r="L1901" s="3">
        <v>6</v>
      </c>
      <c r="M1901" s="3">
        <v>71.5</v>
      </c>
      <c r="N1901" s="3">
        <v>0</v>
      </c>
      <c r="O1901" s="2">
        <v>211</v>
      </c>
      <c r="P1901">
        <v>1</v>
      </c>
      <c r="Q1901" t="s">
        <v>17</v>
      </c>
      <c r="R1901" s="4">
        <v>189.1</v>
      </c>
      <c r="S1901" s="4">
        <v>0</v>
      </c>
      <c r="T1901" t="s">
        <v>31</v>
      </c>
      <c r="U1901" s="4">
        <v>20.46</v>
      </c>
      <c r="V1901" s="4">
        <v>9.0050000000000008</v>
      </c>
      <c r="W1901" s="4">
        <v>189.1</v>
      </c>
    </row>
    <row r="1902" spans="1:23" ht="15" customHeight="1" x14ac:dyDescent="0.25">
      <c r="A1902">
        <v>1789</v>
      </c>
      <c r="B1902" s="1">
        <v>45974</v>
      </c>
      <c r="C1902">
        <v>0</v>
      </c>
      <c r="D1902" t="s">
        <v>56</v>
      </c>
      <c r="E1902">
        <v>11</v>
      </c>
      <c r="F1902" t="s">
        <v>39</v>
      </c>
      <c r="G1902" t="s">
        <v>33</v>
      </c>
      <c r="H1902" t="s">
        <v>49</v>
      </c>
      <c r="I1902" t="s">
        <v>27</v>
      </c>
      <c r="J1902" t="s">
        <v>18</v>
      </c>
      <c r="K1902" s="2">
        <v>26000</v>
      </c>
      <c r="L1902" s="3">
        <v>4.9000000000000004</v>
      </c>
      <c r="M1902" s="3"/>
      <c r="N1902" s="3">
        <v>0</v>
      </c>
      <c r="O1902" s="2">
        <v>63</v>
      </c>
      <c r="P1902">
        <v>1</v>
      </c>
      <c r="Q1902" t="s">
        <v>17</v>
      </c>
      <c r="R1902" s="4">
        <v>125.72</v>
      </c>
      <c r="S1902" s="4">
        <v>0</v>
      </c>
      <c r="T1902" t="s">
        <v>31</v>
      </c>
      <c r="U1902" s="4">
        <v>13.54</v>
      </c>
      <c r="V1902" s="4">
        <v>4.835</v>
      </c>
      <c r="W1902" s="4">
        <v>125.72</v>
      </c>
    </row>
    <row r="1903" spans="1:23" ht="15" customHeight="1" x14ac:dyDescent="0.25">
      <c r="A1903">
        <v>1421</v>
      </c>
      <c r="B1903" s="1">
        <v>45974</v>
      </c>
      <c r="C1903">
        <v>0</v>
      </c>
      <c r="D1903" t="s">
        <v>56</v>
      </c>
      <c r="E1903">
        <v>11</v>
      </c>
      <c r="F1903" t="s">
        <v>39</v>
      </c>
      <c r="G1903" t="s">
        <v>33</v>
      </c>
      <c r="H1903" t="s">
        <v>51</v>
      </c>
      <c r="I1903" t="s">
        <v>25</v>
      </c>
      <c r="J1903" t="s">
        <v>15</v>
      </c>
      <c r="K1903" s="2">
        <v>17400</v>
      </c>
      <c r="L1903" s="3">
        <v>12.5</v>
      </c>
      <c r="M1903" s="3">
        <v>86.2</v>
      </c>
      <c r="N1903" s="3">
        <v>0</v>
      </c>
      <c r="O1903" s="2">
        <v>2</v>
      </c>
      <c r="P1903">
        <v>0</v>
      </c>
      <c r="Q1903" t="s">
        <v>14</v>
      </c>
      <c r="R1903" s="4">
        <v>44.58</v>
      </c>
      <c r="S1903" s="4">
        <v>0</v>
      </c>
      <c r="T1903" t="s">
        <v>31</v>
      </c>
      <c r="U1903" s="4">
        <v>4.8099999999999996</v>
      </c>
      <c r="V1903" s="4">
        <v>2.5619999999999998</v>
      </c>
      <c r="W1903" s="4">
        <v>44.58</v>
      </c>
    </row>
    <row r="1904" spans="1:23" ht="15" customHeight="1" x14ac:dyDescent="0.25">
      <c r="A1904">
        <v>1790</v>
      </c>
      <c r="B1904" s="1">
        <v>45974.333333333343</v>
      </c>
      <c r="C1904">
        <v>8</v>
      </c>
      <c r="D1904" t="s">
        <v>56</v>
      </c>
      <c r="E1904">
        <v>11</v>
      </c>
      <c r="F1904" t="s">
        <v>39</v>
      </c>
      <c r="G1904" t="s">
        <v>33</v>
      </c>
      <c r="H1904" t="s">
        <v>49</v>
      </c>
      <c r="I1904" t="s">
        <v>27</v>
      </c>
      <c r="J1904" t="s">
        <v>18</v>
      </c>
      <c r="K1904" s="2">
        <v>26000</v>
      </c>
      <c r="L1904" s="3">
        <v>6.9</v>
      </c>
      <c r="M1904" s="3">
        <v>64.900000000000006</v>
      </c>
      <c r="N1904" s="3">
        <v>0</v>
      </c>
      <c r="O1904" s="2">
        <v>159</v>
      </c>
      <c r="P1904">
        <v>1</v>
      </c>
      <c r="Q1904" t="s">
        <v>17</v>
      </c>
      <c r="R1904" s="4">
        <v>254.9</v>
      </c>
      <c r="S1904" s="4">
        <v>0</v>
      </c>
      <c r="T1904" t="s">
        <v>34</v>
      </c>
      <c r="U1904" s="4">
        <v>43.59</v>
      </c>
      <c r="V1904" s="4">
        <v>9.8040000000000003</v>
      </c>
      <c r="W1904" s="4">
        <v>254.9</v>
      </c>
    </row>
    <row r="1905" spans="1:23" ht="15" customHeight="1" x14ac:dyDescent="0.25">
      <c r="A1905">
        <v>1422</v>
      </c>
      <c r="B1905" s="1">
        <v>45974.333333333343</v>
      </c>
      <c r="C1905">
        <v>8</v>
      </c>
      <c r="D1905" t="s">
        <v>56</v>
      </c>
      <c r="E1905">
        <v>11</v>
      </c>
      <c r="F1905" t="s">
        <v>39</v>
      </c>
      <c r="G1905" t="s">
        <v>33</v>
      </c>
      <c r="H1905" t="s">
        <v>51</v>
      </c>
      <c r="I1905" t="s">
        <v>25</v>
      </c>
      <c r="J1905" t="s">
        <v>15</v>
      </c>
      <c r="K1905" s="2">
        <v>17400</v>
      </c>
      <c r="L1905" s="3">
        <v>9.6</v>
      </c>
      <c r="M1905" s="3">
        <v>82.8</v>
      </c>
      <c r="N1905" s="3">
        <v>0</v>
      </c>
      <c r="O1905" s="2">
        <v>66</v>
      </c>
      <c r="P1905">
        <v>0</v>
      </c>
      <c r="Q1905" t="s">
        <v>14</v>
      </c>
      <c r="R1905" s="4">
        <v>50.05</v>
      </c>
      <c r="S1905" s="4">
        <v>0</v>
      </c>
      <c r="T1905" t="s">
        <v>34</v>
      </c>
      <c r="U1905" s="4">
        <v>8.9499999999999993</v>
      </c>
      <c r="V1905" s="4">
        <v>2.8759999999999999</v>
      </c>
      <c r="W1905" s="4">
        <v>50.05</v>
      </c>
    </row>
    <row r="1906" spans="1:23" ht="15" customHeight="1" x14ac:dyDescent="0.25">
      <c r="A1906">
        <v>1054</v>
      </c>
      <c r="B1906" s="1">
        <v>45974.333333333343</v>
      </c>
      <c r="C1906">
        <v>8</v>
      </c>
      <c r="D1906" t="s">
        <v>56</v>
      </c>
      <c r="E1906">
        <v>11</v>
      </c>
      <c r="F1906" t="s">
        <v>39</v>
      </c>
      <c r="G1906" t="s">
        <v>33</v>
      </c>
      <c r="H1906" t="s">
        <v>50</v>
      </c>
      <c r="I1906" t="s">
        <v>22</v>
      </c>
      <c r="J1906" t="s">
        <v>12</v>
      </c>
      <c r="K1906" s="2">
        <v>21000</v>
      </c>
      <c r="L1906" s="3">
        <v>9</v>
      </c>
      <c r="M1906" s="3">
        <v>72.7</v>
      </c>
      <c r="N1906" s="3">
        <v>0</v>
      </c>
      <c r="O1906" s="2">
        <v>432</v>
      </c>
      <c r="P1906">
        <v>1</v>
      </c>
      <c r="Q1906" t="s">
        <v>17</v>
      </c>
      <c r="R1906" s="4">
        <v>256.87</v>
      </c>
      <c r="S1906" s="4">
        <v>0</v>
      </c>
      <c r="T1906" t="s">
        <v>34</v>
      </c>
      <c r="U1906" s="4">
        <v>43.9</v>
      </c>
      <c r="V1906" s="4">
        <v>12.231999999999999</v>
      </c>
      <c r="W1906" s="4">
        <v>256.87</v>
      </c>
    </row>
    <row r="1907" spans="1:23" ht="15" customHeight="1" x14ac:dyDescent="0.25">
      <c r="A1907">
        <v>686</v>
      </c>
      <c r="B1907" s="1">
        <v>45974.333333333343</v>
      </c>
      <c r="C1907">
        <v>8</v>
      </c>
      <c r="D1907" t="s">
        <v>56</v>
      </c>
      <c r="E1907">
        <v>11</v>
      </c>
      <c r="F1907" t="s">
        <v>39</v>
      </c>
      <c r="G1907" t="s">
        <v>33</v>
      </c>
      <c r="H1907" t="s">
        <v>54</v>
      </c>
      <c r="I1907" t="s">
        <v>16</v>
      </c>
      <c r="J1907" t="s">
        <v>24</v>
      </c>
      <c r="K1907" s="2">
        <v>8600</v>
      </c>
      <c r="L1907" s="3">
        <v>10.9</v>
      </c>
      <c r="M1907" s="3">
        <v>99</v>
      </c>
      <c r="N1907" s="3">
        <v>0</v>
      </c>
      <c r="O1907" s="2">
        <v>780</v>
      </c>
      <c r="P1907">
        <v>1</v>
      </c>
      <c r="Q1907" t="s">
        <v>17</v>
      </c>
      <c r="R1907" s="4">
        <v>120.06</v>
      </c>
      <c r="S1907" s="4">
        <v>0</v>
      </c>
      <c r="T1907" t="s">
        <v>34</v>
      </c>
      <c r="U1907" s="4">
        <v>21.42</v>
      </c>
      <c r="V1907" s="4">
        <v>13.96</v>
      </c>
      <c r="W1907" s="4">
        <v>120.06</v>
      </c>
    </row>
    <row r="1908" spans="1:23" ht="15" customHeight="1" x14ac:dyDescent="0.25">
      <c r="A1908">
        <v>2158</v>
      </c>
      <c r="B1908" s="1">
        <v>45974.333333333343</v>
      </c>
      <c r="C1908">
        <v>8</v>
      </c>
      <c r="D1908" t="s">
        <v>56</v>
      </c>
      <c r="E1908">
        <v>11</v>
      </c>
      <c r="F1908" t="s">
        <v>39</v>
      </c>
      <c r="G1908" t="s">
        <v>33</v>
      </c>
      <c r="H1908" t="s">
        <v>52</v>
      </c>
      <c r="I1908" t="s">
        <v>13</v>
      </c>
      <c r="J1908" t="s">
        <v>21</v>
      </c>
      <c r="K1908" s="2">
        <v>9800</v>
      </c>
      <c r="L1908" s="3">
        <v>11.3</v>
      </c>
      <c r="M1908" s="3">
        <v>94.5</v>
      </c>
      <c r="N1908" s="3">
        <v>0</v>
      </c>
      <c r="O1908" s="2">
        <v>101</v>
      </c>
      <c r="P1908">
        <v>1</v>
      </c>
      <c r="Q1908" t="s">
        <v>17</v>
      </c>
      <c r="R1908" s="4">
        <v>36.590000000000003</v>
      </c>
      <c r="S1908" s="4">
        <v>0</v>
      </c>
      <c r="T1908" t="s">
        <v>34</v>
      </c>
      <c r="U1908" s="4">
        <v>6.53</v>
      </c>
      <c r="V1908" s="4">
        <v>3.734</v>
      </c>
      <c r="W1908" s="4">
        <v>36.590000000000003</v>
      </c>
    </row>
    <row r="1909" spans="1:23" ht="15" customHeight="1" x14ac:dyDescent="0.25">
      <c r="A1909">
        <v>318</v>
      </c>
      <c r="B1909" s="1">
        <v>45974.333333333343</v>
      </c>
      <c r="C1909">
        <v>8</v>
      </c>
      <c r="D1909" t="s">
        <v>56</v>
      </c>
      <c r="E1909">
        <v>11</v>
      </c>
      <c r="F1909" t="s">
        <v>39</v>
      </c>
      <c r="G1909" t="s">
        <v>33</v>
      </c>
      <c r="H1909" t="s">
        <v>53</v>
      </c>
      <c r="I1909" t="s">
        <v>19</v>
      </c>
      <c r="J1909" t="s">
        <v>26</v>
      </c>
      <c r="K1909" s="2">
        <v>12500</v>
      </c>
      <c r="L1909" s="3">
        <v>10.8</v>
      </c>
      <c r="M1909" s="3">
        <v>60.4</v>
      </c>
      <c r="N1909" s="3">
        <v>0</v>
      </c>
      <c r="O1909" s="2">
        <v>357</v>
      </c>
      <c r="P1909">
        <v>1</v>
      </c>
      <c r="Q1909" t="s">
        <v>17</v>
      </c>
      <c r="R1909" s="4">
        <v>91.88</v>
      </c>
      <c r="S1909" s="4">
        <v>0</v>
      </c>
      <c r="T1909" t="s">
        <v>34</v>
      </c>
      <c r="U1909" s="4">
        <v>15.89</v>
      </c>
      <c r="V1909" s="4">
        <v>7.35</v>
      </c>
      <c r="W1909" s="4">
        <v>91.88</v>
      </c>
    </row>
    <row r="1910" spans="1:23" ht="15" customHeight="1" x14ac:dyDescent="0.25">
      <c r="A1910">
        <v>319</v>
      </c>
      <c r="B1910" s="1">
        <v>45974.583333333343</v>
      </c>
      <c r="C1910">
        <v>14</v>
      </c>
      <c r="D1910" t="s">
        <v>56</v>
      </c>
      <c r="E1910">
        <v>11</v>
      </c>
      <c r="F1910" t="s">
        <v>39</v>
      </c>
      <c r="G1910" t="s">
        <v>33</v>
      </c>
      <c r="H1910" t="s">
        <v>53</v>
      </c>
      <c r="I1910" t="s">
        <v>19</v>
      </c>
      <c r="J1910" t="s">
        <v>26</v>
      </c>
      <c r="K1910" s="2">
        <v>12500</v>
      </c>
      <c r="L1910" s="3">
        <v>15.4</v>
      </c>
      <c r="M1910" s="3">
        <v>61.3</v>
      </c>
      <c r="N1910" s="3">
        <v>485.1</v>
      </c>
      <c r="O1910" s="2">
        <v>625</v>
      </c>
      <c r="P1910">
        <v>1</v>
      </c>
      <c r="Q1910" t="s">
        <v>23</v>
      </c>
      <c r="R1910" s="4">
        <v>105.02</v>
      </c>
      <c r="S1910" s="4">
        <v>72.900000000000006</v>
      </c>
      <c r="T1910" t="s">
        <v>34</v>
      </c>
      <c r="U1910" s="4">
        <v>5.65</v>
      </c>
      <c r="V1910" s="4">
        <v>8.4019999999999992</v>
      </c>
      <c r="W1910" s="4">
        <v>32.119999999999997</v>
      </c>
    </row>
    <row r="1911" spans="1:23" ht="15" customHeight="1" x14ac:dyDescent="0.25">
      <c r="A1911">
        <v>1423</v>
      </c>
      <c r="B1911" s="1">
        <v>45974.583333333343</v>
      </c>
      <c r="C1911">
        <v>14</v>
      </c>
      <c r="D1911" t="s">
        <v>56</v>
      </c>
      <c r="E1911">
        <v>11</v>
      </c>
      <c r="F1911" t="s">
        <v>39</v>
      </c>
      <c r="G1911" t="s">
        <v>33</v>
      </c>
      <c r="H1911" t="s">
        <v>51</v>
      </c>
      <c r="I1911" t="s">
        <v>25</v>
      </c>
      <c r="J1911" t="s">
        <v>15</v>
      </c>
      <c r="K1911" s="2">
        <v>17400</v>
      </c>
      <c r="L1911" s="3">
        <v>20.100000000000001</v>
      </c>
      <c r="M1911" s="3">
        <v>83.2</v>
      </c>
      <c r="N1911" s="3">
        <v>443</v>
      </c>
      <c r="O1911" s="2"/>
      <c r="P1911">
        <v>0</v>
      </c>
      <c r="Q1911" t="s">
        <v>14</v>
      </c>
      <c r="R1911" s="4">
        <v>208.42</v>
      </c>
      <c r="S1911" s="4">
        <v>57.86</v>
      </c>
      <c r="T1911" t="s">
        <v>34</v>
      </c>
      <c r="U1911" s="4">
        <v>25.91</v>
      </c>
      <c r="V1911" s="4">
        <v>11.978</v>
      </c>
      <c r="W1911" s="4">
        <v>150.56</v>
      </c>
    </row>
    <row r="1912" spans="1:23" ht="15" customHeight="1" x14ac:dyDescent="0.25">
      <c r="A1912">
        <v>1055</v>
      </c>
      <c r="B1912" s="1">
        <v>45974.583333333343</v>
      </c>
      <c r="C1912">
        <v>14</v>
      </c>
      <c r="D1912" t="s">
        <v>56</v>
      </c>
      <c r="E1912">
        <v>11</v>
      </c>
      <c r="F1912" t="s">
        <v>39</v>
      </c>
      <c r="G1912" t="s">
        <v>33</v>
      </c>
      <c r="H1912" t="s">
        <v>50</v>
      </c>
      <c r="I1912" t="s">
        <v>22</v>
      </c>
      <c r="J1912" t="s">
        <v>12</v>
      </c>
      <c r="K1912" s="2">
        <v>21000</v>
      </c>
      <c r="L1912" s="3">
        <v>23.4</v>
      </c>
      <c r="M1912" s="3">
        <v>70.400000000000006</v>
      </c>
      <c r="N1912" s="3">
        <v>484.7</v>
      </c>
      <c r="O1912" s="2">
        <v>459</v>
      </c>
      <c r="P1912">
        <v>1</v>
      </c>
      <c r="Q1912" t="s">
        <v>23</v>
      </c>
      <c r="R1912" s="4">
        <v>199.21</v>
      </c>
      <c r="S1912" s="4">
        <v>101.08</v>
      </c>
      <c r="T1912" t="s">
        <v>34</v>
      </c>
      <c r="U1912" s="4">
        <v>16.989999999999998</v>
      </c>
      <c r="V1912" s="4">
        <v>9.4860000000000007</v>
      </c>
      <c r="W1912" s="4">
        <v>98.13</v>
      </c>
    </row>
    <row r="1913" spans="1:23" ht="15" customHeight="1" x14ac:dyDescent="0.25">
      <c r="A1913">
        <v>687</v>
      </c>
      <c r="B1913" s="1">
        <v>45974.583333333343</v>
      </c>
      <c r="C1913">
        <v>14</v>
      </c>
      <c r="D1913" t="s">
        <v>56</v>
      </c>
      <c r="E1913">
        <v>11</v>
      </c>
      <c r="F1913" t="s">
        <v>39</v>
      </c>
      <c r="G1913" t="s">
        <v>33</v>
      </c>
      <c r="H1913" t="s">
        <v>54</v>
      </c>
      <c r="I1913" t="s">
        <v>16</v>
      </c>
      <c r="J1913" t="s">
        <v>24</v>
      </c>
      <c r="K1913" s="2">
        <v>8600</v>
      </c>
      <c r="L1913" s="3">
        <v>14.9</v>
      </c>
      <c r="M1913" s="3">
        <v>79.7</v>
      </c>
      <c r="N1913" s="3">
        <v>466.9</v>
      </c>
      <c r="O1913" s="2">
        <v>774</v>
      </c>
      <c r="P1913">
        <v>1</v>
      </c>
      <c r="Q1913" t="s">
        <v>23</v>
      </c>
      <c r="R1913" s="4">
        <v>85.43</v>
      </c>
      <c r="S1913" s="4">
        <v>35.07</v>
      </c>
      <c r="T1913" t="s">
        <v>34</v>
      </c>
      <c r="U1913" s="4">
        <v>8.61</v>
      </c>
      <c r="V1913" s="4">
        <v>9.9339999999999993</v>
      </c>
      <c r="W1913" s="4">
        <v>50.36</v>
      </c>
    </row>
    <row r="1914" spans="1:23" ht="15" customHeight="1" x14ac:dyDescent="0.25">
      <c r="A1914">
        <v>2159</v>
      </c>
      <c r="B1914" s="1">
        <v>45974.583333333343</v>
      </c>
      <c r="C1914">
        <v>14</v>
      </c>
      <c r="D1914" t="s">
        <v>56</v>
      </c>
      <c r="E1914">
        <v>11</v>
      </c>
      <c r="F1914" t="s">
        <v>39</v>
      </c>
      <c r="G1914" t="s">
        <v>33</v>
      </c>
      <c r="H1914" t="s">
        <v>52</v>
      </c>
      <c r="I1914" t="s">
        <v>13</v>
      </c>
      <c r="J1914" t="s">
        <v>21</v>
      </c>
      <c r="K1914" s="2">
        <v>9800</v>
      </c>
      <c r="L1914" s="3">
        <v>15.9</v>
      </c>
      <c r="M1914" s="3">
        <v>73.400000000000006</v>
      </c>
      <c r="N1914" s="3">
        <v>542.70000000000005</v>
      </c>
      <c r="O1914" s="2">
        <v>78</v>
      </c>
      <c r="P1914">
        <v>1</v>
      </c>
      <c r="Q1914" t="s">
        <v>23</v>
      </c>
      <c r="R1914" s="4">
        <v>20.27</v>
      </c>
      <c r="S1914" s="4">
        <v>0</v>
      </c>
      <c r="T1914" t="s">
        <v>34</v>
      </c>
      <c r="U1914" s="4">
        <v>3.64</v>
      </c>
      <c r="V1914" s="4">
        <v>2.0680000000000001</v>
      </c>
      <c r="W1914" s="4">
        <v>20.27</v>
      </c>
    </row>
    <row r="1915" spans="1:23" ht="15" customHeight="1" x14ac:dyDescent="0.25">
      <c r="A1915">
        <v>1791</v>
      </c>
      <c r="B1915" s="1">
        <v>45974.583333333343</v>
      </c>
      <c r="C1915">
        <v>14</v>
      </c>
      <c r="D1915" t="s">
        <v>56</v>
      </c>
      <c r="E1915">
        <v>11</v>
      </c>
      <c r="F1915" t="s">
        <v>39</v>
      </c>
      <c r="G1915" t="s">
        <v>33</v>
      </c>
      <c r="H1915" t="s">
        <v>49</v>
      </c>
      <c r="I1915" t="s">
        <v>27</v>
      </c>
      <c r="J1915" t="s">
        <v>18</v>
      </c>
      <c r="K1915" s="2">
        <v>26000</v>
      </c>
      <c r="L1915" s="3">
        <v>17.600000000000001</v>
      </c>
      <c r="M1915" s="3">
        <v>68.5</v>
      </c>
      <c r="N1915" s="3">
        <v>507.6</v>
      </c>
      <c r="O1915" s="2">
        <v>150</v>
      </c>
      <c r="P1915">
        <v>0</v>
      </c>
      <c r="Q1915" t="s">
        <v>14</v>
      </c>
      <c r="R1915" s="4">
        <v>151.44999999999999</v>
      </c>
      <c r="S1915" s="4">
        <v>131.19999999999999</v>
      </c>
      <c r="T1915" t="s">
        <v>34</v>
      </c>
      <c r="U1915" s="4">
        <v>3.58</v>
      </c>
      <c r="V1915" s="4">
        <v>5.8250000000000002</v>
      </c>
      <c r="W1915" s="4">
        <v>20.25</v>
      </c>
    </row>
    <row r="1916" spans="1:23" ht="15" customHeight="1" x14ac:dyDescent="0.25">
      <c r="A1916">
        <v>1792</v>
      </c>
      <c r="B1916" s="1">
        <v>45974.833333333343</v>
      </c>
      <c r="C1916">
        <v>20</v>
      </c>
      <c r="D1916" t="s">
        <v>56</v>
      </c>
      <c r="E1916">
        <v>11</v>
      </c>
      <c r="F1916" t="s">
        <v>39</v>
      </c>
      <c r="G1916" t="s">
        <v>33</v>
      </c>
      <c r="H1916" t="s">
        <v>49</v>
      </c>
      <c r="I1916" t="s">
        <v>27</v>
      </c>
      <c r="J1916" t="s">
        <v>18</v>
      </c>
      <c r="K1916" s="2">
        <v>26000</v>
      </c>
      <c r="L1916" s="3">
        <v>10</v>
      </c>
      <c r="M1916" s="3">
        <v>63.9</v>
      </c>
      <c r="N1916" s="3">
        <v>0</v>
      </c>
      <c r="O1916" s="2">
        <v>186</v>
      </c>
      <c r="P1916">
        <v>1</v>
      </c>
      <c r="Q1916" t="s">
        <v>17</v>
      </c>
      <c r="R1916" s="4">
        <v>255.52</v>
      </c>
      <c r="S1916" s="4">
        <v>0</v>
      </c>
      <c r="T1916" t="s">
        <v>37</v>
      </c>
      <c r="U1916" s="4">
        <v>68.17</v>
      </c>
      <c r="V1916" s="4">
        <v>9.8279999999999994</v>
      </c>
      <c r="W1916" s="4">
        <v>255.52</v>
      </c>
    </row>
    <row r="1917" spans="1:23" ht="15" customHeight="1" x14ac:dyDescent="0.25">
      <c r="A1917">
        <v>1424</v>
      </c>
      <c r="B1917" s="1">
        <v>45974.833333333343</v>
      </c>
      <c r="C1917">
        <v>20</v>
      </c>
      <c r="D1917" t="s">
        <v>56</v>
      </c>
      <c r="E1917">
        <v>11</v>
      </c>
      <c r="F1917" t="s">
        <v>39</v>
      </c>
      <c r="G1917" t="s">
        <v>33</v>
      </c>
      <c r="H1917" t="s">
        <v>51</v>
      </c>
      <c r="I1917" t="s">
        <v>25</v>
      </c>
      <c r="J1917" t="s">
        <v>15</v>
      </c>
      <c r="K1917" s="2">
        <v>17400</v>
      </c>
      <c r="L1917" s="3">
        <v>14.1</v>
      </c>
      <c r="M1917" s="3">
        <v>84.3</v>
      </c>
      <c r="N1917" s="3">
        <v>0</v>
      </c>
      <c r="O1917" s="2">
        <v>1304</v>
      </c>
      <c r="P1917">
        <v>1</v>
      </c>
      <c r="Q1917" t="s">
        <v>17</v>
      </c>
      <c r="R1917" s="4">
        <v>275.43</v>
      </c>
      <c r="S1917" s="4">
        <v>0</v>
      </c>
      <c r="T1917" t="s">
        <v>37</v>
      </c>
      <c r="U1917" s="4">
        <v>72.22</v>
      </c>
      <c r="V1917" s="4">
        <v>15.829000000000001</v>
      </c>
      <c r="W1917" s="4">
        <v>275.43</v>
      </c>
    </row>
    <row r="1918" spans="1:23" ht="15" customHeight="1" x14ac:dyDescent="0.25">
      <c r="A1918">
        <v>1056</v>
      </c>
      <c r="B1918" s="1">
        <v>45974.833333333343</v>
      </c>
      <c r="C1918">
        <v>20</v>
      </c>
      <c r="D1918" t="s">
        <v>56</v>
      </c>
      <c r="E1918">
        <v>11</v>
      </c>
      <c r="F1918" t="s">
        <v>39</v>
      </c>
      <c r="G1918" t="s">
        <v>33</v>
      </c>
      <c r="H1918" t="s">
        <v>50</v>
      </c>
      <c r="I1918" t="s">
        <v>22</v>
      </c>
      <c r="J1918" t="s">
        <v>12</v>
      </c>
      <c r="K1918" s="2">
        <v>21000</v>
      </c>
      <c r="L1918" s="3">
        <v>15</v>
      </c>
      <c r="M1918" s="3">
        <v>67.900000000000006</v>
      </c>
      <c r="N1918" s="3">
        <v>0</v>
      </c>
      <c r="O1918" s="2">
        <v>385</v>
      </c>
      <c r="P1918">
        <v>1</v>
      </c>
      <c r="Q1918" t="s">
        <v>23</v>
      </c>
      <c r="R1918" s="4">
        <v>269.13</v>
      </c>
      <c r="S1918" s="4">
        <v>0</v>
      </c>
      <c r="T1918" t="s">
        <v>37</v>
      </c>
      <c r="U1918" s="4">
        <v>72.400000000000006</v>
      </c>
      <c r="V1918" s="4">
        <v>12.816000000000001</v>
      </c>
      <c r="W1918" s="4">
        <v>269.13</v>
      </c>
    </row>
    <row r="1919" spans="1:23" ht="15" customHeight="1" x14ac:dyDescent="0.25">
      <c r="A1919">
        <v>320</v>
      </c>
      <c r="B1919" s="1">
        <v>45974.833333333343</v>
      </c>
      <c r="C1919">
        <v>20</v>
      </c>
      <c r="D1919" t="s">
        <v>56</v>
      </c>
      <c r="E1919">
        <v>11</v>
      </c>
      <c r="F1919" t="s">
        <v>39</v>
      </c>
      <c r="G1919" t="s">
        <v>33</v>
      </c>
      <c r="H1919" t="s">
        <v>53</v>
      </c>
      <c r="I1919" t="s">
        <v>19</v>
      </c>
      <c r="J1919" t="s">
        <v>26</v>
      </c>
      <c r="K1919" s="2">
        <v>12500</v>
      </c>
      <c r="L1919" s="3">
        <v>9.6999999999999993</v>
      </c>
      <c r="M1919" s="3">
        <v>65.3</v>
      </c>
      <c r="N1919" s="3">
        <v>0</v>
      </c>
      <c r="O1919" s="2">
        <v>137</v>
      </c>
      <c r="P1919">
        <v>1</v>
      </c>
      <c r="Q1919" t="s">
        <v>17</v>
      </c>
      <c r="R1919" s="4">
        <v>45.71</v>
      </c>
      <c r="S1919" s="4">
        <v>0</v>
      </c>
      <c r="T1919" t="s">
        <v>37</v>
      </c>
      <c r="U1919" s="4">
        <v>11.95</v>
      </c>
      <c r="V1919" s="4">
        <v>3.657</v>
      </c>
      <c r="W1919" s="4">
        <v>45.71</v>
      </c>
    </row>
    <row r="1920" spans="1:23" ht="15" customHeight="1" x14ac:dyDescent="0.25">
      <c r="A1920">
        <v>2160</v>
      </c>
      <c r="B1920" s="1">
        <v>45974.833333333343</v>
      </c>
      <c r="C1920">
        <v>20</v>
      </c>
      <c r="D1920" t="s">
        <v>56</v>
      </c>
      <c r="E1920">
        <v>11</v>
      </c>
      <c r="F1920" t="s">
        <v>39</v>
      </c>
      <c r="G1920" t="s">
        <v>33</v>
      </c>
      <c r="H1920" t="s">
        <v>52</v>
      </c>
      <c r="I1920" t="s">
        <v>13</v>
      </c>
      <c r="J1920" t="s">
        <v>21</v>
      </c>
      <c r="K1920" s="2">
        <v>9800</v>
      </c>
      <c r="L1920" s="3">
        <v>13.4</v>
      </c>
      <c r="M1920" s="3">
        <v>86.1</v>
      </c>
      <c r="N1920" s="3">
        <v>0</v>
      </c>
      <c r="O1920" s="2">
        <v>295</v>
      </c>
      <c r="P1920">
        <v>1</v>
      </c>
      <c r="Q1920" t="s">
        <v>17</v>
      </c>
      <c r="R1920" s="4">
        <v>94.17</v>
      </c>
      <c r="S1920" s="4">
        <v>0</v>
      </c>
      <c r="T1920" t="s">
        <v>37</v>
      </c>
      <c r="U1920" s="4">
        <v>24.04</v>
      </c>
      <c r="V1920" s="4">
        <v>9.609</v>
      </c>
      <c r="W1920" s="4">
        <v>94.17</v>
      </c>
    </row>
    <row r="1921" spans="1:23" ht="15" customHeight="1" x14ac:dyDescent="0.25">
      <c r="A1921">
        <v>688</v>
      </c>
      <c r="B1921" s="1">
        <v>45974.833333333343</v>
      </c>
      <c r="C1921">
        <v>20</v>
      </c>
      <c r="D1921" t="s">
        <v>56</v>
      </c>
      <c r="E1921">
        <v>11</v>
      </c>
      <c r="F1921" t="s">
        <v>39</v>
      </c>
      <c r="G1921" t="s">
        <v>33</v>
      </c>
      <c r="H1921" t="s">
        <v>54</v>
      </c>
      <c r="I1921" t="s">
        <v>16</v>
      </c>
      <c r="J1921" t="s">
        <v>24</v>
      </c>
      <c r="K1921" s="2">
        <v>8600</v>
      </c>
      <c r="L1921" s="3">
        <v>15.5</v>
      </c>
      <c r="M1921" s="3">
        <v>94.7</v>
      </c>
      <c r="N1921" s="3">
        <v>0</v>
      </c>
      <c r="O1921" s="2"/>
      <c r="P1921">
        <v>1</v>
      </c>
      <c r="Q1921" t="s">
        <v>23</v>
      </c>
      <c r="R1921" s="4"/>
      <c r="S1921" s="4">
        <v>0</v>
      </c>
      <c r="T1921" t="s">
        <v>37</v>
      </c>
      <c r="U1921" s="4">
        <v>4.63</v>
      </c>
      <c r="V1921" s="4"/>
      <c r="W1921" s="4"/>
    </row>
    <row r="1922" spans="1:23" ht="15" customHeight="1" x14ac:dyDescent="0.25">
      <c r="A1922">
        <v>321</v>
      </c>
      <c r="B1922" s="1">
        <v>45978</v>
      </c>
      <c r="C1922">
        <v>0</v>
      </c>
      <c r="D1922" t="s">
        <v>57</v>
      </c>
      <c r="E1922">
        <v>11</v>
      </c>
      <c r="F1922" t="s">
        <v>39</v>
      </c>
      <c r="G1922" t="s">
        <v>33</v>
      </c>
      <c r="H1922" t="s">
        <v>53</v>
      </c>
      <c r="I1922" t="s">
        <v>19</v>
      </c>
      <c r="J1922" t="s">
        <v>26</v>
      </c>
      <c r="K1922" s="2">
        <v>12500</v>
      </c>
      <c r="L1922" s="3">
        <v>4.3</v>
      </c>
      <c r="M1922" s="3">
        <v>75.2</v>
      </c>
      <c r="N1922" s="3">
        <v>0</v>
      </c>
      <c r="O1922" s="2">
        <v>23</v>
      </c>
      <c r="P1922">
        <v>0</v>
      </c>
      <c r="Q1922" t="s">
        <v>14</v>
      </c>
      <c r="R1922" s="4">
        <v>21.84</v>
      </c>
      <c r="S1922" s="4">
        <v>0</v>
      </c>
      <c r="T1922" t="s">
        <v>31</v>
      </c>
      <c r="U1922" s="4">
        <v>2.3199999999999998</v>
      </c>
      <c r="V1922" s="4">
        <v>1.7470000000000001</v>
      </c>
      <c r="W1922" s="4">
        <v>21.84</v>
      </c>
    </row>
    <row r="1923" spans="1:23" ht="15" customHeight="1" x14ac:dyDescent="0.25">
      <c r="A1923">
        <v>689</v>
      </c>
      <c r="B1923" s="1">
        <v>45978</v>
      </c>
      <c r="C1923">
        <v>0</v>
      </c>
      <c r="D1923" t="s">
        <v>57</v>
      </c>
      <c r="E1923">
        <v>11</v>
      </c>
      <c r="F1923" t="s">
        <v>39</v>
      </c>
      <c r="G1923" t="s">
        <v>33</v>
      </c>
      <c r="H1923" t="s">
        <v>54</v>
      </c>
      <c r="I1923" t="s">
        <v>16</v>
      </c>
      <c r="J1923" t="s">
        <v>24</v>
      </c>
      <c r="K1923" s="2">
        <v>8600</v>
      </c>
      <c r="L1923" s="3">
        <v>6</v>
      </c>
      <c r="M1923" s="3">
        <v>99</v>
      </c>
      <c r="N1923" s="3">
        <v>0</v>
      </c>
      <c r="O1923" s="2">
        <v>194</v>
      </c>
      <c r="P1923">
        <v>1</v>
      </c>
      <c r="Q1923" t="s">
        <v>17</v>
      </c>
      <c r="R1923" s="4">
        <v>33.22</v>
      </c>
      <c r="S1923" s="4">
        <v>0</v>
      </c>
      <c r="T1923" t="s">
        <v>31</v>
      </c>
      <c r="U1923" s="4">
        <v>3.51</v>
      </c>
      <c r="V1923" s="4">
        <v>3.863</v>
      </c>
      <c r="W1923" s="4">
        <v>33.22</v>
      </c>
    </row>
    <row r="1924" spans="1:23" ht="15" customHeight="1" x14ac:dyDescent="0.25">
      <c r="A1924">
        <v>1793</v>
      </c>
      <c r="B1924" s="1">
        <v>45978</v>
      </c>
      <c r="C1924">
        <v>0</v>
      </c>
      <c r="D1924" t="s">
        <v>57</v>
      </c>
      <c r="E1924">
        <v>11</v>
      </c>
      <c r="F1924" t="s">
        <v>39</v>
      </c>
      <c r="G1924" t="s">
        <v>33</v>
      </c>
      <c r="H1924" t="s">
        <v>49</v>
      </c>
      <c r="I1924" t="s">
        <v>27</v>
      </c>
      <c r="J1924" t="s">
        <v>18</v>
      </c>
      <c r="K1924" s="2">
        <v>26000</v>
      </c>
      <c r="L1924" s="3">
        <v>7.4</v>
      </c>
      <c r="M1924" s="3">
        <v>75.7</v>
      </c>
      <c r="N1924" s="3">
        <v>0</v>
      </c>
      <c r="O1924" s="2">
        <v>53</v>
      </c>
      <c r="P1924">
        <v>1</v>
      </c>
      <c r="Q1924" t="s">
        <v>17</v>
      </c>
      <c r="R1924" s="4">
        <v>127.02</v>
      </c>
      <c r="S1924" s="4">
        <v>0</v>
      </c>
      <c r="T1924" t="s">
        <v>31</v>
      </c>
      <c r="U1924" s="4">
        <v>13.98</v>
      </c>
      <c r="V1924" s="4">
        <v>4.8849999999999998</v>
      </c>
      <c r="W1924" s="4">
        <v>127.02</v>
      </c>
    </row>
    <row r="1925" spans="1:23" ht="15" customHeight="1" x14ac:dyDescent="0.25">
      <c r="A1925">
        <v>1425</v>
      </c>
      <c r="B1925" s="1">
        <v>45978</v>
      </c>
      <c r="C1925">
        <v>0</v>
      </c>
      <c r="D1925" t="s">
        <v>57</v>
      </c>
      <c r="E1925">
        <v>11</v>
      </c>
      <c r="F1925" t="s">
        <v>39</v>
      </c>
      <c r="G1925" t="s">
        <v>33</v>
      </c>
      <c r="H1925" t="s">
        <v>51</v>
      </c>
      <c r="I1925" t="s">
        <v>25</v>
      </c>
      <c r="J1925" t="s">
        <v>15</v>
      </c>
      <c r="K1925" s="2">
        <v>17400</v>
      </c>
      <c r="L1925" s="3">
        <v>14.1</v>
      </c>
      <c r="M1925" s="3">
        <v>72.7</v>
      </c>
      <c r="N1925" s="3">
        <v>0</v>
      </c>
      <c r="O1925" s="2">
        <v>170</v>
      </c>
      <c r="P1925">
        <v>0</v>
      </c>
      <c r="Q1925" t="s">
        <v>14</v>
      </c>
      <c r="R1925" s="4">
        <v>56.52</v>
      </c>
      <c r="S1925" s="4">
        <v>0</v>
      </c>
      <c r="T1925" t="s">
        <v>31</v>
      </c>
      <c r="U1925" s="4">
        <v>6</v>
      </c>
      <c r="V1925" s="4">
        <v>3.2480000000000002</v>
      </c>
      <c r="W1925" s="4">
        <v>56.52</v>
      </c>
    </row>
    <row r="1926" spans="1:23" ht="15" customHeight="1" x14ac:dyDescent="0.25">
      <c r="A1926">
        <v>1057</v>
      </c>
      <c r="B1926" s="1">
        <v>45978</v>
      </c>
      <c r="C1926">
        <v>0</v>
      </c>
      <c r="D1926" t="s">
        <v>57</v>
      </c>
      <c r="E1926">
        <v>11</v>
      </c>
      <c r="F1926" t="s">
        <v>39</v>
      </c>
      <c r="G1926" t="s">
        <v>33</v>
      </c>
      <c r="H1926" t="s">
        <v>50</v>
      </c>
      <c r="I1926" t="s">
        <v>22</v>
      </c>
      <c r="J1926" t="s">
        <v>12</v>
      </c>
      <c r="K1926" s="2">
        <v>21000</v>
      </c>
      <c r="L1926" s="3">
        <v>8.1</v>
      </c>
      <c r="M1926" s="3"/>
      <c r="N1926" s="3">
        <v>0</v>
      </c>
      <c r="O1926" s="2">
        <v>243</v>
      </c>
      <c r="P1926">
        <v>1</v>
      </c>
      <c r="Q1926" t="s">
        <v>17</v>
      </c>
      <c r="R1926" s="4">
        <v>179.32</v>
      </c>
      <c r="S1926" s="4">
        <v>0</v>
      </c>
      <c r="T1926" t="s">
        <v>31</v>
      </c>
      <c r="U1926" s="4">
        <v>20.41</v>
      </c>
      <c r="V1926" s="4">
        <v>8.5389999999999997</v>
      </c>
      <c r="W1926" s="4">
        <v>179.32</v>
      </c>
    </row>
    <row r="1927" spans="1:23" ht="15" customHeight="1" x14ac:dyDescent="0.25">
      <c r="A1927">
        <v>2161</v>
      </c>
      <c r="B1927" s="1">
        <v>45978</v>
      </c>
      <c r="C1927">
        <v>0</v>
      </c>
      <c r="D1927" t="s">
        <v>57</v>
      </c>
      <c r="E1927">
        <v>11</v>
      </c>
      <c r="F1927" t="s">
        <v>39</v>
      </c>
      <c r="G1927" t="s">
        <v>33</v>
      </c>
      <c r="H1927" t="s">
        <v>52</v>
      </c>
      <c r="I1927" t="s">
        <v>13</v>
      </c>
      <c r="J1927" t="s">
        <v>21</v>
      </c>
      <c r="K1927" s="2">
        <v>9800</v>
      </c>
      <c r="L1927" s="3">
        <v>10.7</v>
      </c>
      <c r="M1927" s="3">
        <v>90.9</v>
      </c>
      <c r="N1927" s="3">
        <v>0</v>
      </c>
      <c r="O1927" s="2">
        <v>304</v>
      </c>
      <c r="P1927">
        <v>1</v>
      </c>
      <c r="Q1927" t="s">
        <v>17</v>
      </c>
      <c r="R1927" s="4">
        <v>95.53</v>
      </c>
      <c r="S1927" s="4">
        <v>0</v>
      </c>
      <c r="T1927" t="s">
        <v>31</v>
      </c>
      <c r="U1927" s="4">
        <v>10.29</v>
      </c>
      <c r="V1927" s="4">
        <v>9.7479999999999993</v>
      </c>
      <c r="W1927" s="4">
        <v>95.53</v>
      </c>
    </row>
    <row r="1928" spans="1:23" ht="15" customHeight="1" x14ac:dyDescent="0.25">
      <c r="A1928">
        <v>2162</v>
      </c>
      <c r="B1928" s="1">
        <v>45978.333333333343</v>
      </c>
      <c r="C1928">
        <v>8</v>
      </c>
      <c r="D1928" t="s">
        <v>57</v>
      </c>
      <c r="E1928">
        <v>11</v>
      </c>
      <c r="F1928" t="s">
        <v>39</v>
      </c>
      <c r="G1928" t="s">
        <v>33</v>
      </c>
      <c r="H1928" t="s">
        <v>52</v>
      </c>
      <c r="I1928" t="s">
        <v>13</v>
      </c>
      <c r="J1928" t="s">
        <v>21</v>
      </c>
      <c r="K1928" s="2">
        <v>9800</v>
      </c>
      <c r="L1928" s="3">
        <v>7.7</v>
      </c>
      <c r="M1928" s="3">
        <v>78.2</v>
      </c>
      <c r="N1928" s="3">
        <v>0</v>
      </c>
      <c r="O1928" s="2">
        <v>77</v>
      </c>
      <c r="P1928">
        <v>1</v>
      </c>
      <c r="Q1928" t="s">
        <v>17</v>
      </c>
      <c r="R1928" s="4">
        <v>37.229999999999997</v>
      </c>
      <c r="S1928" s="4">
        <v>0</v>
      </c>
      <c r="T1928" t="s">
        <v>34</v>
      </c>
      <c r="U1928" s="4">
        <v>6.41</v>
      </c>
      <c r="V1928" s="4">
        <v>3.7989999999999999</v>
      </c>
      <c r="W1928" s="4">
        <v>37.229999999999997</v>
      </c>
    </row>
    <row r="1929" spans="1:23" ht="15" customHeight="1" x14ac:dyDescent="0.25">
      <c r="A1929">
        <v>322</v>
      </c>
      <c r="B1929" s="1">
        <v>45978.333333333343</v>
      </c>
      <c r="C1929">
        <v>8</v>
      </c>
      <c r="D1929" t="s">
        <v>57</v>
      </c>
      <c r="E1929">
        <v>11</v>
      </c>
      <c r="F1929" t="s">
        <v>39</v>
      </c>
      <c r="G1929" t="s">
        <v>33</v>
      </c>
      <c r="H1929" t="s">
        <v>53</v>
      </c>
      <c r="I1929" t="s">
        <v>19</v>
      </c>
      <c r="J1929" t="s">
        <v>26</v>
      </c>
      <c r="K1929" s="2">
        <v>12500</v>
      </c>
      <c r="L1929" s="3">
        <v>6.8</v>
      </c>
      <c r="M1929" s="3">
        <v>76</v>
      </c>
      <c r="N1929" s="3">
        <v>0</v>
      </c>
      <c r="O1929" s="2">
        <v>333</v>
      </c>
      <c r="P1929">
        <v>1</v>
      </c>
      <c r="Q1929" t="s">
        <v>17</v>
      </c>
      <c r="R1929" s="4">
        <v>107.37</v>
      </c>
      <c r="S1929" s="4">
        <v>0</v>
      </c>
      <c r="T1929" t="s">
        <v>34</v>
      </c>
      <c r="U1929" s="4">
        <v>18.739999999999998</v>
      </c>
      <c r="V1929" s="4">
        <v>8.59</v>
      </c>
      <c r="W1929" s="4">
        <v>107.37</v>
      </c>
    </row>
    <row r="1930" spans="1:23" ht="15" customHeight="1" x14ac:dyDescent="0.25">
      <c r="A1930">
        <v>690</v>
      </c>
      <c r="B1930" s="1">
        <v>45978.333333333343</v>
      </c>
      <c r="C1930">
        <v>8</v>
      </c>
      <c r="D1930" t="s">
        <v>57</v>
      </c>
      <c r="E1930">
        <v>11</v>
      </c>
      <c r="F1930" t="s">
        <v>39</v>
      </c>
      <c r="G1930" t="s">
        <v>33</v>
      </c>
      <c r="H1930" t="s">
        <v>54</v>
      </c>
      <c r="I1930" t="s">
        <v>16</v>
      </c>
      <c r="J1930" t="s">
        <v>24</v>
      </c>
      <c r="K1930" s="2">
        <v>8600</v>
      </c>
      <c r="L1930" s="3">
        <v>7.7</v>
      </c>
      <c r="M1930" s="3">
        <v>99</v>
      </c>
      <c r="N1930" s="3">
        <v>0</v>
      </c>
      <c r="O1930" s="2">
        <v>822</v>
      </c>
      <c r="P1930">
        <v>1</v>
      </c>
      <c r="Q1930" t="s">
        <v>17</v>
      </c>
      <c r="R1930" s="4">
        <v>125.14</v>
      </c>
      <c r="S1930" s="4">
        <v>0</v>
      </c>
      <c r="T1930" t="s">
        <v>34</v>
      </c>
      <c r="U1930" s="4">
        <v>21.47</v>
      </c>
      <c r="V1930" s="4">
        <v>14.551</v>
      </c>
      <c r="W1930" s="4">
        <v>125.14</v>
      </c>
    </row>
    <row r="1931" spans="1:23" ht="15" customHeight="1" x14ac:dyDescent="0.25">
      <c r="A1931">
        <v>1794</v>
      </c>
      <c r="B1931" s="1">
        <v>45978.333333333343</v>
      </c>
      <c r="C1931">
        <v>8</v>
      </c>
      <c r="D1931" t="s">
        <v>57</v>
      </c>
      <c r="E1931">
        <v>11</v>
      </c>
      <c r="F1931" t="s">
        <v>39</v>
      </c>
      <c r="G1931" t="s">
        <v>33</v>
      </c>
      <c r="H1931" t="s">
        <v>49</v>
      </c>
      <c r="I1931" t="s">
        <v>27</v>
      </c>
      <c r="J1931" t="s">
        <v>18</v>
      </c>
      <c r="K1931" s="2">
        <v>26000</v>
      </c>
      <c r="L1931" s="3">
        <v>3.4</v>
      </c>
      <c r="M1931" s="3"/>
      <c r="N1931" s="3">
        <v>0</v>
      </c>
      <c r="O1931" s="2">
        <v>180</v>
      </c>
      <c r="P1931">
        <v>1</v>
      </c>
      <c r="Q1931" t="s">
        <v>17</v>
      </c>
      <c r="R1931" s="4">
        <v>258.18</v>
      </c>
      <c r="S1931" s="4">
        <v>0</v>
      </c>
      <c r="T1931" t="s">
        <v>34</v>
      </c>
      <c r="U1931" s="4">
        <v>44.1</v>
      </c>
      <c r="V1931" s="4">
        <v>9.93</v>
      </c>
      <c r="W1931" s="4">
        <v>258.18</v>
      </c>
    </row>
    <row r="1932" spans="1:23" ht="15" customHeight="1" x14ac:dyDescent="0.25">
      <c r="A1932">
        <v>1058</v>
      </c>
      <c r="B1932" s="1">
        <v>45978.333333333343</v>
      </c>
      <c r="C1932">
        <v>8</v>
      </c>
      <c r="D1932" t="s">
        <v>57</v>
      </c>
      <c r="E1932">
        <v>11</v>
      </c>
      <c r="F1932" t="s">
        <v>39</v>
      </c>
      <c r="G1932" t="s">
        <v>33</v>
      </c>
      <c r="H1932" t="s">
        <v>50</v>
      </c>
      <c r="I1932" t="s">
        <v>22</v>
      </c>
      <c r="J1932" t="s">
        <v>12</v>
      </c>
      <c r="K1932" s="2">
        <v>21000</v>
      </c>
      <c r="L1932" s="3">
        <v>13.3</v>
      </c>
      <c r="M1932" s="3">
        <v>79.8</v>
      </c>
      <c r="N1932" s="3">
        <v>0</v>
      </c>
      <c r="O1932" s="2">
        <v>426</v>
      </c>
      <c r="P1932">
        <v>1</v>
      </c>
      <c r="Q1932" t="s">
        <v>17</v>
      </c>
      <c r="R1932" s="4">
        <v>278</v>
      </c>
      <c r="S1932" s="4">
        <v>0</v>
      </c>
      <c r="T1932" t="s">
        <v>34</v>
      </c>
      <c r="U1932" s="4">
        <v>47.68</v>
      </c>
      <c r="V1932" s="4">
        <v>13.238</v>
      </c>
      <c r="W1932" s="4">
        <v>278</v>
      </c>
    </row>
    <row r="1933" spans="1:23" ht="15" customHeight="1" x14ac:dyDescent="0.25">
      <c r="A1933">
        <v>1426</v>
      </c>
      <c r="B1933" s="1">
        <v>45978.333333333343</v>
      </c>
      <c r="C1933">
        <v>8</v>
      </c>
      <c r="D1933" t="s">
        <v>57</v>
      </c>
      <c r="E1933">
        <v>11</v>
      </c>
      <c r="F1933" t="s">
        <v>39</v>
      </c>
      <c r="G1933" t="s">
        <v>33</v>
      </c>
      <c r="H1933" t="s">
        <v>51</v>
      </c>
      <c r="I1933" t="s">
        <v>25</v>
      </c>
      <c r="J1933" t="s">
        <v>15</v>
      </c>
      <c r="K1933" s="2">
        <v>17400</v>
      </c>
      <c r="L1933" s="3">
        <v>16.100000000000001</v>
      </c>
      <c r="M1933" s="3">
        <v>70.7</v>
      </c>
      <c r="N1933" s="3">
        <v>0</v>
      </c>
      <c r="O1933" s="2">
        <v>143</v>
      </c>
      <c r="P1933">
        <v>0</v>
      </c>
      <c r="Q1933" t="s">
        <v>14</v>
      </c>
      <c r="R1933" s="4">
        <v>52.18</v>
      </c>
      <c r="S1933" s="4">
        <v>0</v>
      </c>
      <c r="T1933" t="s">
        <v>34</v>
      </c>
      <c r="U1933" s="4">
        <v>9.0500000000000007</v>
      </c>
      <c r="V1933" s="4">
        <v>2.9990000000000001</v>
      </c>
      <c r="W1933" s="4">
        <v>52.18</v>
      </c>
    </row>
    <row r="1934" spans="1:23" ht="15" customHeight="1" x14ac:dyDescent="0.25">
      <c r="A1934">
        <v>691</v>
      </c>
      <c r="B1934" s="1">
        <v>45978.583333333343</v>
      </c>
      <c r="C1934">
        <v>14</v>
      </c>
      <c r="D1934" t="s">
        <v>57</v>
      </c>
      <c r="E1934">
        <v>11</v>
      </c>
      <c r="F1934" t="s">
        <v>39</v>
      </c>
      <c r="G1934" t="s">
        <v>33</v>
      </c>
      <c r="H1934" t="s">
        <v>54</v>
      </c>
      <c r="I1934" t="s">
        <v>16</v>
      </c>
      <c r="J1934" t="s">
        <v>24</v>
      </c>
      <c r="K1934" s="2">
        <v>8600</v>
      </c>
      <c r="L1934" s="3">
        <v>13.8</v>
      </c>
      <c r="M1934" s="3">
        <v>88.6</v>
      </c>
      <c r="N1934" s="3">
        <v>298.39999999999998</v>
      </c>
      <c r="O1934" s="2">
        <v>879</v>
      </c>
      <c r="P1934">
        <v>1</v>
      </c>
      <c r="Q1934" t="s">
        <v>17</v>
      </c>
      <c r="R1934" s="4">
        <v>83.25</v>
      </c>
      <c r="S1934" s="4">
        <v>22.27</v>
      </c>
      <c r="T1934" t="s">
        <v>34</v>
      </c>
      <c r="U1934" s="4">
        <v>10.72</v>
      </c>
      <c r="V1934" s="4">
        <v>9.68</v>
      </c>
      <c r="W1934" s="4">
        <v>60.98</v>
      </c>
    </row>
    <row r="1935" spans="1:23" ht="15" customHeight="1" x14ac:dyDescent="0.25">
      <c r="A1935">
        <v>323</v>
      </c>
      <c r="B1935" s="1">
        <v>45978.583333333343</v>
      </c>
      <c r="C1935">
        <v>14</v>
      </c>
      <c r="D1935" t="s">
        <v>57</v>
      </c>
      <c r="E1935">
        <v>11</v>
      </c>
      <c r="F1935" t="s">
        <v>39</v>
      </c>
      <c r="G1935" t="s">
        <v>33</v>
      </c>
      <c r="H1935" t="s">
        <v>53</v>
      </c>
      <c r="I1935" t="s">
        <v>19</v>
      </c>
      <c r="J1935" t="s">
        <v>26</v>
      </c>
      <c r="K1935" s="2">
        <v>12500</v>
      </c>
      <c r="L1935" s="3">
        <v>14.7</v>
      </c>
      <c r="M1935" s="3">
        <v>73.8</v>
      </c>
      <c r="N1935" s="3">
        <v>520.70000000000005</v>
      </c>
      <c r="O1935" s="2">
        <v>603</v>
      </c>
      <c r="P1935">
        <v>1</v>
      </c>
      <c r="Q1935" t="s">
        <v>23</v>
      </c>
      <c r="R1935" s="4">
        <v>106.4</v>
      </c>
      <c r="S1935" s="4">
        <v>75.47</v>
      </c>
      <c r="T1935" t="s">
        <v>34</v>
      </c>
      <c r="U1935" s="4">
        <v>5.33</v>
      </c>
      <c r="V1935" s="4">
        <v>8.5120000000000005</v>
      </c>
      <c r="W1935" s="4">
        <v>30.93</v>
      </c>
    </row>
    <row r="1936" spans="1:23" ht="15" customHeight="1" x14ac:dyDescent="0.25">
      <c r="A1936">
        <v>1427</v>
      </c>
      <c r="B1936" s="1">
        <v>45978.583333333343</v>
      </c>
      <c r="C1936">
        <v>14</v>
      </c>
      <c r="D1936" t="s">
        <v>57</v>
      </c>
      <c r="E1936">
        <v>11</v>
      </c>
      <c r="F1936" t="s">
        <v>39</v>
      </c>
      <c r="G1936" t="s">
        <v>33</v>
      </c>
      <c r="H1936" t="s">
        <v>51</v>
      </c>
      <c r="I1936" t="s">
        <v>25</v>
      </c>
      <c r="J1936" t="s">
        <v>15</v>
      </c>
      <c r="K1936" s="2">
        <v>17400</v>
      </c>
      <c r="L1936" s="3">
        <v>19.7</v>
      </c>
      <c r="M1936" s="3">
        <v>78.400000000000006</v>
      </c>
      <c r="N1936" s="3">
        <v>445.6</v>
      </c>
      <c r="O1936" s="2">
        <v>1295</v>
      </c>
      <c r="P1936">
        <v>0</v>
      </c>
      <c r="Q1936" t="s">
        <v>14</v>
      </c>
      <c r="R1936" s="4">
        <v>207.29</v>
      </c>
      <c r="S1936" s="4">
        <v>57.36</v>
      </c>
      <c r="T1936" t="s">
        <v>34</v>
      </c>
      <c r="U1936" s="4">
        <v>25.95</v>
      </c>
      <c r="V1936" s="4">
        <v>11.913</v>
      </c>
      <c r="W1936" s="4">
        <v>149.93</v>
      </c>
    </row>
    <row r="1937" spans="1:23" ht="15" customHeight="1" x14ac:dyDescent="0.25">
      <c r="A1937">
        <v>1059</v>
      </c>
      <c r="B1937" s="1">
        <v>45978.583333333343</v>
      </c>
      <c r="C1937">
        <v>14</v>
      </c>
      <c r="D1937" t="s">
        <v>57</v>
      </c>
      <c r="E1937">
        <v>11</v>
      </c>
      <c r="F1937" t="s">
        <v>39</v>
      </c>
      <c r="G1937" t="s">
        <v>33</v>
      </c>
      <c r="H1937" t="s">
        <v>50</v>
      </c>
      <c r="I1937" t="s">
        <v>22</v>
      </c>
      <c r="J1937" t="s">
        <v>12</v>
      </c>
      <c r="K1937" s="2">
        <v>21000</v>
      </c>
      <c r="L1937" s="3">
        <v>20.3</v>
      </c>
      <c r="M1937" s="3">
        <v>63.1</v>
      </c>
      <c r="N1937" s="3">
        <v>599.4</v>
      </c>
      <c r="O1937" s="2">
        <v>407</v>
      </c>
      <c r="P1937">
        <v>0</v>
      </c>
      <c r="Q1937" t="s">
        <v>14</v>
      </c>
      <c r="R1937" s="4">
        <v>190.67</v>
      </c>
      <c r="S1937" s="4">
        <v>122.92</v>
      </c>
      <c r="T1937" t="s">
        <v>34</v>
      </c>
      <c r="U1937" s="4">
        <v>11.74</v>
      </c>
      <c r="V1937" s="4">
        <v>9.08</v>
      </c>
      <c r="W1937" s="4">
        <v>67.75</v>
      </c>
    </row>
    <row r="1938" spans="1:23" ht="15" customHeight="1" x14ac:dyDescent="0.25">
      <c r="A1938">
        <v>1795</v>
      </c>
      <c r="B1938" s="1">
        <v>45978.583333333343</v>
      </c>
      <c r="C1938">
        <v>14</v>
      </c>
      <c r="D1938" t="s">
        <v>57</v>
      </c>
      <c r="E1938">
        <v>11</v>
      </c>
      <c r="F1938" t="s">
        <v>39</v>
      </c>
      <c r="G1938" t="s">
        <v>33</v>
      </c>
      <c r="H1938" t="s">
        <v>49</v>
      </c>
      <c r="I1938" t="s">
        <v>27</v>
      </c>
      <c r="J1938" t="s">
        <v>18</v>
      </c>
      <c r="K1938" s="2">
        <v>26000</v>
      </c>
      <c r="L1938" s="3">
        <v>13.8</v>
      </c>
      <c r="M1938" s="3">
        <v>81</v>
      </c>
      <c r="N1938" s="3">
        <v>374.9</v>
      </c>
      <c r="O1938" s="2">
        <v>151</v>
      </c>
      <c r="P1938">
        <v>1</v>
      </c>
      <c r="Q1938" t="s">
        <v>17</v>
      </c>
      <c r="R1938" s="4">
        <v>144.82</v>
      </c>
      <c r="S1938" s="4">
        <v>103.3</v>
      </c>
      <c r="T1938" t="s">
        <v>34</v>
      </c>
      <c r="U1938" s="4">
        <v>7.28</v>
      </c>
      <c r="V1938" s="4">
        <v>5.57</v>
      </c>
      <c r="W1938" s="4">
        <v>41.52</v>
      </c>
    </row>
    <row r="1939" spans="1:23" ht="15" customHeight="1" x14ac:dyDescent="0.25">
      <c r="A1939">
        <v>2163</v>
      </c>
      <c r="B1939" s="1">
        <v>45978.583333333343</v>
      </c>
      <c r="C1939">
        <v>14</v>
      </c>
      <c r="D1939" t="s">
        <v>57</v>
      </c>
      <c r="E1939">
        <v>11</v>
      </c>
      <c r="F1939" t="s">
        <v>39</v>
      </c>
      <c r="G1939" t="s">
        <v>33</v>
      </c>
      <c r="H1939" t="s">
        <v>52</v>
      </c>
      <c r="I1939" t="s">
        <v>13</v>
      </c>
      <c r="J1939" t="s">
        <v>21</v>
      </c>
      <c r="K1939" s="2">
        <v>9800</v>
      </c>
      <c r="L1939" s="3">
        <v>14.1</v>
      </c>
      <c r="M1939" s="3">
        <v>77.2</v>
      </c>
      <c r="N1939" s="3">
        <v>452.3</v>
      </c>
      <c r="O1939" s="2">
        <v>64</v>
      </c>
      <c r="P1939">
        <v>1</v>
      </c>
      <c r="Q1939" t="s">
        <v>17</v>
      </c>
      <c r="R1939" s="4">
        <v>21.53</v>
      </c>
      <c r="S1939" s="4">
        <v>0</v>
      </c>
      <c r="T1939" t="s">
        <v>34</v>
      </c>
      <c r="U1939" s="4">
        <v>3.87</v>
      </c>
      <c r="V1939" s="4">
        <v>2.1970000000000001</v>
      </c>
      <c r="W1939" s="4">
        <v>21.53</v>
      </c>
    </row>
    <row r="1940" spans="1:23" ht="15" customHeight="1" x14ac:dyDescent="0.25">
      <c r="A1940">
        <v>1796</v>
      </c>
      <c r="B1940" s="1">
        <v>45978.833333333343</v>
      </c>
      <c r="C1940">
        <v>20</v>
      </c>
      <c r="D1940" t="s">
        <v>57</v>
      </c>
      <c r="E1940">
        <v>11</v>
      </c>
      <c r="F1940" t="s">
        <v>39</v>
      </c>
      <c r="G1940" t="s">
        <v>33</v>
      </c>
      <c r="H1940" t="s">
        <v>49</v>
      </c>
      <c r="I1940" t="s">
        <v>27</v>
      </c>
      <c r="J1940" t="s">
        <v>18</v>
      </c>
      <c r="K1940" s="2">
        <v>26000</v>
      </c>
      <c r="L1940" s="3">
        <v>9.9</v>
      </c>
      <c r="M1940" s="3">
        <v>75.7</v>
      </c>
      <c r="N1940" s="3">
        <v>0</v>
      </c>
      <c r="O1940" s="2">
        <v>160</v>
      </c>
      <c r="P1940">
        <v>1</v>
      </c>
      <c r="Q1940" t="s">
        <v>17</v>
      </c>
      <c r="R1940" s="4">
        <v>261.74</v>
      </c>
      <c r="S1940" s="4">
        <v>0</v>
      </c>
      <c r="T1940" t="s">
        <v>37</v>
      </c>
      <c r="U1940" s="4">
        <v>71.98</v>
      </c>
      <c r="V1940" s="4">
        <v>10.067</v>
      </c>
      <c r="W1940" s="4">
        <v>261.74</v>
      </c>
    </row>
    <row r="1941" spans="1:23" ht="15" customHeight="1" x14ac:dyDescent="0.25">
      <c r="A1941">
        <v>1428</v>
      </c>
      <c r="B1941" s="1">
        <v>45978.833333333343</v>
      </c>
      <c r="C1941">
        <v>20</v>
      </c>
      <c r="D1941" t="s">
        <v>57</v>
      </c>
      <c r="E1941">
        <v>11</v>
      </c>
      <c r="F1941" t="s">
        <v>39</v>
      </c>
      <c r="G1941" t="s">
        <v>33</v>
      </c>
      <c r="H1941" t="s">
        <v>51</v>
      </c>
      <c r="I1941" t="s">
        <v>25</v>
      </c>
      <c r="J1941" t="s">
        <v>15</v>
      </c>
      <c r="K1941" s="2">
        <v>17400</v>
      </c>
      <c r="L1941" s="3">
        <v>16.8</v>
      </c>
      <c r="M1941" s="3">
        <v>81.900000000000006</v>
      </c>
      <c r="N1941" s="3">
        <v>0</v>
      </c>
      <c r="O1941" s="2">
        <v>1250</v>
      </c>
      <c r="P1941">
        <v>0</v>
      </c>
      <c r="Q1941" t="s">
        <v>14</v>
      </c>
      <c r="R1941" s="4">
        <v>263.23</v>
      </c>
      <c r="S1941" s="4">
        <v>0</v>
      </c>
      <c r="T1941" t="s">
        <v>37</v>
      </c>
      <c r="U1941" s="4">
        <v>69.650000000000006</v>
      </c>
      <c r="V1941" s="4">
        <v>15.128</v>
      </c>
      <c r="W1941" s="4">
        <v>263.23</v>
      </c>
    </row>
    <row r="1942" spans="1:23" ht="15" customHeight="1" x14ac:dyDescent="0.25">
      <c r="A1942">
        <v>324</v>
      </c>
      <c r="B1942" s="1">
        <v>45978.833333333343</v>
      </c>
      <c r="C1942">
        <v>20</v>
      </c>
      <c r="D1942" t="s">
        <v>57</v>
      </c>
      <c r="E1942">
        <v>11</v>
      </c>
      <c r="F1942" t="s">
        <v>39</v>
      </c>
      <c r="G1942" t="s">
        <v>33</v>
      </c>
      <c r="H1942" t="s">
        <v>53</v>
      </c>
      <c r="I1942" t="s">
        <v>19</v>
      </c>
      <c r="J1942" t="s">
        <v>26</v>
      </c>
      <c r="K1942" s="2">
        <v>12500</v>
      </c>
      <c r="L1942" s="3">
        <v>11.6</v>
      </c>
      <c r="M1942" s="3">
        <v>71.099999999999994</v>
      </c>
      <c r="N1942" s="3">
        <v>0</v>
      </c>
      <c r="O1942" s="2">
        <v>72</v>
      </c>
      <c r="P1942">
        <v>1</v>
      </c>
      <c r="Q1942" t="s">
        <v>17</v>
      </c>
      <c r="R1942" s="4">
        <v>38.74</v>
      </c>
      <c r="S1942" s="4">
        <v>0</v>
      </c>
      <c r="T1942" t="s">
        <v>37</v>
      </c>
      <c r="U1942" s="4">
        <v>10.050000000000001</v>
      </c>
      <c r="V1942" s="4">
        <v>3.0990000000000002</v>
      </c>
      <c r="W1942" s="4">
        <v>38.74</v>
      </c>
    </row>
    <row r="1943" spans="1:23" ht="15" customHeight="1" x14ac:dyDescent="0.25">
      <c r="A1943">
        <v>1060</v>
      </c>
      <c r="B1943" s="1">
        <v>45978.833333333343</v>
      </c>
      <c r="C1943">
        <v>20</v>
      </c>
      <c r="D1943" t="s">
        <v>57</v>
      </c>
      <c r="E1943">
        <v>11</v>
      </c>
      <c r="F1943" t="s">
        <v>39</v>
      </c>
      <c r="G1943" t="s">
        <v>33</v>
      </c>
      <c r="H1943" t="s">
        <v>50</v>
      </c>
      <c r="I1943" t="s">
        <v>22</v>
      </c>
      <c r="J1943" t="s">
        <v>12</v>
      </c>
      <c r="K1943" s="2">
        <v>21000</v>
      </c>
      <c r="L1943" s="3">
        <v>17.5</v>
      </c>
      <c r="M1943" s="3">
        <v>63.1</v>
      </c>
      <c r="N1943" s="3">
        <v>0</v>
      </c>
      <c r="O1943" s="2">
        <v>402</v>
      </c>
      <c r="P1943">
        <v>0</v>
      </c>
      <c r="Q1943" t="s">
        <v>14</v>
      </c>
      <c r="R1943" s="4">
        <v>268.14999999999998</v>
      </c>
      <c r="S1943" s="4">
        <v>0</v>
      </c>
      <c r="T1943" t="s">
        <v>37</v>
      </c>
      <c r="U1943" s="4">
        <v>71.7</v>
      </c>
      <c r="V1943" s="4">
        <v>12.769</v>
      </c>
      <c r="W1943" s="4">
        <v>268.14999999999998</v>
      </c>
    </row>
    <row r="1944" spans="1:23" ht="15" customHeight="1" x14ac:dyDescent="0.25">
      <c r="A1944">
        <v>2164</v>
      </c>
      <c r="B1944" s="1">
        <v>45978.833333333343</v>
      </c>
      <c r="C1944">
        <v>20</v>
      </c>
      <c r="D1944" t="s">
        <v>57</v>
      </c>
      <c r="E1944">
        <v>11</v>
      </c>
      <c r="F1944" t="s">
        <v>39</v>
      </c>
      <c r="G1944" t="s">
        <v>33</v>
      </c>
      <c r="H1944" t="s">
        <v>52</v>
      </c>
      <c r="I1944" t="s">
        <v>13</v>
      </c>
      <c r="J1944" t="s">
        <v>21</v>
      </c>
      <c r="K1944" s="2">
        <v>9800</v>
      </c>
      <c r="L1944" s="3">
        <v>11.2</v>
      </c>
      <c r="M1944" s="3">
        <v>82.6</v>
      </c>
      <c r="N1944" s="3">
        <v>0</v>
      </c>
      <c r="O1944" s="2">
        <v>310</v>
      </c>
      <c r="P1944">
        <v>1</v>
      </c>
      <c r="Q1944" t="s">
        <v>17</v>
      </c>
      <c r="R1944" s="4">
        <v>101.84</v>
      </c>
      <c r="S1944" s="4">
        <v>0</v>
      </c>
      <c r="T1944" t="s">
        <v>37</v>
      </c>
      <c r="U1944" s="4">
        <v>27.05</v>
      </c>
      <c r="V1944" s="4">
        <v>10.391999999999999</v>
      </c>
      <c r="W1944" s="4">
        <v>101.84</v>
      </c>
    </row>
    <row r="1945" spans="1:23" ht="15" customHeight="1" x14ac:dyDescent="0.25">
      <c r="A1945">
        <v>692</v>
      </c>
      <c r="B1945" s="1">
        <v>45978.833333333343</v>
      </c>
      <c r="C1945">
        <v>20</v>
      </c>
      <c r="D1945" t="s">
        <v>57</v>
      </c>
      <c r="E1945">
        <v>11</v>
      </c>
      <c r="F1945" t="s">
        <v>39</v>
      </c>
      <c r="G1945" t="s">
        <v>33</v>
      </c>
      <c r="H1945" t="s">
        <v>54</v>
      </c>
      <c r="I1945" t="s">
        <v>16</v>
      </c>
      <c r="J1945" t="s">
        <v>24</v>
      </c>
      <c r="K1945" s="2">
        <v>8600</v>
      </c>
      <c r="L1945" s="3">
        <v>13.2</v>
      </c>
      <c r="M1945" s="3">
        <v>94</v>
      </c>
      <c r="N1945" s="3">
        <v>0</v>
      </c>
      <c r="O1945" s="2">
        <v>129</v>
      </c>
      <c r="P1945">
        <v>1</v>
      </c>
      <c r="Q1945" t="s">
        <v>17</v>
      </c>
      <c r="R1945" s="4">
        <v>26.14</v>
      </c>
      <c r="S1945" s="4">
        <v>0</v>
      </c>
      <c r="T1945" t="s">
        <v>37</v>
      </c>
      <c r="U1945" s="4">
        <v>6.86</v>
      </c>
      <c r="V1945" s="4">
        <v>3.04</v>
      </c>
      <c r="W1945" s="4">
        <v>26.14</v>
      </c>
    </row>
    <row r="1946" spans="1:23" ht="15" customHeight="1" x14ac:dyDescent="0.25">
      <c r="A1946">
        <v>2165</v>
      </c>
      <c r="B1946" s="1">
        <v>45982</v>
      </c>
      <c r="C1946">
        <v>0</v>
      </c>
      <c r="D1946" t="s">
        <v>58</v>
      </c>
      <c r="E1946">
        <v>11</v>
      </c>
      <c r="F1946" t="s">
        <v>39</v>
      </c>
      <c r="G1946" t="s">
        <v>33</v>
      </c>
      <c r="H1946" t="s">
        <v>52</v>
      </c>
      <c r="I1946" t="s">
        <v>13</v>
      </c>
      <c r="J1946" t="s">
        <v>21</v>
      </c>
      <c r="K1946" s="2">
        <v>9800</v>
      </c>
      <c r="L1946" s="3">
        <v>10.3</v>
      </c>
      <c r="M1946" s="3">
        <v>92.9</v>
      </c>
      <c r="N1946" s="3">
        <v>0</v>
      </c>
      <c r="O1946" s="2">
        <v>287</v>
      </c>
      <c r="P1946">
        <v>1</v>
      </c>
      <c r="Q1946" t="s">
        <v>17</v>
      </c>
      <c r="R1946" s="4">
        <v>95.46</v>
      </c>
      <c r="S1946" s="4">
        <v>0</v>
      </c>
      <c r="T1946" t="s">
        <v>31</v>
      </c>
      <c r="U1946" s="4">
        <v>10.16</v>
      </c>
      <c r="V1946" s="4">
        <v>9.7409999999999997</v>
      </c>
      <c r="W1946" s="4">
        <v>95.46</v>
      </c>
    </row>
    <row r="1947" spans="1:23" ht="15" customHeight="1" x14ac:dyDescent="0.25">
      <c r="A1947">
        <v>325</v>
      </c>
      <c r="B1947" s="1">
        <v>45982</v>
      </c>
      <c r="C1947">
        <v>0</v>
      </c>
      <c r="D1947" t="s">
        <v>58</v>
      </c>
      <c r="E1947">
        <v>11</v>
      </c>
      <c r="F1947" t="s">
        <v>39</v>
      </c>
      <c r="G1947" t="s">
        <v>33</v>
      </c>
      <c r="H1947" t="s">
        <v>53</v>
      </c>
      <c r="I1947" t="s">
        <v>19</v>
      </c>
      <c r="J1947" t="s">
        <v>26</v>
      </c>
      <c r="K1947" s="2">
        <v>12500</v>
      </c>
      <c r="L1947" s="3">
        <v>6.4</v>
      </c>
      <c r="M1947" s="3">
        <v>64.599999999999994</v>
      </c>
      <c r="N1947" s="3">
        <v>0</v>
      </c>
      <c r="O1947" s="2">
        <v>2</v>
      </c>
      <c r="P1947">
        <v>0</v>
      </c>
      <c r="Q1947" t="s">
        <v>14</v>
      </c>
      <c r="R1947" s="4">
        <v>23.83</v>
      </c>
      <c r="S1947" s="4">
        <v>0</v>
      </c>
      <c r="T1947" t="s">
        <v>31</v>
      </c>
      <c r="U1947" s="4">
        <v>2.5</v>
      </c>
      <c r="V1947" s="4">
        <v>1.9059999999999999</v>
      </c>
      <c r="W1947" s="4">
        <v>23.83</v>
      </c>
    </row>
    <row r="1948" spans="1:23" ht="15" customHeight="1" x14ac:dyDescent="0.25">
      <c r="A1948">
        <v>1061</v>
      </c>
      <c r="B1948" s="1">
        <v>45982</v>
      </c>
      <c r="C1948">
        <v>0</v>
      </c>
      <c r="D1948" t="s">
        <v>58</v>
      </c>
      <c r="E1948">
        <v>11</v>
      </c>
      <c r="F1948" t="s">
        <v>39</v>
      </c>
      <c r="G1948" t="s">
        <v>33</v>
      </c>
      <c r="H1948" t="s">
        <v>50</v>
      </c>
      <c r="I1948" t="s">
        <v>22</v>
      </c>
      <c r="J1948" t="s">
        <v>12</v>
      </c>
      <c r="K1948" s="2">
        <v>21000</v>
      </c>
      <c r="L1948" s="3">
        <v>9.5</v>
      </c>
      <c r="M1948" s="3">
        <v>72</v>
      </c>
      <c r="N1948" s="3">
        <v>0</v>
      </c>
      <c r="O1948" s="2">
        <v>262</v>
      </c>
      <c r="P1948">
        <v>1</v>
      </c>
      <c r="Q1948" t="s">
        <v>17</v>
      </c>
      <c r="R1948" s="4">
        <v>186.51</v>
      </c>
      <c r="S1948" s="4">
        <v>0</v>
      </c>
      <c r="T1948" t="s">
        <v>31</v>
      </c>
      <c r="U1948" s="4">
        <v>19.96</v>
      </c>
      <c r="V1948" s="4">
        <v>8.8810000000000002</v>
      </c>
      <c r="W1948" s="4">
        <v>186.51</v>
      </c>
    </row>
    <row r="1949" spans="1:23" ht="15" customHeight="1" x14ac:dyDescent="0.25">
      <c r="A1949">
        <v>1797</v>
      </c>
      <c r="B1949" s="1">
        <v>45982</v>
      </c>
      <c r="C1949">
        <v>0</v>
      </c>
      <c r="D1949" t="s">
        <v>58</v>
      </c>
      <c r="E1949">
        <v>11</v>
      </c>
      <c r="F1949" t="s">
        <v>39</v>
      </c>
      <c r="G1949" t="s">
        <v>33</v>
      </c>
      <c r="H1949" t="s">
        <v>49</v>
      </c>
      <c r="I1949" t="s">
        <v>27</v>
      </c>
      <c r="J1949" t="s">
        <v>18</v>
      </c>
      <c r="K1949" s="2">
        <v>26000</v>
      </c>
      <c r="L1949" s="3">
        <v>4</v>
      </c>
      <c r="M1949" s="3">
        <v>76.099999999999994</v>
      </c>
      <c r="N1949" s="3">
        <v>0</v>
      </c>
      <c r="O1949" s="2">
        <v>51</v>
      </c>
      <c r="P1949">
        <v>1</v>
      </c>
      <c r="Q1949" t="s">
        <v>17</v>
      </c>
      <c r="R1949" s="4">
        <v>142.41999999999999</v>
      </c>
      <c r="S1949" s="4">
        <v>0</v>
      </c>
      <c r="T1949" t="s">
        <v>31</v>
      </c>
      <c r="U1949" s="4">
        <v>15.34</v>
      </c>
      <c r="V1949" s="4">
        <v>5.4779999999999998</v>
      </c>
      <c r="W1949" s="4">
        <v>142.41999999999999</v>
      </c>
    </row>
    <row r="1950" spans="1:23" ht="15" customHeight="1" x14ac:dyDescent="0.25">
      <c r="A1950">
        <v>693</v>
      </c>
      <c r="B1950" s="1">
        <v>45982</v>
      </c>
      <c r="C1950">
        <v>0</v>
      </c>
      <c r="D1950" t="s">
        <v>58</v>
      </c>
      <c r="E1950">
        <v>11</v>
      </c>
      <c r="F1950" t="s">
        <v>39</v>
      </c>
      <c r="G1950" t="s">
        <v>33</v>
      </c>
      <c r="H1950" t="s">
        <v>54</v>
      </c>
      <c r="I1950" t="s">
        <v>16</v>
      </c>
      <c r="J1950" t="s">
        <v>24</v>
      </c>
      <c r="K1950" s="2">
        <v>8600</v>
      </c>
      <c r="L1950" s="3">
        <v>7.9</v>
      </c>
      <c r="M1950" s="3">
        <v>99</v>
      </c>
      <c r="N1950" s="3">
        <v>0</v>
      </c>
      <c r="O1950" s="2">
        <v>89</v>
      </c>
      <c r="P1950">
        <v>1</v>
      </c>
      <c r="Q1950" t="s">
        <v>17</v>
      </c>
      <c r="R1950" s="4">
        <v>26.16</v>
      </c>
      <c r="S1950" s="4">
        <v>0</v>
      </c>
      <c r="T1950" t="s">
        <v>31</v>
      </c>
      <c r="U1950" s="4">
        <v>2.71</v>
      </c>
      <c r="V1950" s="4">
        <v>3.0419999999999998</v>
      </c>
      <c r="W1950" s="4">
        <v>26.16</v>
      </c>
    </row>
    <row r="1951" spans="1:23" ht="15" customHeight="1" x14ac:dyDescent="0.25">
      <c r="A1951">
        <v>1429</v>
      </c>
      <c r="B1951" s="1">
        <v>45982</v>
      </c>
      <c r="C1951">
        <v>0</v>
      </c>
      <c r="D1951" t="s">
        <v>58</v>
      </c>
      <c r="E1951">
        <v>11</v>
      </c>
      <c r="F1951" t="s">
        <v>39</v>
      </c>
      <c r="G1951" t="s">
        <v>33</v>
      </c>
      <c r="H1951" t="s">
        <v>51</v>
      </c>
      <c r="I1951" t="s">
        <v>25</v>
      </c>
      <c r="J1951" t="s">
        <v>15</v>
      </c>
      <c r="K1951" s="2">
        <v>17400</v>
      </c>
      <c r="L1951" s="3">
        <v>8.1</v>
      </c>
      <c r="M1951" s="3">
        <v>81.400000000000006</v>
      </c>
      <c r="N1951" s="3">
        <v>0</v>
      </c>
      <c r="O1951" s="2">
        <v>91</v>
      </c>
      <c r="P1951">
        <v>0</v>
      </c>
      <c r="Q1951" t="s">
        <v>14</v>
      </c>
      <c r="R1951" s="4">
        <v>53.8</v>
      </c>
      <c r="S1951" s="4">
        <v>0</v>
      </c>
      <c r="T1951" t="s">
        <v>31</v>
      </c>
      <c r="U1951" s="4">
        <v>5.85</v>
      </c>
      <c r="V1951" s="4">
        <v>3.0920000000000001</v>
      </c>
      <c r="W1951" s="4">
        <v>53.8</v>
      </c>
    </row>
    <row r="1952" spans="1:23" ht="15" customHeight="1" x14ac:dyDescent="0.25">
      <c r="A1952">
        <v>1798</v>
      </c>
      <c r="B1952" s="1">
        <v>45982.333333333343</v>
      </c>
      <c r="C1952">
        <v>8</v>
      </c>
      <c r="D1952" t="s">
        <v>58</v>
      </c>
      <c r="E1952">
        <v>11</v>
      </c>
      <c r="F1952" t="s">
        <v>39</v>
      </c>
      <c r="G1952" t="s">
        <v>33</v>
      </c>
      <c r="H1952" t="s">
        <v>49</v>
      </c>
      <c r="I1952" t="s">
        <v>27</v>
      </c>
      <c r="J1952" t="s">
        <v>18</v>
      </c>
      <c r="K1952" s="2">
        <v>26000</v>
      </c>
      <c r="L1952" s="3">
        <v>5.3</v>
      </c>
      <c r="M1952" s="3">
        <v>87.2</v>
      </c>
      <c r="N1952" s="3">
        <v>0</v>
      </c>
      <c r="O1952" s="2">
        <v>164</v>
      </c>
      <c r="P1952">
        <v>1</v>
      </c>
      <c r="Q1952" t="s">
        <v>17</v>
      </c>
      <c r="R1952" s="4">
        <v>261.11</v>
      </c>
      <c r="S1952" s="4">
        <v>0</v>
      </c>
      <c r="T1952" t="s">
        <v>34</v>
      </c>
      <c r="U1952" s="4">
        <v>44.49</v>
      </c>
      <c r="V1952" s="4">
        <v>10.042999999999999</v>
      </c>
      <c r="W1952" s="4">
        <v>261.11</v>
      </c>
    </row>
    <row r="1953" spans="1:23" ht="15" customHeight="1" x14ac:dyDescent="0.25">
      <c r="A1953">
        <v>1430</v>
      </c>
      <c r="B1953" s="1">
        <v>45982.333333333343</v>
      </c>
      <c r="C1953">
        <v>8</v>
      </c>
      <c r="D1953" t="s">
        <v>58</v>
      </c>
      <c r="E1953">
        <v>11</v>
      </c>
      <c r="F1953" t="s">
        <v>39</v>
      </c>
      <c r="G1953" t="s">
        <v>33</v>
      </c>
      <c r="H1953" t="s">
        <v>51</v>
      </c>
      <c r="I1953" t="s">
        <v>25</v>
      </c>
      <c r="J1953" t="s">
        <v>15</v>
      </c>
      <c r="K1953" s="2">
        <v>17400</v>
      </c>
      <c r="L1953" s="3">
        <v>15.5</v>
      </c>
      <c r="M1953" s="3">
        <v>72.900000000000006</v>
      </c>
      <c r="N1953" s="3">
        <v>0</v>
      </c>
      <c r="O1953" s="2">
        <v>46</v>
      </c>
      <c r="P1953">
        <v>0</v>
      </c>
      <c r="Q1953" t="s">
        <v>14</v>
      </c>
      <c r="R1953" s="4">
        <v>49.67</v>
      </c>
      <c r="S1953" s="4">
        <v>0</v>
      </c>
      <c r="T1953" t="s">
        <v>34</v>
      </c>
      <c r="U1953" s="4">
        <v>8.6999999999999993</v>
      </c>
      <c r="V1953" s="4">
        <v>2.855</v>
      </c>
      <c r="W1953" s="4">
        <v>49.67</v>
      </c>
    </row>
    <row r="1954" spans="1:23" ht="15" customHeight="1" x14ac:dyDescent="0.25">
      <c r="A1954">
        <v>694</v>
      </c>
      <c r="B1954" s="1">
        <v>45982.333333333343</v>
      </c>
      <c r="C1954">
        <v>8</v>
      </c>
      <c r="D1954" t="s">
        <v>58</v>
      </c>
      <c r="E1954">
        <v>11</v>
      </c>
      <c r="F1954" t="s">
        <v>39</v>
      </c>
      <c r="G1954" t="s">
        <v>33</v>
      </c>
      <c r="H1954" t="s">
        <v>54</v>
      </c>
      <c r="I1954" t="s">
        <v>16</v>
      </c>
      <c r="J1954" t="s">
        <v>24</v>
      </c>
      <c r="K1954" s="2">
        <v>8600</v>
      </c>
      <c r="L1954" s="3">
        <v>13</v>
      </c>
      <c r="M1954" s="3">
        <v>85.6</v>
      </c>
      <c r="N1954" s="3">
        <v>0</v>
      </c>
      <c r="O1954" s="2"/>
      <c r="P1954">
        <v>1</v>
      </c>
      <c r="Q1954" t="s">
        <v>17</v>
      </c>
      <c r="R1954" s="4">
        <v>115.1</v>
      </c>
      <c r="S1954" s="4">
        <v>0</v>
      </c>
      <c r="T1954" t="s">
        <v>34</v>
      </c>
      <c r="U1954" s="4">
        <v>20.63</v>
      </c>
      <c r="V1954" s="4">
        <v>13.384</v>
      </c>
      <c r="W1954" s="4">
        <v>115.1</v>
      </c>
    </row>
    <row r="1955" spans="1:23" ht="15" customHeight="1" x14ac:dyDescent="0.25">
      <c r="A1955">
        <v>1062</v>
      </c>
      <c r="B1955" s="1">
        <v>45982.333333333343</v>
      </c>
      <c r="C1955">
        <v>8</v>
      </c>
      <c r="D1955" t="s">
        <v>58</v>
      </c>
      <c r="E1955">
        <v>11</v>
      </c>
      <c r="F1955" t="s">
        <v>39</v>
      </c>
      <c r="G1955" t="s">
        <v>33</v>
      </c>
      <c r="H1955" t="s">
        <v>50</v>
      </c>
      <c r="I1955" t="s">
        <v>22</v>
      </c>
      <c r="J1955" t="s">
        <v>12</v>
      </c>
      <c r="K1955" s="2">
        <v>21000</v>
      </c>
      <c r="L1955" s="3">
        <v>11.4</v>
      </c>
      <c r="M1955" s="3">
        <v>73.400000000000006</v>
      </c>
      <c r="N1955" s="3">
        <v>0</v>
      </c>
      <c r="O1955" s="2">
        <v>415</v>
      </c>
      <c r="P1955">
        <v>1</v>
      </c>
      <c r="Q1955" t="s">
        <v>17</v>
      </c>
      <c r="R1955" s="4">
        <v>282.91000000000003</v>
      </c>
      <c r="S1955" s="4">
        <v>0</v>
      </c>
      <c r="T1955" t="s">
        <v>34</v>
      </c>
      <c r="U1955" s="4">
        <v>50.08</v>
      </c>
      <c r="V1955" s="4">
        <v>13.472</v>
      </c>
      <c r="W1955" s="4">
        <v>282.91000000000003</v>
      </c>
    </row>
    <row r="1956" spans="1:23" ht="15" customHeight="1" x14ac:dyDescent="0.25">
      <c r="A1956">
        <v>326</v>
      </c>
      <c r="B1956" s="1">
        <v>45982.333333333343</v>
      </c>
      <c r="C1956">
        <v>8</v>
      </c>
      <c r="D1956" t="s">
        <v>58</v>
      </c>
      <c r="E1956">
        <v>11</v>
      </c>
      <c r="F1956" t="s">
        <v>39</v>
      </c>
      <c r="G1956" t="s">
        <v>33</v>
      </c>
      <c r="H1956" t="s">
        <v>53</v>
      </c>
      <c r="I1956" t="s">
        <v>19</v>
      </c>
      <c r="J1956" t="s">
        <v>26</v>
      </c>
      <c r="K1956" s="2">
        <v>12500</v>
      </c>
      <c r="L1956" s="3">
        <v>11.2</v>
      </c>
      <c r="M1956" s="3">
        <v>70.099999999999994</v>
      </c>
      <c r="N1956" s="3">
        <v>0</v>
      </c>
      <c r="O1956" s="2">
        <v>364</v>
      </c>
      <c r="P1956">
        <v>1</v>
      </c>
      <c r="Q1956" t="s">
        <v>17</v>
      </c>
      <c r="R1956" s="4">
        <v>116.57</v>
      </c>
      <c r="S1956" s="4">
        <v>0</v>
      </c>
      <c r="T1956" t="s">
        <v>34</v>
      </c>
      <c r="U1956" s="4"/>
      <c r="V1956" s="4">
        <v>9.3260000000000005</v>
      </c>
      <c r="W1956" s="4">
        <v>116.57</v>
      </c>
    </row>
    <row r="1957" spans="1:23" ht="15" customHeight="1" x14ac:dyDescent="0.25">
      <c r="A1957">
        <v>2166</v>
      </c>
      <c r="B1957" s="1">
        <v>45982.333333333343</v>
      </c>
      <c r="C1957">
        <v>8</v>
      </c>
      <c r="D1957" t="s">
        <v>58</v>
      </c>
      <c r="E1957">
        <v>11</v>
      </c>
      <c r="F1957" t="s">
        <v>39</v>
      </c>
      <c r="G1957" t="s">
        <v>33</v>
      </c>
      <c r="H1957" t="s">
        <v>52</v>
      </c>
      <c r="I1957" t="s">
        <v>13</v>
      </c>
      <c r="J1957" t="s">
        <v>21</v>
      </c>
      <c r="K1957" s="2">
        <v>9800</v>
      </c>
      <c r="L1957" s="3">
        <v>9.3000000000000007</v>
      </c>
      <c r="M1957" s="3">
        <v>83.9</v>
      </c>
      <c r="N1957" s="3">
        <v>0</v>
      </c>
      <c r="O1957" s="2">
        <v>72</v>
      </c>
      <c r="P1957">
        <v>1</v>
      </c>
      <c r="Q1957" t="s">
        <v>17</v>
      </c>
      <c r="R1957" s="4">
        <v>33.18</v>
      </c>
      <c r="S1957" s="4">
        <v>0</v>
      </c>
      <c r="T1957" t="s">
        <v>34</v>
      </c>
      <c r="U1957" s="4">
        <v>5.6</v>
      </c>
      <c r="V1957" s="4">
        <v>3.3860000000000001</v>
      </c>
      <c r="W1957" s="4">
        <v>33.18</v>
      </c>
    </row>
    <row r="1958" spans="1:23" ht="15" customHeight="1" x14ac:dyDescent="0.25">
      <c r="A1958">
        <v>2167</v>
      </c>
      <c r="B1958" s="1">
        <v>45982.583333333343</v>
      </c>
      <c r="C1958">
        <v>14</v>
      </c>
      <c r="D1958" t="s">
        <v>58</v>
      </c>
      <c r="E1958">
        <v>11</v>
      </c>
      <c r="F1958" t="s">
        <v>39</v>
      </c>
      <c r="G1958" t="s">
        <v>33</v>
      </c>
      <c r="H1958" t="s">
        <v>52</v>
      </c>
      <c r="I1958" t="s">
        <v>13</v>
      </c>
      <c r="J1958" t="s">
        <v>21</v>
      </c>
      <c r="K1958" s="2">
        <v>9800</v>
      </c>
      <c r="L1958" s="3">
        <v>16.899999999999999</v>
      </c>
      <c r="M1958" s="3">
        <v>79.5</v>
      </c>
      <c r="N1958" s="3">
        <v>400.3</v>
      </c>
      <c r="O1958" s="2">
        <v>77</v>
      </c>
      <c r="P1958">
        <v>0</v>
      </c>
      <c r="Q1958" t="s">
        <v>14</v>
      </c>
      <c r="R1958" s="4">
        <v>20.38</v>
      </c>
      <c r="S1958" s="4">
        <v>0</v>
      </c>
      <c r="T1958" t="s">
        <v>34</v>
      </c>
      <c r="U1958" s="4">
        <v>3.52</v>
      </c>
      <c r="V1958" s="4">
        <v>2.08</v>
      </c>
      <c r="W1958" s="4">
        <v>20.38</v>
      </c>
    </row>
    <row r="1959" spans="1:23" ht="15" customHeight="1" x14ac:dyDescent="0.25">
      <c r="A1959">
        <v>1431</v>
      </c>
      <c r="B1959" s="1">
        <v>45982.583333333343</v>
      </c>
      <c r="C1959">
        <v>14</v>
      </c>
      <c r="D1959" t="s">
        <v>58</v>
      </c>
      <c r="E1959">
        <v>11</v>
      </c>
      <c r="F1959" t="s">
        <v>39</v>
      </c>
      <c r="G1959" t="s">
        <v>33</v>
      </c>
      <c r="H1959" t="s">
        <v>51</v>
      </c>
      <c r="I1959" t="s">
        <v>25</v>
      </c>
      <c r="J1959" t="s">
        <v>15</v>
      </c>
      <c r="K1959" s="2">
        <v>17400</v>
      </c>
      <c r="L1959" s="3">
        <v>18.2</v>
      </c>
      <c r="M1959" s="3">
        <v>72.3</v>
      </c>
      <c r="N1959" s="3">
        <v>445.5</v>
      </c>
      <c r="O1959" s="2">
        <v>1305</v>
      </c>
      <c r="P1959">
        <v>0</v>
      </c>
      <c r="Q1959" t="s">
        <v>14</v>
      </c>
      <c r="R1959" s="4">
        <v>192.81</v>
      </c>
      <c r="S1959" s="4">
        <v>56.64</v>
      </c>
      <c r="T1959" t="s">
        <v>34</v>
      </c>
      <c r="U1959" s="4">
        <v>23.18</v>
      </c>
      <c r="V1959" s="4">
        <v>11.081</v>
      </c>
      <c r="W1959" s="4">
        <v>136.16999999999999</v>
      </c>
    </row>
    <row r="1960" spans="1:23" ht="15" customHeight="1" x14ac:dyDescent="0.25">
      <c r="A1960">
        <v>695</v>
      </c>
      <c r="B1960" s="1">
        <v>45982.583333333343</v>
      </c>
      <c r="C1960">
        <v>14</v>
      </c>
      <c r="D1960" t="s">
        <v>58</v>
      </c>
      <c r="E1960">
        <v>11</v>
      </c>
      <c r="F1960" t="s">
        <v>39</v>
      </c>
      <c r="G1960" t="s">
        <v>33</v>
      </c>
      <c r="H1960" t="s">
        <v>54</v>
      </c>
      <c r="I1960" t="s">
        <v>16</v>
      </c>
      <c r="J1960" t="s">
        <v>24</v>
      </c>
      <c r="K1960" s="2">
        <v>8600</v>
      </c>
      <c r="L1960" s="3">
        <v>13.1</v>
      </c>
      <c r="M1960" s="3">
        <v>99</v>
      </c>
      <c r="N1960" s="3">
        <v>233.1</v>
      </c>
      <c r="O1960" s="2">
        <v>755</v>
      </c>
      <c r="P1960">
        <v>1</v>
      </c>
      <c r="Q1960" t="s">
        <v>17</v>
      </c>
      <c r="R1960" s="4">
        <v>82.83</v>
      </c>
      <c r="S1960" s="4">
        <v>17.36</v>
      </c>
      <c r="T1960" t="s">
        <v>34</v>
      </c>
      <c r="U1960" s="4">
        <v>11.23</v>
      </c>
      <c r="V1960" s="4">
        <v>9.6310000000000002</v>
      </c>
      <c r="W1960" s="4">
        <v>65.47</v>
      </c>
    </row>
    <row r="1961" spans="1:23" ht="15" customHeight="1" x14ac:dyDescent="0.25">
      <c r="A1961">
        <v>327</v>
      </c>
      <c r="B1961" s="1">
        <v>45982.583333333343</v>
      </c>
      <c r="C1961">
        <v>14</v>
      </c>
      <c r="D1961" t="s">
        <v>58</v>
      </c>
      <c r="E1961">
        <v>11</v>
      </c>
      <c r="F1961" t="s">
        <v>39</v>
      </c>
      <c r="G1961" t="s">
        <v>33</v>
      </c>
      <c r="H1961" t="s">
        <v>53</v>
      </c>
      <c r="I1961" t="s">
        <v>19</v>
      </c>
      <c r="J1961" t="s">
        <v>26</v>
      </c>
      <c r="K1961" s="2">
        <v>12500</v>
      </c>
      <c r="L1961" s="3">
        <v>13.6</v>
      </c>
      <c r="M1961" s="3">
        <v>70.5</v>
      </c>
      <c r="N1961" s="3">
        <v>415.8</v>
      </c>
      <c r="O1961" s="2">
        <v>603</v>
      </c>
      <c r="P1961">
        <v>1</v>
      </c>
      <c r="Q1961" t="s">
        <v>17</v>
      </c>
      <c r="R1961" s="4">
        <v>110</v>
      </c>
      <c r="S1961" s="4">
        <v>61.33</v>
      </c>
      <c r="T1961" t="s">
        <v>34</v>
      </c>
      <c r="U1961" s="4">
        <v>8.32</v>
      </c>
      <c r="V1961" s="4">
        <v>8.8000000000000007</v>
      </c>
      <c r="W1961" s="4">
        <v>48.67</v>
      </c>
    </row>
    <row r="1962" spans="1:23" ht="15" customHeight="1" x14ac:dyDescent="0.25">
      <c r="A1962">
        <v>1063</v>
      </c>
      <c r="B1962" s="1">
        <v>45982.583333333343</v>
      </c>
      <c r="C1962">
        <v>14</v>
      </c>
      <c r="D1962" t="s">
        <v>58</v>
      </c>
      <c r="E1962">
        <v>11</v>
      </c>
      <c r="F1962" t="s">
        <v>39</v>
      </c>
      <c r="G1962" t="s">
        <v>33</v>
      </c>
      <c r="H1962" t="s">
        <v>50</v>
      </c>
      <c r="I1962" t="s">
        <v>22</v>
      </c>
      <c r="J1962" t="s">
        <v>12</v>
      </c>
      <c r="K1962" s="2">
        <v>21000</v>
      </c>
      <c r="L1962" s="3">
        <v>21.1</v>
      </c>
      <c r="M1962" s="3">
        <v>51.1</v>
      </c>
      <c r="N1962" s="3">
        <v>492.3</v>
      </c>
      <c r="O1962" s="2">
        <v>406</v>
      </c>
      <c r="P1962">
        <v>0</v>
      </c>
      <c r="Q1962" t="s">
        <v>14</v>
      </c>
      <c r="R1962" s="4">
        <v>200.17</v>
      </c>
      <c r="S1962" s="4">
        <v>87.1</v>
      </c>
      <c r="T1962" t="s">
        <v>34</v>
      </c>
      <c r="U1962" s="4">
        <v>19.329999999999998</v>
      </c>
      <c r="V1962" s="4">
        <v>9.532</v>
      </c>
      <c r="W1962" s="4">
        <v>113.07</v>
      </c>
    </row>
    <row r="1963" spans="1:23" ht="15" customHeight="1" x14ac:dyDescent="0.25">
      <c r="A1963">
        <v>1799</v>
      </c>
      <c r="B1963" s="1">
        <v>45982.583333333343</v>
      </c>
      <c r="C1963">
        <v>14</v>
      </c>
      <c r="D1963" t="s">
        <v>58</v>
      </c>
      <c r="E1963">
        <v>11</v>
      </c>
      <c r="F1963" t="s">
        <v>39</v>
      </c>
      <c r="G1963" t="s">
        <v>33</v>
      </c>
      <c r="H1963" t="s">
        <v>49</v>
      </c>
      <c r="I1963" t="s">
        <v>27</v>
      </c>
      <c r="J1963" t="s">
        <v>18</v>
      </c>
      <c r="K1963" s="2">
        <v>26000</v>
      </c>
      <c r="L1963" s="3">
        <v>16.3</v>
      </c>
      <c r="M1963" s="3">
        <v>68.3</v>
      </c>
      <c r="N1963" s="3">
        <v>362</v>
      </c>
      <c r="O1963" s="2">
        <v>168</v>
      </c>
      <c r="P1963">
        <v>0</v>
      </c>
      <c r="Q1963" t="s">
        <v>14</v>
      </c>
      <c r="R1963" s="4">
        <v>156.86000000000001</v>
      </c>
      <c r="S1963" s="4">
        <v>102.17</v>
      </c>
      <c r="T1963" t="s">
        <v>34</v>
      </c>
      <c r="U1963" s="4">
        <v>9.64</v>
      </c>
      <c r="V1963" s="4">
        <v>6.0330000000000004</v>
      </c>
      <c r="W1963" s="4">
        <v>54.69</v>
      </c>
    </row>
    <row r="1964" spans="1:23" ht="15" customHeight="1" x14ac:dyDescent="0.25">
      <c r="A1964">
        <v>2168</v>
      </c>
      <c r="B1964" s="1">
        <v>45982.833333333343</v>
      </c>
      <c r="C1964">
        <v>20</v>
      </c>
      <c r="D1964" t="s">
        <v>58</v>
      </c>
      <c r="E1964">
        <v>11</v>
      </c>
      <c r="F1964" t="s">
        <v>39</v>
      </c>
      <c r="G1964" t="s">
        <v>33</v>
      </c>
      <c r="H1964" t="s">
        <v>52</v>
      </c>
      <c r="I1964" t="s">
        <v>13</v>
      </c>
      <c r="J1964" t="s">
        <v>21</v>
      </c>
      <c r="K1964" s="2">
        <v>9800</v>
      </c>
      <c r="L1964" s="3">
        <v>11.7</v>
      </c>
      <c r="M1964" s="3">
        <v>88.8</v>
      </c>
      <c r="N1964" s="3">
        <v>0</v>
      </c>
      <c r="O1964" s="2">
        <v>291</v>
      </c>
      <c r="P1964">
        <v>1</v>
      </c>
      <c r="Q1964" t="s">
        <v>17</v>
      </c>
      <c r="R1964" s="4">
        <v>97.64</v>
      </c>
      <c r="S1964" s="4">
        <v>0</v>
      </c>
      <c r="T1964" t="s">
        <v>37</v>
      </c>
      <c r="U1964" s="4">
        <v>26.41</v>
      </c>
      <c r="V1964" s="4">
        <v>9.9629999999999992</v>
      </c>
      <c r="W1964" s="4">
        <v>97.64</v>
      </c>
    </row>
    <row r="1965" spans="1:23" ht="15" customHeight="1" x14ac:dyDescent="0.25">
      <c r="A1965">
        <v>328</v>
      </c>
      <c r="B1965" s="1">
        <v>45982.833333333343</v>
      </c>
      <c r="C1965">
        <v>20</v>
      </c>
      <c r="D1965" t="s">
        <v>58</v>
      </c>
      <c r="E1965">
        <v>11</v>
      </c>
      <c r="F1965" t="s">
        <v>39</v>
      </c>
      <c r="G1965" t="s">
        <v>33</v>
      </c>
      <c r="H1965" t="s">
        <v>53</v>
      </c>
      <c r="I1965" t="s">
        <v>19</v>
      </c>
      <c r="J1965" t="s">
        <v>26</v>
      </c>
      <c r="K1965" s="2">
        <v>12500</v>
      </c>
      <c r="L1965" s="3">
        <v>10.1</v>
      </c>
      <c r="M1965" s="3">
        <v>70.900000000000006</v>
      </c>
      <c r="N1965" s="3">
        <v>0</v>
      </c>
      <c r="O1965" s="2">
        <v>91</v>
      </c>
      <c r="P1965">
        <v>1</v>
      </c>
      <c r="Q1965" t="s">
        <v>17</v>
      </c>
      <c r="R1965" s="4">
        <v>43.1</v>
      </c>
      <c r="S1965" s="4">
        <v>0</v>
      </c>
      <c r="T1965" t="s">
        <v>37</v>
      </c>
      <c r="U1965" s="4">
        <v>11.53</v>
      </c>
      <c r="V1965" s="4">
        <v>3.448</v>
      </c>
      <c r="W1965" s="4">
        <v>43.1</v>
      </c>
    </row>
    <row r="1966" spans="1:23" ht="15" customHeight="1" x14ac:dyDescent="0.25">
      <c r="A1966">
        <v>1064</v>
      </c>
      <c r="B1966" s="1">
        <v>45982.833333333343</v>
      </c>
      <c r="C1966">
        <v>20</v>
      </c>
      <c r="D1966" t="s">
        <v>58</v>
      </c>
      <c r="E1966">
        <v>11</v>
      </c>
      <c r="F1966" t="s">
        <v>39</v>
      </c>
      <c r="G1966" t="s">
        <v>33</v>
      </c>
      <c r="H1966" t="s">
        <v>50</v>
      </c>
      <c r="I1966" t="s">
        <v>22</v>
      </c>
      <c r="J1966" t="s">
        <v>12</v>
      </c>
      <c r="K1966" s="2">
        <v>21000</v>
      </c>
      <c r="L1966" s="3">
        <v>14.3</v>
      </c>
      <c r="M1966" s="3">
        <v>79.099999999999994</v>
      </c>
      <c r="N1966" s="3">
        <v>0</v>
      </c>
      <c r="O1966" s="2">
        <v>387</v>
      </c>
      <c r="P1966">
        <v>1</v>
      </c>
      <c r="Q1966" t="s">
        <v>17</v>
      </c>
      <c r="R1966" s="4">
        <v>264.41000000000003</v>
      </c>
      <c r="S1966" s="4">
        <v>0</v>
      </c>
      <c r="T1966" t="s">
        <v>37</v>
      </c>
      <c r="U1966" s="4">
        <v>70.650000000000006</v>
      </c>
      <c r="V1966" s="4">
        <v>12.590999999999999</v>
      </c>
      <c r="W1966" s="4">
        <v>264.41000000000003</v>
      </c>
    </row>
    <row r="1967" spans="1:23" ht="15" customHeight="1" x14ac:dyDescent="0.25">
      <c r="A1967">
        <v>1432</v>
      </c>
      <c r="B1967" s="1">
        <v>45982.833333333343</v>
      </c>
      <c r="C1967">
        <v>20</v>
      </c>
      <c r="D1967" t="s">
        <v>58</v>
      </c>
      <c r="E1967">
        <v>11</v>
      </c>
      <c r="F1967" t="s">
        <v>39</v>
      </c>
      <c r="G1967" t="s">
        <v>33</v>
      </c>
      <c r="H1967" t="s">
        <v>51</v>
      </c>
      <c r="I1967" t="s">
        <v>25</v>
      </c>
      <c r="J1967" t="s">
        <v>15</v>
      </c>
      <c r="K1967" s="2">
        <v>17400</v>
      </c>
      <c r="L1967" s="3">
        <v>16.2</v>
      </c>
      <c r="M1967" s="3">
        <v>77.2</v>
      </c>
      <c r="N1967" s="3">
        <v>0</v>
      </c>
      <c r="O1967" s="2">
        <v>1250</v>
      </c>
      <c r="P1967">
        <v>0</v>
      </c>
      <c r="Q1967" t="s">
        <v>14</v>
      </c>
      <c r="R1967" s="4">
        <v>269.13</v>
      </c>
      <c r="S1967" s="4">
        <v>0</v>
      </c>
      <c r="T1967" t="s">
        <v>37</v>
      </c>
      <c r="U1967" s="4">
        <v>69</v>
      </c>
      <c r="V1967" s="4">
        <v>15.467000000000001</v>
      </c>
      <c r="W1967" s="4">
        <v>269.13</v>
      </c>
    </row>
    <row r="1968" spans="1:23" ht="15" customHeight="1" x14ac:dyDescent="0.25">
      <c r="A1968">
        <v>1800</v>
      </c>
      <c r="B1968" s="1">
        <v>45982.833333333343</v>
      </c>
      <c r="C1968">
        <v>20</v>
      </c>
      <c r="D1968" t="s">
        <v>58</v>
      </c>
      <c r="E1968">
        <v>11</v>
      </c>
      <c r="F1968" t="s">
        <v>39</v>
      </c>
      <c r="G1968" t="s">
        <v>33</v>
      </c>
      <c r="H1968" t="s">
        <v>49</v>
      </c>
      <c r="I1968" t="s">
        <v>27</v>
      </c>
      <c r="J1968" t="s">
        <v>18</v>
      </c>
      <c r="K1968" s="2">
        <v>26000</v>
      </c>
      <c r="L1968" s="3">
        <v>11.4</v>
      </c>
      <c r="M1968" s="3">
        <v>65.900000000000006</v>
      </c>
      <c r="N1968" s="3">
        <v>0</v>
      </c>
      <c r="O1968" s="2">
        <v>178</v>
      </c>
      <c r="P1968">
        <v>1</v>
      </c>
      <c r="Q1968" t="s">
        <v>17</v>
      </c>
      <c r="R1968" s="4">
        <v>270.39999999999998</v>
      </c>
      <c r="S1968" s="4">
        <v>0</v>
      </c>
      <c r="T1968" t="s">
        <v>37</v>
      </c>
      <c r="U1968" s="4">
        <v>73.52</v>
      </c>
      <c r="V1968" s="4">
        <v>10.4</v>
      </c>
      <c r="W1968" s="4">
        <v>270.39999999999998</v>
      </c>
    </row>
    <row r="1969" spans="1:23" ht="15" customHeight="1" x14ac:dyDescent="0.25">
      <c r="A1969">
        <v>696</v>
      </c>
      <c r="B1969" s="1">
        <v>45982.833333333343</v>
      </c>
      <c r="C1969">
        <v>20</v>
      </c>
      <c r="D1969" t="s">
        <v>58</v>
      </c>
      <c r="E1969">
        <v>11</v>
      </c>
      <c r="F1969" t="s">
        <v>39</v>
      </c>
      <c r="G1969" t="s">
        <v>33</v>
      </c>
      <c r="H1969" t="s">
        <v>54</v>
      </c>
      <c r="I1969" t="s">
        <v>16</v>
      </c>
      <c r="J1969" t="s">
        <v>24</v>
      </c>
      <c r="K1969" s="2">
        <v>8600</v>
      </c>
      <c r="L1969" s="3">
        <v>10.3</v>
      </c>
      <c r="M1969" s="3">
        <v>90.1</v>
      </c>
      <c r="N1969" s="3">
        <v>0</v>
      </c>
      <c r="O1969" s="2">
        <v>103</v>
      </c>
      <c r="P1969">
        <v>1</v>
      </c>
      <c r="Q1969" t="s">
        <v>17</v>
      </c>
      <c r="R1969" s="4">
        <v>27.17</v>
      </c>
      <c r="S1969" s="4">
        <v>0</v>
      </c>
      <c r="T1969" t="s">
        <v>37</v>
      </c>
      <c r="U1969" s="4">
        <v>7.09</v>
      </c>
      <c r="V1969" s="4">
        <v>3.1589999999999998</v>
      </c>
      <c r="W1969" s="4">
        <v>27.17</v>
      </c>
    </row>
    <row r="1970" spans="1:23" ht="15" customHeight="1" x14ac:dyDescent="0.25">
      <c r="A1970">
        <v>1065</v>
      </c>
      <c r="B1970" s="1">
        <v>45986</v>
      </c>
      <c r="C1970">
        <v>0</v>
      </c>
      <c r="D1970" t="s">
        <v>59</v>
      </c>
      <c r="E1970">
        <v>11</v>
      </c>
      <c r="F1970" t="s">
        <v>39</v>
      </c>
      <c r="G1970" t="s">
        <v>33</v>
      </c>
      <c r="H1970" t="s">
        <v>50</v>
      </c>
      <c r="I1970" t="s">
        <v>22</v>
      </c>
      <c r="J1970" t="s">
        <v>12</v>
      </c>
      <c r="K1970" s="2">
        <v>21000</v>
      </c>
      <c r="L1970" s="3">
        <v>10.4</v>
      </c>
      <c r="M1970" s="3">
        <v>64.900000000000006</v>
      </c>
      <c r="N1970" s="3">
        <v>0</v>
      </c>
      <c r="O1970" s="2">
        <v>240</v>
      </c>
      <c r="P1970">
        <v>1</v>
      </c>
      <c r="Q1970" t="s">
        <v>17</v>
      </c>
      <c r="R1970" s="4">
        <v>184.66</v>
      </c>
      <c r="S1970" s="4">
        <v>0</v>
      </c>
      <c r="T1970" t="s">
        <v>31</v>
      </c>
      <c r="U1970" s="4">
        <v>19.2</v>
      </c>
      <c r="V1970" s="4">
        <v>8.7929999999999993</v>
      </c>
      <c r="W1970" s="4">
        <v>184.66</v>
      </c>
    </row>
    <row r="1971" spans="1:23" ht="15" customHeight="1" x14ac:dyDescent="0.25">
      <c r="A1971">
        <v>329</v>
      </c>
      <c r="B1971" s="1">
        <v>45986</v>
      </c>
      <c r="C1971">
        <v>0</v>
      </c>
      <c r="D1971" t="s">
        <v>59</v>
      </c>
      <c r="E1971">
        <v>11</v>
      </c>
      <c r="F1971" t="s">
        <v>39</v>
      </c>
      <c r="G1971" t="s">
        <v>33</v>
      </c>
      <c r="H1971" t="s">
        <v>53</v>
      </c>
      <c r="I1971" t="s">
        <v>19</v>
      </c>
      <c r="J1971" t="s">
        <v>26</v>
      </c>
      <c r="K1971" s="2">
        <v>12500</v>
      </c>
      <c r="L1971" s="3">
        <v>0.7</v>
      </c>
      <c r="M1971" s="3">
        <v>85.3</v>
      </c>
      <c r="N1971" s="3">
        <v>0</v>
      </c>
      <c r="O1971" s="2">
        <v>4</v>
      </c>
      <c r="P1971">
        <v>0</v>
      </c>
      <c r="Q1971" t="s">
        <v>14</v>
      </c>
      <c r="R1971" s="4">
        <v>23.24</v>
      </c>
      <c r="S1971" s="4">
        <v>0</v>
      </c>
      <c r="T1971" t="s">
        <v>31</v>
      </c>
      <c r="U1971" s="4">
        <v>2.54</v>
      </c>
      <c r="V1971" s="4">
        <v>1.859</v>
      </c>
      <c r="W1971" s="4">
        <v>23.24</v>
      </c>
    </row>
    <row r="1972" spans="1:23" ht="15" customHeight="1" x14ac:dyDescent="0.25">
      <c r="A1972">
        <v>2169</v>
      </c>
      <c r="B1972" s="1">
        <v>45986</v>
      </c>
      <c r="C1972">
        <v>0</v>
      </c>
      <c r="D1972" t="s">
        <v>59</v>
      </c>
      <c r="E1972">
        <v>11</v>
      </c>
      <c r="F1972" t="s">
        <v>39</v>
      </c>
      <c r="G1972" t="s">
        <v>33</v>
      </c>
      <c r="H1972" t="s">
        <v>52</v>
      </c>
      <c r="I1972" t="s">
        <v>13</v>
      </c>
      <c r="J1972" t="s">
        <v>21</v>
      </c>
      <c r="K1972" s="2">
        <v>9800</v>
      </c>
      <c r="L1972" s="3">
        <v>7.3</v>
      </c>
      <c r="M1972" s="3">
        <v>89.2</v>
      </c>
      <c r="N1972" s="3">
        <v>0</v>
      </c>
      <c r="O1972" s="2">
        <v>311</v>
      </c>
      <c r="P1972">
        <v>1</v>
      </c>
      <c r="Q1972" t="s">
        <v>17</v>
      </c>
      <c r="R1972" s="4">
        <v>106.98</v>
      </c>
      <c r="S1972" s="4">
        <v>0</v>
      </c>
      <c r="T1972" t="s">
        <v>31</v>
      </c>
      <c r="U1972" s="4">
        <v>11.53</v>
      </c>
      <c r="V1972" s="4">
        <v>10.916</v>
      </c>
      <c r="W1972" s="4">
        <v>106.98</v>
      </c>
    </row>
    <row r="1973" spans="1:23" ht="15" customHeight="1" x14ac:dyDescent="0.25">
      <c r="A1973">
        <v>1801</v>
      </c>
      <c r="B1973" s="1">
        <v>45986</v>
      </c>
      <c r="C1973">
        <v>0</v>
      </c>
      <c r="D1973" t="s">
        <v>59</v>
      </c>
      <c r="E1973">
        <v>11</v>
      </c>
      <c r="F1973" t="s">
        <v>39</v>
      </c>
      <c r="G1973" t="s">
        <v>33</v>
      </c>
      <c r="H1973" t="s">
        <v>49</v>
      </c>
      <c r="I1973" t="s">
        <v>27</v>
      </c>
      <c r="J1973" t="s">
        <v>18</v>
      </c>
      <c r="K1973" s="2">
        <v>26000</v>
      </c>
      <c r="L1973" s="3">
        <v>4.5</v>
      </c>
      <c r="M1973" s="3">
        <v>73.900000000000006</v>
      </c>
      <c r="N1973" s="3">
        <v>0</v>
      </c>
      <c r="O1973" s="2">
        <v>30</v>
      </c>
      <c r="P1973">
        <v>1</v>
      </c>
      <c r="Q1973" t="s">
        <v>17</v>
      </c>
      <c r="R1973" s="4">
        <v>117.61</v>
      </c>
      <c r="S1973" s="4">
        <v>0</v>
      </c>
      <c r="T1973" t="s">
        <v>31</v>
      </c>
      <c r="U1973" s="4">
        <v>12.87</v>
      </c>
      <c r="V1973" s="4">
        <v>4.5229999999999997</v>
      </c>
      <c r="W1973" s="4">
        <v>117.61</v>
      </c>
    </row>
    <row r="1974" spans="1:23" ht="15" customHeight="1" x14ac:dyDescent="0.25">
      <c r="A1974">
        <v>1433</v>
      </c>
      <c r="B1974" s="1">
        <v>45986</v>
      </c>
      <c r="C1974">
        <v>0</v>
      </c>
      <c r="D1974" t="s">
        <v>59</v>
      </c>
      <c r="E1974">
        <v>11</v>
      </c>
      <c r="F1974" t="s">
        <v>39</v>
      </c>
      <c r="G1974" t="s">
        <v>33</v>
      </c>
      <c r="H1974" t="s">
        <v>51</v>
      </c>
      <c r="I1974" t="s">
        <v>25</v>
      </c>
      <c r="J1974" t="s">
        <v>15</v>
      </c>
      <c r="K1974" s="2">
        <v>17400</v>
      </c>
      <c r="L1974" s="3">
        <v>11</v>
      </c>
      <c r="M1974" s="3">
        <v>84.6</v>
      </c>
      <c r="N1974" s="3">
        <v>0</v>
      </c>
      <c r="O1974" s="2">
        <v>85</v>
      </c>
      <c r="P1974">
        <v>0</v>
      </c>
      <c r="Q1974" t="s">
        <v>14</v>
      </c>
      <c r="R1974" s="4">
        <v>52.97</v>
      </c>
      <c r="S1974" s="4">
        <v>0</v>
      </c>
      <c r="T1974" t="s">
        <v>31</v>
      </c>
      <c r="U1974" s="4">
        <v>5.74</v>
      </c>
      <c r="V1974" s="4">
        <v>3.044</v>
      </c>
      <c r="W1974" s="4">
        <v>52.97</v>
      </c>
    </row>
    <row r="1975" spans="1:23" ht="15" customHeight="1" x14ac:dyDescent="0.25">
      <c r="A1975">
        <v>697</v>
      </c>
      <c r="B1975" s="1">
        <v>45986</v>
      </c>
      <c r="C1975">
        <v>0</v>
      </c>
      <c r="D1975" t="s">
        <v>59</v>
      </c>
      <c r="E1975">
        <v>11</v>
      </c>
      <c r="F1975" t="s">
        <v>39</v>
      </c>
      <c r="G1975" t="s">
        <v>33</v>
      </c>
      <c r="H1975" t="s">
        <v>54</v>
      </c>
      <c r="I1975" t="s">
        <v>16</v>
      </c>
      <c r="J1975" t="s">
        <v>24</v>
      </c>
      <c r="K1975" s="2">
        <v>8600</v>
      </c>
      <c r="L1975" s="3">
        <v>7.5</v>
      </c>
      <c r="M1975" s="3">
        <v>99</v>
      </c>
      <c r="N1975" s="3">
        <v>0</v>
      </c>
      <c r="O1975" s="2">
        <v>73</v>
      </c>
      <c r="P1975">
        <v>1</v>
      </c>
      <c r="Q1975" t="s">
        <v>17</v>
      </c>
      <c r="R1975" s="4">
        <v>25.34</v>
      </c>
      <c r="S1975" s="4">
        <v>0</v>
      </c>
      <c r="T1975" t="s">
        <v>31</v>
      </c>
      <c r="U1975" s="4">
        <v>2.66</v>
      </c>
      <c r="V1975" s="4">
        <v>2.9470000000000001</v>
      </c>
      <c r="W1975" s="4">
        <v>25.34</v>
      </c>
    </row>
    <row r="1976" spans="1:23" ht="15" customHeight="1" x14ac:dyDescent="0.25">
      <c r="A1976">
        <v>698</v>
      </c>
      <c r="B1976" s="1">
        <v>45986.333333333343</v>
      </c>
      <c r="C1976">
        <v>8</v>
      </c>
      <c r="D1976" t="s">
        <v>59</v>
      </c>
      <c r="E1976">
        <v>11</v>
      </c>
      <c r="F1976" t="s">
        <v>39</v>
      </c>
      <c r="G1976" t="s">
        <v>33</v>
      </c>
      <c r="H1976" t="s">
        <v>54</v>
      </c>
      <c r="I1976" t="s">
        <v>16</v>
      </c>
      <c r="J1976" t="s">
        <v>24</v>
      </c>
      <c r="K1976" s="2">
        <v>8600</v>
      </c>
      <c r="L1976" s="3"/>
      <c r="M1976" s="3">
        <v>99</v>
      </c>
      <c r="N1976" s="3">
        <v>0</v>
      </c>
      <c r="O1976" s="2">
        <v>767</v>
      </c>
      <c r="P1976">
        <v>1</v>
      </c>
      <c r="Q1976" t="s">
        <v>17</v>
      </c>
      <c r="R1976" s="4">
        <v>124.8</v>
      </c>
      <c r="S1976" s="4">
        <v>0</v>
      </c>
      <c r="T1976" t="s">
        <v>34</v>
      </c>
      <c r="U1976" s="4">
        <v>21.55</v>
      </c>
      <c r="V1976" s="4">
        <v>14.512</v>
      </c>
      <c r="W1976" s="4">
        <v>124.8</v>
      </c>
    </row>
    <row r="1977" spans="1:23" ht="15" customHeight="1" x14ac:dyDescent="0.25">
      <c r="A1977">
        <v>1802</v>
      </c>
      <c r="B1977" s="1">
        <v>45986.333333333343</v>
      </c>
      <c r="C1977">
        <v>8</v>
      </c>
      <c r="D1977" t="s">
        <v>59</v>
      </c>
      <c r="E1977">
        <v>11</v>
      </c>
      <c r="F1977" t="s">
        <v>39</v>
      </c>
      <c r="G1977" t="s">
        <v>33</v>
      </c>
      <c r="H1977" t="s">
        <v>49</v>
      </c>
      <c r="I1977" t="s">
        <v>27</v>
      </c>
      <c r="J1977" t="s">
        <v>18</v>
      </c>
      <c r="K1977" s="2">
        <v>26000</v>
      </c>
      <c r="L1977" s="3">
        <v>4.7</v>
      </c>
      <c r="M1977" s="3">
        <v>84.1</v>
      </c>
      <c r="N1977" s="3">
        <v>0</v>
      </c>
      <c r="O1977" s="2">
        <v>161</v>
      </c>
      <c r="P1977">
        <v>1</v>
      </c>
      <c r="Q1977" t="s">
        <v>17</v>
      </c>
      <c r="R1977" s="4">
        <v>276.13</v>
      </c>
      <c r="S1977" s="4">
        <v>0</v>
      </c>
      <c r="T1977" t="s">
        <v>34</v>
      </c>
      <c r="U1977" s="4">
        <v>47.36</v>
      </c>
      <c r="V1977" s="4">
        <v>10.62</v>
      </c>
      <c r="W1977" s="4">
        <v>276.13</v>
      </c>
    </row>
    <row r="1978" spans="1:23" ht="15" customHeight="1" x14ac:dyDescent="0.25">
      <c r="A1978">
        <v>2170</v>
      </c>
      <c r="B1978" s="1">
        <v>45986.333333333343</v>
      </c>
      <c r="C1978">
        <v>8</v>
      </c>
      <c r="D1978" t="s">
        <v>59</v>
      </c>
      <c r="E1978">
        <v>11</v>
      </c>
      <c r="F1978" t="s">
        <v>39</v>
      </c>
      <c r="G1978" t="s">
        <v>33</v>
      </c>
      <c r="H1978" t="s">
        <v>52</v>
      </c>
      <c r="I1978" t="s">
        <v>13</v>
      </c>
      <c r="J1978" t="s">
        <v>21</v>
      </c>
      <c r="K1978" s="2">
        <v>9800</v>
      </c>
      <c r="L1978" s="3">
        <v>10.6</v>
      </c>
      <c r="M1978" s="3">
        <v>87.6</v>
      </c>
      <c r="N1978" s="3">
        <v>0</v>
      </c>
      <c r="O1978" s="2">
        <v>74</v>
      </c>
      <c r="P1978">
        <v>1</v>
      </c>
      <c r="Q1978" t="s">
        <v>17</v>
      </c>
      <c r="R1978" s="4">
        <v>33.53</v>
      </c>
      <c r="S1978" s="4">
        <v>0</v>
      </c>
      <c r="T1978" t="s">
        <v>34</v>
      </c>
      <c r="U1978" s="4">
        <v>5.69</v>
      </c>
      <c r="V1978" s="4">
        <v>3.4209999999999998</v>
      </c>
      <c r="W1978" s="4">
        <v>33.53</v>
      </c>
    </row>
    <row r="1979" spans="1:23" ht="15" customHeight="1" x14ac:dyDescent="0.25">
      <c r="A1979">
        <v>1434</v>
      </c>
      <c r="B1979" s="1">
        <v>45986.333333333343</v>
      </c>
      <c r="C1979">
        <v>8</v>
      </c>
      <c r="D1979" t="s">
        <v>59</v>
      </c>
      <c r="E1979">
        <v>11</v>
      </c>
      <c r="F1979" t="s">
        <v>39</v>
      </c>
      <c r="G1979" t="s">
        <v>33</v>
      </c>
      <c r="H1979" t="s">
        <v>51</v>
      </c>
      <c r="I1979" t="s">
        <v>25</v>
      </c>
      <c r="J1979" t="s">
        <v>15</v>
      </c>
      <c r="K1979" s="2">
        <v>17400</v>
      </c>
      <c r="L1979" s="3"/>
      <c r="M1979" s="3">
        <v>81.400000000000006</v>
      </c>
      <c r="N1979" s="3">
        <v>0</v>
      </c>
      <c r="O1979" s="2">
        <v>61</v>
      </c>
      <c r="P1979">
        <v>0</v>
      </c>
      <c r="Q1979" t="s">
        <v>14</v>
      </c>
      <c r="R1979" s="4">
        <v>46.75</v>
      </c>
      <c r="S1979" s="4">
        <v>0</v>
      </c>
      <c r="T1979" t="s">
        <v>34</v>
      </c>
      <c r="U1979" s="4">
        <v>8.07</v>
      </c>
      <c r="V1979" s="4">
        <v>2.6869999999999998</v>
      </c>
      <c r="W1979" s="4">
        <v>46.75</v>
      </c>
    </row>
    <row r="1980" spans="1:23" ht="15" customHeight="1" x14ac:dyDescent="0.25">
      <c r="A1980">
        <v>330</v>
      </c>
      <c r="B1980" s="1">
        <v>45986.333333333343</v>
      </c>
      <c r="C1980">
        <v>8</v>
      </c>
      <c r="D1980" t="s">
        <v>59</v>
      </c>
      <c r="E1980">
        <v>11</v>
      </c>
      <c r="F1980" t="s">
        <v>39</v>
      </c>
      <c r="G1980" t="s">
        <v>33</v>
      </c>
      <c r="H1980" t="s">
        <v>53</v>
      </c>
      <c r="I1980" t="s">
        <v>19</v>
      </c>
      <c r="J1980" t="s">
        <v>26</v>
      </c>
      <c r="K1980" s="2">
        <v>12500</v>
      </c>
      <c r="L1980" s="3">
        <v>8</v>
      </c>
      <c r="M1980" s="3">
        <v>66.900000000000006</v>
      </c>
      <c r="N1980" s="3">
        <v>0</v>
      </c>
      <c r="O1980" s="2">
        <v>344</v>
      </c>
      <c r="P1980">
        <v>1</v>
      </c>
      <c r="Q1980" t="s">
        <v>17</v>
      </c>
      <c r="R1980" s="4">
        <v>105.73</v>
      </c>
      <c r="S1980" s="4">
        <v>0</v>
      </c>
      <c r="T1980" t="s">
        <v>34</v>
      </c>
      <c r="U1980" s="4">
        <v>18.829999999999998</v>
      </c>
      <c r="V1980" s="4">
        <v>8.4580000000000002</v>
      </c>
      <c r="W1980" s="4">
        <v>105.73</v>
      </c>
    </row>
    <row r="1981" spans="1:23" ht="15" customHeight="1" x14ac:dyDescent="0.25">
      <c r="A1981">
        <v>1066</v>
      </c>
      <c r="B1981" s="1">
        <v>45986.333333333343</v>
      </c>
      <c r="C1981">
        <v>8</v>
      </c>
      <c r="D1981" t="s">
        <v>59</v>
      </c>
      <c r="E1981">
        <v>11</v>
      </c>
      <c r="F1981" t="s">
        <v>39</v>
      </c>
      <c r="G1981" t="s">
        <v>33</v>
      </c>
      <c r="H1981" t="s">
        <v>50</v>
      </c>
      <c r="I1981" t="s">
        <v>22</v>
      </c>
      <c r="J1981" t="s">
        <v>12</v>
      </c>
      <c r="K1981" s="2">
        <v>21000</v>
      </c>
      <c r="L1981" s="3">
        <v>9.4</v>
      </c>
      <c r="M1981" s="3">
        <v>74.099999999999994</v>
      </c>
      <c r="N1981" s="3">
        <v>0</v>
      </c>
      <c r="O1981" s="2">
        <v>402</v>
      </c>
      <c r="P1981">
        <v>1</v>
      </c>
      <c r="Q1981" t="s">
        <v>17</v>
      </c>
      <c r="R1981" s="4">
        <v>277.52</v>
      </c>
      <c r="S1981" s="4">
        <v>0</v>
      </c>
      <c r="T1981" t="s">
        <v>34</v>
      </c>
      <c r="U1981" s="4">
        <v>48.18</v>
      </c>
      <c r="V1981" s="4">
        <v>13.215</v>
      </c>
      <c r="W1981" s="4">
        <v>277.52</v>
      </c>
    </row>
    <row r="1982" spans="1:23" ht="15" customHeight="1" x14ac:dyDescent="0.25">
      <c r="A1982">
        <v>1435</v>
      </c>
      <c r="B1982" s="1">
        <v>45986.583333333343</v>
      </c>
      <c r="C1982">
        <v>14</v>
      </c>
      <c r="D1982" t="s">
        <v>59</v>
      </c>
      <c r="E1982">
        <v>11</v>
      </c>
      <c r="F1982" t="s">
        <v>39</v>
      </c>
      <c r="G1982" t="s">
        <v>33</v>
      </c>
      <c r="H1982" t="s">
        <v>51</v>
      </c>
      <c r="I1982" t="s">
        <v>25</v>
      </c>
      <c r="J1982" t="s">
        <v>15</v>
      </c>
      <c r="K1982" s="2">
        <v>17400</v>
      </c>
      <c r="L1982" s="3">
        <v>17.5</v>
      </c>
      <c r="M1982" s="3">
        <v>69.5</v>
      </c>
      <c r="N1982" s="3">
        <v>389.4</v>
      </c>
      <c r="O1982" s="2">
        <v>1403</v>
      </c>
      <c r="P1982">
        <v>0</v>
      </c>
      <c r="Q1982" t="s">
        <v>14</v>
      </c>
      <c r="R1982" s="4">
        <v>196.1</v>
      </c>
      <c r="S1982" s="4">
        <v>46.03</v>
      </c>
      <c r="T1982" t="s">
        <v>34</v>
      </c>
      <c r="U1982" s="4">
        <v>25.5</v>
      </c>
      <c r="V1982" s="4">
        <v>11.27</v>
      </c>
      <c r="W1982" s="4">
        <v>150.07</v>
      </c>
    </row>
    <row r="1983" spans="1:23" ht="15" customHeight="1" x14ac:dyDescent="0.25">
      <c r="A1983">
        <v>1067</v>
      </c>
      <c r="B1983" s="1">
        <v>45986.583333333343</v>
      </c>
      <c r="C1983">
        <v>14</v>
      </c>
      <c r="D1983" t="s">
        <v>59</v>
      </c>
      <c r="E1983">
        <v>11</v>
      </c>
      <c r="F1983" t="s">
        <v>39</v>
      </c>
      <c r="G1983" t="s">
        <v>33</v>
      </c>
      <c r="H1983" t="s">
        <v>50</v>
      </c>
      <c r="I1983" t="s">
        <v>22</v>
      </c>
      <c r="J1983" t="s">
        <v>12</v>
      </c>
      <c r="K1983" s="2">
        <v>21000</v>
      </c>
      <c r="L1983" s="3">
        <v>17.2</v>
      </c>
      <c r="M1983" s="3">
        <v>72.099999999999994</v>
      </c>
      <c r="N1983" s="3">
        <v>386.3</v>
      </c>
      <c r="O1983" s="2">
        <v>425</v>
      </c>
      <c r="P1983">
        <v>0</v>
      </c>
      <c r="Q1983" t="s">
        <v>14</v>
      </c>
      <c r="R1983" s="4">
        <v>213.21</v>
      </c>
      <c r="S1983" s="4">
        <v>77.209999999999994</v>
      </c>
      <c r="T1983" t="s">
        <v>34</v>
      </c>
      <c r="U1983" s="4">
        <v>23.34</v>
      </c>
      <c r="V1983" s="4">
        <v>10.153</v>
      </c>
      <c r="W1983" s="4">
        <v>136</v>
      </c>
    </row>
    <row r="1984" spans="1:23" ht="15" customHeight="1" x14ac:dyDescent="0.25">
      <c r="A1984">
        <v>699</v>
      </c>
      <c r="B1984" s="1">
        <v>45986.583333333343</v>
      </c>
      <c r="C1984">
        <v>14</v>
      </c>
      <c r="D1984" t="s">
        <v>59</v>
      </c>
      <c r="E1984">
        <v>11</v>
      </c>
      <c r="F1984" t="s">
        <v>39</v>
      </c>
      <c r="G1984" t="s">
        <v>33</v>
      </c>
      <c r="H1984" t="s">
        <v>54</v>
      </c>
      <c r="I1984" t="s">
        <v>16</v>
      </c>
      <c r="J1984" t="s">
        <v>24</v>
      </c>
      <c r="K1984" s="2">
        <v>8600</v>
      </c>
      <c r="L1984" s="3">
        <v>14.9</v>
      </c>
      <c r="M1984" s="3">
        <v>95</v>
      </c>
      <c r="N1984" s="3">
        <v>324.2</v>
      </c>
      <c r="O1984" s="2">
        <v>805</v>
      </c>
      <c r="P1984">
        <v>1</v>
      </c>
      <c r="Q1984" t="s">
        <v>23</v>
      </c>
      <c r="R1984" s="4">
        <v>72.900000000000006</v>
      </c>
      <c r="S1984" s="4">
        <v>26.63</v>
      </c>
      <c r="T1984" t="s">
        <v>34</v>
      </c>
      <c r="U1984" s="4">
        <v>7.78</v>
      </c>
      <c r="V1984" s="4">
        <v>8.4770000000000003</v>
      </c>
      <c r="W1984" s="4">
        <v>46.27</v>
      </c>
    </row>
    <row r="1985" spans="1:23" ht="15" customHeight="1" x14ac:dyDescent="0.25">
      <c r="A1985">
        <v>331</v>
      </c>
      <c r="B1985" s="1">
        <v>45986.583333333343</v>
      </c>
      <c r="C1985">
        <v>14</v>
      </c>
      <c r="D1985" t="s">
        <v>59</v>
      </c>
      <c r="E1985">
        <v>11</v>
      </c>
      <c r="F1985" t="s">
        <v>39</v>
      </c>
      <c r="G1985" t="s">
        <v>33</v>
      </c>
      <c r="H1985" t="s">
        <v>53</v>
      </c>
      <c r="I1985" t="s">
        <v>19</v>
      </c>
      <c r="J1985" t="s">
        <v>26</v>
      </c>
      <c r="K1985" s="2">
        <v>12500</v>
      </c>
      <c r="L1985" s="3">
        <v>16.100000000000001</v>
      </c>
      <c r="M1985" s="3">
        <v>56.5</v>
      </c>
      <c r="N1985" s="3">
        <v>450.9</v>
      </c>
      <c r="O1985" s="2">
        <v>519</v>
      </c>
      <c r="P1985">
        <v>0</v>
      </c>
      <c r="Q1985" t="s">
        <v>14</v>
      </c>
      <c r="R1985" s="4">
        <v>110.14</v>
      </c>
      <c r="S1985" s="4">
        <v>73.650000000000006</v>
      </c>
      <c r="T1985" t="s">
        <v>34</v>
      </c>
      <c r="U1985" s="4">
        <v>6.31</v>
      </c>
      <c r="V1985" s="4">
        <v>8.8109999999999999</v>
      </c>
      <c r="W1985" s="4">
        <v>36.49</v>
      </c>
    </row>
    <row r="1986" spans="1:23" ht="15" customHeight="1" x14ac:dyDescent="0.25">
      <c r="A1986">
        <v>2171</v>
      </c>
      <c r="B1986" s="1">
        <v>45986.583333333343</v>
      </c>
      <c r="C1986">
        <v>14</v>
      </c>
      <c r="D1986" t="s">
        <v>59</v>
      </c>
      <c r="E1986">
        <v>11</v>
      </c>
      <c r="F1986" t="s">
        <v>39</v>
      </c>
      <c r="G1986" t="s">
        <v>33</v>
      </c>
      <c r="H1986" t="s">
        <v>52</v>
      </c>
      <c r="I1986" t="s">
        <v>13</v>
      </c>
      <c r="J1986" t="s">
        <v>21</v>
      </c>
      <c r="K1986" s="2">
        <v>9800</v>
      </c>
      <c r="L1986" s="3">
        <v>17</v>
      </c>
      <c r="M1986" s="3">
        <v>73.400000000000006</v>
      </c>
      <c r="N1986" s="3">
        <v>541.9</v>
      </c>
      <c r="O1986" s="2">
        <v>84</v>
      </c>
      <c r="P1986">
        <v>0</v>
      </c>
      <c r="Q1986" t="s">
        <v>14</v>
      </c>
      <c r="R1986" s="4">
        <v>20.5</v>
      </c>
      <c r="S1986" s="4">
        <v>0</v>
      </c>
      <c r="T1986" t="s">
        <v>34</v>
      </c>
      <c r="U1986" s="4">
        <v>3.55</v>
      </c>
      <c r="V1986" s="4">
        <v>2.0920000000000001</v>
      </c>
      <c r="W1986" s="4">
        <v>20.5</v>
      </c>
    </row>
    <row r="1987" spans="1:23" ht="15" customHeight="1" x14ac:dyDescent="0.25">
      <c r="A1987">
        <v>1803</v>
      </c>
      <c r="B1987" s="1">
        <v>45986.583333333343</v>
      </c>
      <c r="C1987">
        <v>14</v>
      </c>
      <c r="D1987" t="s">
        <v>59</v>
      </c>
      <c r="E1987">
        <v>11</v>
      </c>
      <c r="F1987" t="s">
        <v>39</v>
      </c>
      <c r="G1987" t="s">
        <v>33</v>
      </c>
      <c r="H1987" t="s">
        <v>49</v>
      </c>
      <c r="I1987" t="s">
        <v>27</v>
      </c>
      <c r="J1987" t="s">
        <v>18</v>
      </c>
      <c r="K1987" s="2">
        <v>26000</v>
      </c>
      <c r="L1987" s="3">
        <v>12.4</v>
      </c>
      <c r="M1987" s="3">
        <v>82.1</v>
      </c>
      <c r="N1987" s="3">
        <v>469.1</v>
      </c>
      <c r="O1987" s="2">
        <v>189</v>
      </c>
      <c r="P1987">
        <v>1</v>
      </c>
      <c r="Q1987" t="s">
        <v>17</v>
      </c>
      <c r="R1987" s="4">
        <v>162.08000000000001</v>
      </c>
      <c r="S1987" s="4">
        <v>112.47</v>
      </c>
      <c r="T1987" t="s">
        <v>34</v>
      </c>
      <c r="U1987" s="4">
        <v>8.42</v>
      </c>
      <c r="V1987" s="4">
        <v>6.234</v>
      </c>
      <c r="W1987" s="4">
        <v>49.61</v>
      </c>
    </row>
    <row r="1988" spans="1:23" ht="15" customHeight="1" x14ac:dyDescent="0.25">
      <c r="A1988">
        <v>1068</v>
      </c>
      <c r="B1988" s="1">
        <v>45986.833333333343</v>
      </c>
      <c r="C1988">
        <v>20</v>
      </c>
      <c r="D1988" t="s">
        <v>59</v>
      </c>
      <c r="E1988">
        <v>11</v>
      </c>
      <c r="F1988" t="s">
        <v>39</v>
      </c>
      <c r="G1988" t="s">
        <v>33</v>
      </c>
      <c r="H1988" t="s">
        <v>50</v>
      </c>
      <c r="I1988" t="s">
        <v>22</v>
      </c>
      <c r="J1988" t="s">
        <v>12</v>
      </c>
      <c r="K1988" s="2">
        <v>21000</v>
      </c>
      <c r="L1988" s="3">
        <v>14.4</v>
      </c>
      <c r="M1988" s="3">
        <v>70.7</v>
      </c>
      <c r="N1988" s="3">
        <v>0</v>
      </c>
      <c r="O1988" s="2">
        <v>412</v>
      </c>
      <c r="P1988">
        <v>1</v>
      </c>
      <c r="Q1988" t="s">
        <v>17</v>
      </c>
      <c r="R1988" s="4">
        <v>288.58</v>
      </c>
      <c r="S1988" s="4">
        <v>0</v>
      </c>
      <c r="T1988" t="s">
        <v>37</v>
      </c>
      <c r="U1988" s="4">
        <v>75.03</v>
      </c>
      <c r="V1988" s="4">
        <v>13.742000000000001</v>
      </c>
      <c r="W1988" s="4">
        <v>288.58</v>
      </c>
    </row>
    <row r="1989" spans="1:23" ht="15" customHeight="1" x14ac:dyDescent="0.25">
      <c r="A1989">
        <v>1436</v>
      </c>
      <c r="B1989" s="1">
        <v>45986.833333333343</v>
      </c>
      <c r="C1989">
        <v>20</v>
      </c>
      <c r="D1989" t="s">
        <v>59</v>
      </c>
      <c r="E1989">
        <v>11</v>
      </c>
      <c r="F1989" t="s">
        <v>39</v>
      </c>
      <c r="G1989" t="s">
        <v>33</v>
      </c>
      <c r="H1989" t="s">
        <v>51</v>
      </c>
      <c r="I1989" t="s">
        <v>25</v>
      </c>
      <c r="J1989" t="s">
        <v>15</v>
      </c>
      <c r="K1989" s="2">
        <v>17400</v>
      </c>
      <c r="L1989" s="3">
        <v>13.4</v>
      </c>
      <c r="M1989" s="3">
        <v>77</v>
      </c>
      <c r="N1989" s="3">
        <v>0</v>
      </c>
      <c r="O1989" s="2">
        <v>1342</v>
      </c>
      <c r="P1989">
        <v>1</v>
      </c>
      <c r="Q1989" t="s">
        <v>17</v>
      </c>
      <c r="R1989" s="4">
        <v>277.62</v>
      </c>
      <c r="S1989" s="4">
        <v>0</v>
      </c>
      <c r="T1989" t="s">
        <v>37</v>
      </c>
      <c r="U1989" s="4">
        <v>74.819999999999993</v>
      </c>
      <c r="V1989" s="4">
        <v>15.955</v>
      </c>
      <c r="W1989" s="4">
        <v>277.62</v>
      </c>
    </row>
    <row r="1990" spans="1:23" ht="15" customHeight="1" x14ac:dyDescent="0.25">
      <c r="A1990">
        <v>1804</v>
      </c>
      <c r="B1990" s="1">
        <v>45986.833333333343</v>
      </c>
      <c r="C1990">
        <v>20</v>
      </c>
      <c r="D1990" t="s">
        <v>59</v>
      </c>
      <c r="E1990">
        <v>11</v>
      </c>
      <c r="F1990" t="s">
        <v>39</v>
      </c>
      <c r="G1990" t="s">
        <v>33</v>
      </c>
      <c r="H1990" t="s">
        <v>49</v>
      </c>
      <c r="I1990" t="s">
        <v>27</v>
      </c>
      <c r="J1990" t="s">
        <v>18</v>
      </c>
      <c r="K1990" s="2">
        <v>26000</v>
      </c>
      <c r="L1990" s="3">
        <v>15.7</v>
      </c>
      <c r="M1990" s="3">
        <v>61.3</v>
      </c>
      <c r="N1990" s="3">
        <v>0</v>
      </c>
      <c r="O1990" s="2">
        <v>164</v>
      </c>
      <c r="P1990">
        <v>1</v>
      </c>
      <c r="Q1990" t="s">
        <v>23</v>
      </c>
      <c r="R1990" s="4">
        <v>246.36</v>
      </c>
      <c r="S1990" s="4">
        <v>0</v>
      </c>
      <c r="T1990" t="s">
        <v>37</v>
      </c>
      <c r="U1990" s="4">
        <v>64.13</v>
      </c>
      <c r="V1990" s="4">
        <v>9.4749999999999996</v>
      </c>
      <c r="W1990" s="4">
        <v>246.36</v>
      </c>
    </row>
    <row r="1991" spans="1:23" ht="15" customHeight="1" x14ac:dyDescent="0.25">
      <c r="A1991">
        <v>332</v>
      </c>
      <c r="B1991" s="1">
        <v>45986.833333333343</v>
      </c>
      <c r="C1991">
        <v>20</v>
      </c>
      <c r="D1991" t="s">
        <v>59</v>
      </c>
      <c r="E1991">
        <v>11</v>
      </c>
      <c r="F1991" t="s">
        <v>39</v>
      </c>
      <c r="G1991" t="s">
        <v>33</v>
      </c>
      <c r="H1991" t="s">
        <v>53</v>
      </c>
      <c r="I1991" t="s">
        <v>19</v>
      </c>
      <c r="J1991" t="s">
        <v>26</v>
      </c>
      <c r="K1991" s="2">
        <v>12500</v>
      </c>
      <c r="L1991" s="3">
        <v>10.4</v>
      </c>
      <c r="M1991" s="3">
        <v>71.7</v>
      </c>
      <c r="N1991" s="3">
        <v>0</v>
      </c>
      <c r="O1991" s="2">
        <v>94</v>
      </c>
      <c r="P1991">
        <v>1</v>
      </c>
      <c r="Q1991" t="s">
        <v>17</v>
      </c>
      <c r="R1991" s="4">
        <v>46.79</v>
      </c>
      <c r="S1991" s="4">
        <v>0</v>
      </c>
      <c r="T1991" t="s">
        <v>37</v>
      </c>
      <c r="U1991" s="4">
        <v>11.92</v>
      </c>
      <c r="V1991" s="4">
        <v>3.7429999999999999</v>
      </c>
      <c r="W1991" s="4">
        <v>46.79</v>
      </c>
    </row>
    <row r="1992" spans="1:23" ht="15" customHeight="1" x14ac:dyDescent="0.25">
      <c r="A1992">
        <v>700</v>
      </c>
      <c r="B1992" s="1">
        <v>45986.833333333343</v>
      </c>
      <c r="C1992">
        <v>20</v>
      </c>
      <c r="D1992" t="s">
        <v>59</v>
      </c>
      <c r="E1992">
        <v>11</v>
      </c>
      <c r="F1992" t="s">
        <v>39</v>
      </c>
      <c r="G1992" t="s">
        <v>33</v>
      </c>
      <c r="H1992" t="s">
        <v>54</v>
      </c>
      <c r="I1992" t="s">
        <v>16</v>
      </c>
      <c r="J1992" t="s">
        <v>24</v>
      </c>
      <c r="K1992" s="2">
        <v>8600</v>
      </c>
      <c r="L1992" s="3">
        <v>12.1</v>
      </c>
      <c r="M1992" s="3">
        <v>96.4</v>
      </c>
      <c r="N1992" s="3">
        <v>0</v>
      </c>
      <c r="O1992" s="2">
        <v>0</v>
      </c>
      <c r="P1992">
        <v>1</v>
      </c>
      <c r="Q1992" t="s">
        <v>17</v>
      </c>
      <c r="R1992" s="4">
        <v>20.13</v>
      </c>
      <c r="S1992" s="4">
        <v>0</v>
      </c>
      <c r="T1992" t="s">
        <v>37</v>
      </c>
      <c r="U1992" s="4">
        <v>5.34</v>
      </c>
      <c r="V1992" s="4">
        <v>2.3410000000000002</v>
      </c>
      <c r="W1992" s="4">
        <v>20.13</v>
      </c>
    </row>
    <row r="1993" spans="1:23" ht="15" customHeight="1" x14ac:dyDescent="0.25">
      <c r="A1993">
        <v>2172</v>
      </c>
      <c r="B1993" s="1">
        <v>45986.833333333343</v>
      </c>
      <c r="C1993">
        <v>20</v>
      </c>
      <c r="D1993" t="s">
        <v>59</v>
      </c>
      <c r="E1993">
        <v>11</v>
      </c>
      <c r="F1993" t="s">
        <v>39</v>
      </c>
      <c r="G1993" t="s">
        <v>33</v>
      </c>
      <c r="H1993" t="s">
        <v>52</v>
      </c>
      <c r="I1993" t="s">
        <v>13</v>
      </c>
      <c r="J1993" t="s">
        <v>21</v>
      </c>
      <c r="K1993" s="2">
        <v>9800</v>
      </c>
      <c r="L1993" s="3">
        <v>11.4</v>
      </c>
      <c r="M1993" s="3">
        <v>86.4</v>
      </c>
      <c r="N1993" s="3">
        <v>0</v>
      </c>
      <c r="O1993" s="2">
        <v>329</v>
      </c>
      <c r="P1993">
        <v>1</v>
      </c>
      <c r="Q1993" t="s">
        <v>17</v>
      </c>
      <c r="R1993" s="4">
        <v>93.51</v>
      </c>
      <c r="S1993" s="4">
        <v>0</v>
      </c>
      <c r="T1993" t="s">
        <v>37</v>
      </c>
      <c r="U1993" s="4">
        <v>24.66</v>
      </c>
      <c r="V1993" s="4">
        <v>9.5419999999999998</v>
      </c>
      <c r="W1993" s="4">
        <v>93.51</v>
      </c>
    </row>
    <row r="1994" spans="1:23" ht="15" customHeight="1" x14ac:dyDescent="0.25">
      <c r="A1994">
        <v>1805</v>
      </c>
      <c r="B1994" s="1">
        <v>45990</v>
      </c>
      <c r="C1994">
        <v>0</v>
      </c>
      <c r="D1994" t="s">
        <v>60</v>
      </c>
      <c r="E1994">
        <v>11</v>
      </c>
      <c r="F1994" t="s">
        <v>39</v>
      </c>
      <c r="G1994" t="s">
        <v>36</v>
      </c>
      <c r="H1994" t="s">
        <v>49</v>
      </c>
      <c r="I1994" t="s">
        <v>27</v>
      </c>
      <c r="J1994" t="s">
        <v>18</v>
      </c>
      <c r="K1994" s="2">
        <v>26000</v>
      </c>
      <c r="L1994" s="3">
        <v>5.3</v>
      </c>
      <c r="M1994" s="3">
        <v>74.099999999999994</v>
      </c>
      <c r="N1994" s="3">
        <v>0</v>
      </c>
      <c r="O1994" s="2">
        <v>45</v>
      </c>
      <c r="P1994">
        <v>1</v>
      </c>
      <c r="Q1994" t="s">
        <v>17</v>
      </c>
      <c r="R1994" s="4">
        <v>92.2</v>
      </c>
      <c r="S1994" s="4">
        <v>0</v>
      </c>
      <c r="T1994" t="s">
        <v>31</v>
      </c>
      <c r="U1994" s="4">
        <v>10</v>
      </c>
      <c r="V1994" s="4">
        <v>3.5459999999999998</v>
      </c>
      <c r="W1994" s="4">
        <v>92.2</v>
      </c>
    </row>
    <row r="1995" spans="1:23" ht="15" customHeight="1" x14ac:dyDescent="0.25">
      <c r="A1995">
        <v>2173</v>
      </c>
      <c r="B1995" s="1">
        <v>45990</v>
      </c>
      <c r="C1995">
        <v>0</v>
      </c>
      <c r="D1995" t="s">
        <v>60</v>
      </c>
      <c r="E1995">
        <v>11</v>
      </c>
      <c r="F1995" t="s">
        <v>39</v>
      </c>
      <c r="G1995" t="s">
        <v>36</v>
      </c>
      <c r="H1995" t="s">
        <v>52</v>
      </c>
      <c r="I1995" t="s">
        <v>13</v>
      </c>
      <c r="J1995" t="s">
        <v>21</v>
      </c>
      <c r="K1995" s="2">
        <v>9800</v>
      </c>
      <c r="L1995" s="3">
        <v>7.1</v>
      </c>
      <c r="M1995" s="3">
        <v>89.5</v>
      </c>
      <c r="N1995" s="3">
        <v>0</v>
      </c>
      <c r="O1995" s="2">
        <v>309</v>
      </c>
      <c r="P1995">
        <v>1</v>
      </c>
      <c r="Q1995" t="s">
        <v>17</v>
      </c>
      <c r="R1995" s="4">
        <v>105.91</v>
      </c>
      <c r="S1995" s="4">
        <v>0</v>
      </c>
      <c r="T1995" t="s">
        <v>31</v>
      </c>
      <c r="U1995" s="4">
        <v>11.44</v>
      </c>
      <c r="V1995" s="4">
        <v>10.807</v>
      </c>
      <c r="W1995" s="4">
        <v>105.91</v>
      </c>
    </row>
    <row r="1996" spans="1:23" ht="15" customHeight="1" x14ac:dyDescent="0.25">
      <c r="A1996">
        <v>1437</v>
      </c>
      <c r="B1996" s="1">
        <v>45990</v>
      </c>
      <c r="C1996">
        <v>0</v>
      </c>
      <c r="D1996" t="s">
        <v>60</v>
      </c>
      <c r="E1996">
        <v>11</v>
      </c>
      <c r="F1996" t="s">
        <v>39</v>
      </c>
      <c r="G1996" t="s">
        <v>36</v>
      </c>
      <c r="H1996" t="s">
        <v>51</v>
      </c>
      <c r="I1996" t="s">
        <v>25</v>
      </c>
      <c r="J1996" t="s">
        <v>15</v>
      </c>
      <c r="K1996" s="2">
        <v>17400</v>
      </c>
      <c r="L1996" s="3">
        <v>9.4</v>
      </c>
      <c r="M1996" s="3">
        <v>76.900000000000006</v>
      </c>
      <c r="N1996" s="3">
        <v>0</v>
      </c>
      <c r="O1996" s="2">
        <v>0</v>
      </c>
      <c r="P1996">
        <v>1</v>
      </c>
      <c r="Q1996" t="s">
        <v>17</v>
      </c>
      <c r="R1996" s="4">
        <v>55.18</v>
      </c>
      <c r="S1996" s="4">
        <v>0</v>
      </c>
      <c r="T1996" t="s">
        <v>31</v>
      </c>
      <c r="U1996" s="4">
        <v>5.82</v>
      </c>
      <c r="V1996" s="4">
        <v>3.1709999999999998</v>
      </c>
      <c r="W1996" s="4">
        <v>55.18</v>
      </c>
    </row>
    <row r="1997" spans="1:23" ht="15" customHeight="1" x14ac:dyDescent="0.25">
      <c r="A1997">
        <v>701</v>
      </c>
      <c r="B1997" s="1">
        <v>45990</v>
      </c>
      <c r="C1997">
        <v>0</v>
      </c>
      <c r="D1997" t="s">
        <v>60</v>
      </c>
      <c r="E1997">
        <v>11</v>
      </c>
      <c r="F1997" t="s">
        <v>39</v>
      </c>
      <c r="G1997" t="s">
        <v>36</v>
      </c>
      <c r="H1997" t="s">
        <v>54</v>
      </c>
      <c r="I1997" t="s">
        <v>16</v>
      </c>
      <c r="J1997" t="s">
        <v>24</v>
      </c>
      <c r="K1997" s="2">
        <v>8600</v>
      </c>
      <c r="L1997" s="3">
        <v>5.3</v>
      </c>
      <c r="M1997" s="3">
        <v>90.5</v>
      </c>
      <c r="N1997" s="3">
        <v>0</v>
      </c>
      <c r="O1997" s="2">
        <v>9</v>
      </c>
      <c r="P1997">
        <v>0</v>
      </c>
      <c r="Q1997" t="s">
        <v>14</v>
      </c>
      <c r="R1997" s="4">
        <v>13.09</v>
      </c>
      <c r="S1997" s="4">
        <v>0</v>
      </c>
      <c r="T1997" t="s">
        <v>31</v>
      </c>
      <c r="U1997" s="4">
        <v>1.41</v>
      </c>
      <c r="V1997" s="4">
        <v>1.522</v>
      </c>
      <c r="W1997" s="4">
        <v>13.09</v>
      </c>
    </row>
    <row r="1998" spans="1:23" ht="15" customHeight="1" x14ac:dyDescent="0.25">
      <c r="A1998">
        <v>1069</v>
      </c>
      <c r="B1998" s="1">
        <v>45990</v>
      </c>
      <c r="C1998">
        <v>0</v>
      </c>
      <c r="D1998" t="s">
        <v>60</v>
      </c>
      <c r="E1998">
        <v>11</v>
      </c>
      <c r="F1998" t="s">
        <v>39</v>
      </c>
      <c r="G1998" t="s">
        <v>36</v>
      </c>
      <c r="H1998" t="s">
        <v>50</v>
      </c>
      <c r="I1998" t="s">
        <v>22</v>
      </c>
      <c r="J1998" t="s">
        <v>12</v>
      </c>
      <c r="K1998" s="2">
        <v>21000</v>
      </c>
      <c r="L1998" s="3">
        <v>4.8</v>
      </c>
      <c r="M1998" s="3">
        <v>69.8</v>
      </c>
      <c r="N1998" s="3">
        <v>0</v>
      </c>
      <c r="O1998" s="2">
        <v>237</v>
      </c>
      <c r="P1998">
        <v>1</v>
      </c>
      <c r="Q1998" t="s">
        <v>17</v>
      </c>
      <c r="R1998" s="4">
        <v>194.47</v>
      </c>
      <c r="S1998" s="4">
        <v>0</v>
      </c>
      <c r="T1998" t="s">
        <v>31</v>
      </c>
      <c r="U1998" s="4">
        <v>20.96</v>
      </c>
      <c r="V1998" s="4">
        <v>9.26</v>
      </c>
      <c r="W1998" s="4">
        <v>194.47</v>
      </c>
    </row>
    <row r="1999" spans="1:23" ht="15" customHeight="1" x14ac:dyDescent="0.25">
      <c r="A1999">
        <v>333</v>
      </c>
      <c r="B1999" s="1">
        <v>45990</v>
      </c>
      <c r="C1999">
        <v>0</v>
      </c>
      <c r="D1999" t="s">
        <v>60</v>
      </c>
      <c r="E1999">
        <v>11</v>
      </c>
      <c r="F1999" t="s">
        <v>39</v>
      </c>
      <c r="G1999" t="s">
        <v>36</v>
      </c>
      <c r="H1999" t="s">
        <v>53</v>
      </c>
      <c r="I1999" t="s">
        <v>19</v>
      </c>
      <c r="J1999" t="s">
        <v>26</v>
      </c>
      <c r="K1999" s="2">
        <v>12500</v>
      </c>
      <c r="L1999" s="3"/>
      <c r="M1999" s="3">
        <v>73.099999999999994</v>
      </c>
      <c r="N1999" s="3">
        <v>0</v>
      </c>
      <c r="O1999" s="2">
        <v>13</v>
      </c>
      <c r="P1999">
        <v>0</v>
      </c>
      <c r="Q1999" t="s">
        <v>14</v>
      </c>
      <c r="R1999" s="4">
        <v>24.81</v>
      </c>
      <c r="S1999" s="4">
        <v>0</v>
      </c>
      <c r="T1999" t="s">
        <v>31</v>
      </c>
      <c r="U1999" s="4">
        <v>2.68</v>
      </c>
      <c r="V1999" s="4">
        <v>1.9850000000000001</v>
      </c>
      <c r="W1999" s="4">
        <v>24.81</v>
      </c>
    </row>
    <row r="2000" spans="1:23" ht="15" customHeight="1" x14ac:dyDescent="0.25">
      <c r="A2000">
        <v>1806</v>
      </c>
      <c r="B2000" s="1">
        <v>45990.333333333343</v>
      </c>
      <c r="C2000">
        <v>8</v>
      </c>
      <c r="D2000" t="s">
        <v>60</v>
      </c>
      <c r="E2000">
        <v>11</v>
      </c>
      <c r="F2000" t="s">
        <v>39</v>
      </c>
      <c r="G2000" t="s">
        <v>36</v>
      </c>
      <c r="H2000" t="s">
        <v>49</v>
      </c>
      <c r="I2000" t="s">
        <v>27</v>
      </c>
      <c r="J2000" t="s">
        <v>18</v>
      </c>
      <c r="K2000" s="2">
        <v>26000</v>
      </c>
      <c r="L2000" s="3">
        <v>9.1</v>
      </c>
      <c r="M2000" s="3">
        <v>74.3</v>
      </c>
      <c r="N2000" s="3">
        <v>0</v>
      </c>
      <c r="O2000" s="2">
        <v>69</v>
      </c>
      <c r="P2000">
        <v>1</v>
      </c>
      <c r="Q2000" t="s">
        <v>17</v>
      </c>
      <c r="R2000" s="4">
        <v>137.58000000000001</v>
      </c>
      <c r="S2000" s="4">
        <v>0</v>
      </c>
      <c r="T2000" t="s">
        <v>31</v>
      </c>
      <c r="U2000" s="4">
        <v>14.6</v>
      </c>
      <c r="V2000" s="4">
        <v>5.2919999999999998</v>
      </c>
      <c r="W2000" s="4">
        <v>137.58000000000001</v>
      </c>
    </row>
    <row r="2001" spans="1:23" ht="15" customHeight="1" x14ac:dyDescent="0.25">
      <c r="A2001">
        <v>1438</v>
      </c>
      <c r="B2001" s="1">
        <v>45990.333333333343</v>
      </c>
      <c r="C2001">
        <v>8</v>
      </c>
      <c r="D2001" t="s">
        <v>60</v>
      </c>
      <c r="E2001">
        <v>11</v>
      </c>
      <c r="F2001" t="s">
        <v>39</v>
      </c>
      <c r="G2001" t="s">
        <v>36</v>
      </c>
      <c r="H2001" t="s">
        <v>51</v>
      </c>
      <c r="I2001" t="s">
        <v>25</v>
      </c>
      <c r="J2001" t="s">
        <v>15</v>
      </c>
      <c r="K2001" s="2">
        <v>17400</v>
      </c>
      <c r="L2001" s="3">
        <v>10.9</v>
      </c>
      <c r="M2001" s="3">
        <v>89.9</v>
      </c>
      <c r="N2001" s="3">
        <v>0</v>
      </c>
      <c r="O2001" s="2">
        <v>132</v>
      </c>
      <c r="P2001">
        <v>1</v>
      </c>
      <c r="Q2001" t="s">
        <v>17</v>
      </c>
      <c r="R2001" s="4">
        <v>58.28</v>
      </c>
      <c r="S2001" s="4">
        <v>0</v>
      </c>
      <c r="T2001" t="s">
        <v>31</v>
      </c>
      <c r="U2001" s="4">
        <v>6.35</v>
      </c>
      <c r="V2001" s="4">
        <v>3.3490000000000002</v>
      </c>
      <c r="W2001" s="4">
        <v>58.28</v>
      </c>
    </row>
    <row r="2002" spans="1:23" ht="15" customHeight="1" x14ac:dyDescent="0.25">
      <c r="A2002">
        <v>1070</v>
      </c>
      <c r="B2002" s="1">
        <v>45990.333333333343</v>
      </c>
      <c r="C2002">
        <v>8</v>
      </c>
      <c r="D2002" t="s">
        <v>60</v>
      </c>
      <c r="E2002">
        <v>11</v>
      </c>
      <c r="F2002" t="s">
        <v>39</v>
      </c>
      <c r="G2002" t="s">
        <v>36</v>
      </c>
      <c r="H2002" t="s">
        <v>50</v>
      </c>
      <c r="I2002" t="s">
        <v>22</v>
      </c>
      <c r="J2002" t="s">
        <v>12</v>
      </c>
      <c r="K2002" s="2">
        <v>21000</v>
      </c>
      <c r="L2002" s="3">
        <v>11.6</v>
      </c>
      <c r="M2002" s="3">
        <v>60.3</v>
      </c>
      <c r="N2002" s="3">
        <v>0</v>
      </c>
      <c r="O2002" s="2">
        <v>401</v>
      </c>
      <c r="P2002">
        <v>1</v>
      </c>
      <c r="Q2002" t="s">
        <v>17</v>
      </c>
      <c r="R2002" s="4">
        <v>273.37</v>
      </c>
      <c r="S2002" s="4">
        <v>0</v>
      </c>
      <c r="T2002" t="s">
        <v>31</v>
      </c>
      <c r="U2002" s="4">
        <v>29.88</v>
      </c>
      <c r="V2002" s="4">
        <v>13.018000000000001</v>
      </c>
      <c r="W2002" s="4">
        <v>273.37</v>
      </c>
    </row>
    <row r="2003" spans="1:23" ht="15" customHeight="1" x14ac:dyDescent="0.25">
      <c r="A2003">
        <v>334</v>
      </c>
      <c r="B2003" s="1">
        <v>45990.333333333343</v>
      </c>
      <c r="C2003">
        <v>8</v>
      </c>
      <c r="D2003" t="s">
        <v>60</v>
      </c>
      <c r="E2003">
        <v>11</v>
      </c>
      <c r="F2003" t="s">
        <v>39</v>
      </c>
      <c r="G2003" t="s">
        <v>36</v>
      </c>
      <c r="H2003" t="s">
        <v>53</v>
      </c>
      <c r="I2003" t="s">
        <v>19</v>
      </c>
      <c r="J2003" t="s">
        <v>26</v>
      </c>
      <c r="K2003" s="2">
        <v>12500</v>
      </c>
      <c r="L2003" s="3">
        <v>2</v>
      </c>
      <c r="M2003" s="3">
        <v>81.599999999999994</v>
      </c>
      <c r="N2003" s="3">
        <v>0</v>
      </c>
      <c r="O2003" s="2">
        <v>0</v>
      </c>
      <c r="P2003">
        <v>0</v>
      </c>
      <c r="Q2003" t="s">
        <v>14</v>
      </c>
      <c r="R2003" s="4">
        <v>23.06</v>
      </c>
      <c r="S2003" s="4">
        <v>0</v>
      </c>
      <c r="T2003" t="s">
        <v>31</v>
      </c>
      <c r="U2003" s="4">
        <v>2.37</v>
      </c>
      <c r="V2003" s="4">
        <v>1.845</v>
      </c>
      <c r="W2003" s="4">
        <v>23.06</v>
      </c>
    </row>
    <row r="2004" spans="1:23" ht="15" customHeight="1" x14ac:dyDescent="0.25">
      <c r="A2004">
        <v>2174</v>
      </c>
      <c r="B2004" s="1">
        <v>45990.333333333343</v>
      </c>
      <c r="C2004">
        <v>8</v>
      </c>
      <c r="D2004" t="s">
        <v>60</v>
      </c>
      <c r="E2004">
        <v>11</v>
      </c>
      <c r="F2004" t="s">
        <v>39</v>
      </c>
      <c r="G2004" t="s">
        <v>36</v>
      </c>
      <c r="H2004" t="s">
        <v>52</v>
      </c>
      <c r="I2004" t="s">
        <v>13</v>
      </c>
      <c r="J2004" t="s">
        <v>21</v>
      </c>
      <c r="K2004" s="2">
        <v>9800</v>
      </c>
      <c r="L2004" s="3">
        <v>10.7</v>
      </c>
      <c r="M2004" s="3">
        <v>94.1</v>
      </c>
      <c r="N2004" s="3">
        <v>0</v>
      </c>
      <c r="O2004" s="2">
        <v>113</v>
      </c>
      <c r="P2004">
        <v>1</v>
      </c>
      <c r="Q2004" t="s">
        <v>17</v>
      </c>
      <c r="R2004" s="4">
        <v>50.92</v>
      </c>
      <c r="S2004" s="4">
        <v>0</v>
      </c>
      <c r="T2004" t="s">
        <v>31</v>
      </c>
      <c r="U2004" s="4">
        <v>5.54</v>
      </c>
      <c r="V2004" s="4">
        <v>5.1959999999999997</v>
      </c>
      <c r="W2004" s="4">
        <v>50.92</v>
      </c>
    </row>
    <row r="2005" spans="1:23" ht="15" customHeight="1" x14ac:dyDescent="0.25">
      <c r="A2005">
        <v>702</v>
      </c>
      <c r="B2005" s="1">
        <v>45990.333333333343</v>
      </c>
      <c r="C2005">
        <v>8</v>
      </c>
      <c r="D2005" t="s">
        <v>60</v>
      </c>
      <c r="E2005">
        <v>11</v>
      </c>
      <c r="F2005" t="s">
        <v>39</v>
      </c>
      <c r="G2005" t="s">
        <v>36</v>
      </c>
      <c r="H2005" t="s">
        <v>54</v>
      </c>
      <c r="I2005" t="s">
        <v>16</v>
      </c>
      <c r="J2005" t="s">
        <v>24</v>
      </c>
      <c r="K2005" s="2">
        <v>8600</v>
      </c>
      <c r="L2005" s="3">
        <v>12.9</v>
      </c>
      <c r="M2005" s="3">
        <v>95.1</v>
      </c>
      <c r="N2005" s="3">
        <v>0</v>
      </c>
      <c r="O2005" s="2">
        <v>0</v>
      </c>
      <c r="P2005">
        <v>0</v>
      </c>
      <c r="Q2005" t="s">
        <v>14</v>
      </c>
      <c r="R2005" s="4">
        <v>11.45</v>
      </c>
      <c r="S2005" s="4">
        <v>0</v>
      </c>
      <c r="T2005" t="s">
        <v>31</v>
      </c>
      <c r="U2005" s="4">
        <v>1.21</v>
      </c>
      <c r="V2005" s="4">
        <v>1.331</v>
      </c>
      <c r="W2005" s="4">
        <v>11.45</v>
      </c>
    </row>
    <row r="2006" spans="1:23" ht="15" customHeight="1" x14ac:dyDescent="0.25">
      <c r="A2006">
        <v>1071</v>
      </c>
      <c r="B2006" s="1">
        <v>45990.583333333343</v>
      </c>
      <c r="C2006">
        <v>14</v>
      </c>
      <c r="D2006" t="s">
        <v>60</v>
      </c>
      <c r="E2006">
        <v>11</v>
      </c>
      <c r="F2006" t="s">
        <v>39</v>
      </c>
      <c r="G2006" t="s">
        <v>36</v>
      </c>
      <c r="H2006" t="s">
        <v>50</v>
      </c>
      <c r="I2006" t="s">
        <v>22</v>
      </c>
      <c r="J2006" t="s">
        <v>12</v>
      </c>
      <c r="K2006" s="2">
        <v>21000</v>
      </c>
      <c r="L2006" s="3"/>
      <c r="M2006" s="3">
        <v>78</v>
      </c>
      <c r="N2006" s="3"/>
      <c r="O2006" s="2">
        <v>391</v>
      </c>
      <c r="P2006">
        <v>0</v>
      </c>
      <c r="Q2006" t="s">
        <v>14</v>
      </c>
      <c r="R2006" s="4">
        <v>188.8</v>
      </c>
      <c r="S2006" s="4">
        <v>74.510000000000005</v>
      </c>
      <c r="T2006" t="s">
        <v>31</v>
      </c>
      <c r="U2006" s="4">
        <v>12.22</v>
      </c>
      <c r="V2006" s="4">
        <v>8.99</v>
      </c>
      <c r="W2006" s="4">
        <v>114.29</v>
      </c>
    </row>
    <row r="2007" spans="1:23" ht="15" customHeight="1" x14ac:dyDescent="0.25">
      <c r="A2007">
        <v>2175</v>
      </c>
      <c r="B2007" s="1">
        <v>45990.583333333343</v>
      </c>
      <c r="C2007">
        <v>14</v>
      </c>
      <c r="D2007" t="s">
        <v>60</v>
      </c>
      <c r="E2007">
        <v>11</v>
      </c>
      <c r="F2007" t="s">
        <v>39</v>
      </c>
      <c r="G2007" t="s">
        <v>36</v>
      </c>
      <c r="H2007" t="s">
        <v>52</v>
      </c>
      <c r="I2007" t="s">
        <v>13</v>
      </c>
      <c r="J2007" t="s">
        <v>21</v>
      </c>
      <c r="K2007" s="2">
        <v>9800</v>
      </c>
      <c r="L2007" s="3">
        <v>15.2</v>
      </c>
      <c r="M2007" s="3">
        <v>95.9</v>
      </c>
      <c r="N2007" s="3">
        <v>437.5</v>
      </c>
      <c r="O2007" s="2">
        <v>112</v>
      </c>
      <c r="P2007">
        <v>1</v>
      </c>
      <c r="Q2007" t="s">
        <v>23</v>
      </c>
      <c r="R2007" s="4">
        <v>25.76</v>
      </c>
      <c r="S2007" s="4">
        <v>0</v>
      </c>
      <c r="T2007" t="s">
        <v>31</v>
      </c>
      <c r="U2007" s="4">
        <v>2.7</v>
      </c>
      <c r="V2007" s="4">
        <v>2.629</v>
      </c>
      <c r="W2007" s="4">
        <v>25.76</v>
      </c>
    </row>
    <row r="2008" spans="1:23" ht="15" customHeight="1" x14ac:dyDescent="0.25">
      <c r="A2008">
        <v>703</v>
      </c>
      <c r="B2008" s="1">
        <v>45990.583333333343</v>
      </c>
      <c r="C2008">
        <v>14</v>
      </c>
      <c r="D2008" t="s">
        <v>60</v>
      </c>
      <c r="E2008">
        <v>11</v>
      </c>
      <c r="F2008" t="s">
        <v>39</v>
      </c>
      <c r="G2008" t="s">
        <v>36</v>
      </c>
      <c r="H2008" t="s">
        <v>54</v>
      </c>
      <c r="I2008" t="s">
        <v>16</v>
      </c>
      <c r="J2008" t="s">
        <v>24</v>
      </c>
      <c r="K2008" s="2">
        <v>8600</v>
      </c>
      <c r="L2008" s="3">
        <v>16.7</v>
      </c>
      <c r="M2008" s="3">
        <v>90</v>
      </c>
      <c r="N2008" s="3">
        <v>278.10000000000002</v>
      </c>
      <c r="O2008" s="2">
        <v>0</v>
      </c>
      <c r="P2008">
        <v>0</v>
      </c>
      <c r="Q2008" t="s">
        <v>14</v>
      </c>
      <c r="R2008" s="4">
        <v>7.66</v>
      </c>
      <c r="S2008" s="4">
        <v>20.48</v>
      </c>
      <c r="T2008" t="s">
        <v>31</v>
      </c>
      <c r="U2008" s="4">
        <v>-0.55000000000000004</v>
      </c>
      <c r="V2008" s="4">
        <v>0.89100000000000001</v>
      </c>
      <c r="W2008" s="4">
        <v>0</v>
      </c>
    </row>
    <row r="2009" spans="1:23" ht="15" customHeight="1" x14ac:dyDescent="0.25">
      <c r="A2009">
        <v>335</v>
      </c>
      <c r="B2009" s="1">
        <v>45990.583333333343</v>
      </c>
      <c r="C2009">
        <v>14</v>
      </c>
      <c r="D2009" t="s">
        <v>60</v>
      </c>
      <c r="E2009">
        <v>11</v>
      </c>
      <c r="F2009" t="s">
        <v>39</v>
      </c>
      <c r="G2009" t="s">
        <v>36</v>
      </c>
      <c r="H2009" t="s">
        <v>53</v>
      </c>
      <c r="I2009" t="s">
        <v>19</v>
      </c>
      <c r="J2009" t="s">
        <v>26</v>
      </c>
      <c r="K2009" s="2">
        <v>12500</v>
      </c>
      <c r="L2009" s="3">
        <v>12.7</v>
      </c>
      <c r="M2009" s="3">
        <v>59.4</v>
      </c>
      <c r="N2009" s="3">
        <v>550.4</v>
      </c>
      <c r="O2009" s="2"/>
      <c r="P2009">
        <v>0</v>
      </c>
      <c r="Q2009" t="s">
        <v>14</v>
      </c>
      <c r="R2009" s="4">
        <v>16.64</v>
      </c>
      <c r="S2009" s="4">
        <v>79.36</v>
      </c>
      <c r="T2009" t="s">
        <v>31</v>
      </c>
      <c r="U2009" s="4">
        <v>-2.71</v>
      </c>
      <c r="V2009" s="4">
        <v>1.331</v>
      </c>
      <c r="W2009" s="4">
        <v>0</v>
      </c>
    </row>
    <row r="2010" spans="1:23" ht="15" customHeight="1" x14ac:dyDescent="0.25">
      <c r="A2010">
        <v>1439</v>
      </c>
      <c r="B2010" s="1">
        <v>45990.583333333343</v>
      </c>
      <c r="C2010">
        <v>14</v>
      </c>
      <c r="D2010" t="s">
        <v>60</v>
      </c>
      <c r="E2010">
        <v>11</v>
      </c>
      <c r="F2010" t="s">
        <v>39</v>
      </c>
      <c r="G2010" t="s">
        <v>36</v>
      </c>
      <c r="H2010" t="s">
        <v>51</v>
      </c>
      <c r="I2010" t="s">
        <v>25</v>
      </c>
      <c r="J2010" t="s">
        <v>15</v>
      </c>
      <c r="K2010" s="2">
        <v>17400</v>
      </c>
      <c r="L2010" s="3">
        <v>13.7</v>
      </c>
      <c r="M2010" s="3">
        <v>76.599999999999994</v>
      </c>
      <c r="N2010" s="3">
        <v>334.2</v>
      </c>
      <c r="O2010" s="2">
        <v>1635</v>
      </c>
      <c r="P2010">
        <v>1</v>
      </c>
      <c r="Q2010" t="s">
        <v>17</v>
      </c>
      <c r="R2010" s="4">
        <v>236.46</v>
      </c>
      <c r="S2010" s="4">
        <v>41.83</v>
      </c>
      <c r="T2010" t="s">
        <v>31</v>
      </c>
      <c r="U2010" s="4">
        <v>21.25</v>
      </c>
      <c r="V2010" s="4">
        <v>13.59</v>
      </c>
      <c r="W2010" s="4">
        <v>194.63</v>
      </c>
    </row>
    <row r="2011" spans="1:23" ht="15" customHeight="1" x14ac:dyDescent="0.25">
      <c r="A2011">
        <v>1807</v>
      </c>
      <c r="B2011" s="1">
        <v>45990.583333333343</v>
      </c>
      <c r="C2011">
        <v>14</v>
      </c>
      <c r="D2011" t="s">
        <v>60</v>
      </c>
      <c r="E2011">
        <v>11</v>
      </c>
      <c r="F2011" t="s">
        <v>39</v>
      </c>
      <c r="G2011" t="s">
        <v>36</v>
      </c>
      <c r="H2011" t="s">
        <v>49</v>
      </c>
      <c r="I2011" t="s">
        <v>27</v>
      </c>
      <c r="J2011" t="s">
        <v>18</v>
      </c>
      <c r="K2011" s="2">
        <v>26000</v>
      </c>
      <c r="L2011" s="3">
        <v>14.1</v>
      </c>
      <c r="M2011" s="3">
        <v>74.400000000000006</v>
      </c>
      <c r="N2011" s="3">
        <v>325.2</v>
      </c>
      <c r="O2011" s="2">
        <v>80</v>
      </c>
      <c r="P2011">
        <v>1</v>
      </c>
      <c r="Q2011" t="s">
        <v>17</v>
      </c>
      <c r="R2011" s="4">
        <v>83.27</v>
      </c>
      <c r="S2011" s="4">
        <v>99.48</v>
      </c>
      <c r="T2011" t="s">
        <v>31</v>
      </c>
      <c r="U2011" s="4">
        <v>-0.68</v>
      </c>
      <c r="V2011" s="4">
        <v>3.2029999999999998</v>
      </c>
      <c r="W2011" s="4">
        <v>0</v>
      </c>
    </row>
    <row r="2012" spans="1:23" ht="15" customHeight="1" x14ac:dyDescent="0.25">
      <c r="A2012">
        <v>1072</v>
      </c>
      <c r="B2012" s="1">
        <v>45990.833333333343</v>
      </c>
      <c r="C2012">
        <v>20</v>
      </c>
      <c r="D2012" t="s">
        <v>60</v>
      </c>
      <c r="E2012">
        <v>11</v>
      </c>
      <c r="F2012" t="s">
        <v>39</v>
      </c>
      <c r="G2012" t="s">
        <v>36</v>
      </c>
      <c r="H2012" t="s">
        <v>50</v>
      </c>
      <c r="I2012" t="s">
        <v>22</v>
      </c>
      <c r="J2012" t="s">
        <v>12</v>
      </c>
      <c r="K2012" s="2">
        <v>21000</v>
      </c>
      <c r="L2012" s="3">
        <v>12</v>
      </c>
      <c r="M2012" s="3">
        <v>66.7</v>
      </c>
      <c r="N2012" s="3">
        <v>0</v>
      </c>
      <c r="O2012" s="2">
        <v>447</v>
      </c>
      <c r="P2012">
        <v>1</v>
      </c>
      <c r="Q2012" t="s">
        <v>17</v>
      </c>
      <c r="R2012" s="4">
        <v>273.35000000000002</v>
      </c>
      <c r="S2012" s="4">
        <v>0</v>
      </c>
      <c r="T2012" t="s">
        <v>31</v>
      </c>
      <c r="U2012" s="4">
        <v>29.71</v>
      </c>
      <c r="V2012" s="4">
        <v>13.016999999999999</v>
      </c>
      <c r="W2012" s="4">
        <v>273.35000000000002</v>
      </c>
    </row>
    <row r="2013" spans="1:23" ht="15" customHeight="1" x14ac:dyDescent="0.25">
      <c r="A2013">
        <v>1808</v>
      </c>
      <c r="B2013" s="1">
        <v>45990.833333333343</v>
      </c>
      <c r="C2013">
        <v>20</v>
      </c>
      <c r="D2013" t="s">
        <v>60</v>
      </c>
      <c r="E2013">
        <v>11</v>
      </c>
      <c r="F2013" t="s">
        <v>39</v>
      </c>
      <c r="G2013" t="s">
        <v>36</v>
      </c>
      <c r="H2013" t="s">
        <v>49</v>
      </c>
      <c r="I2013" t="s">
        <v>27</v>
      </c>
      <c r="J2013" t="s">
        <v>18</v>
      </c>
      <c r="K2013" s="2">
        <v>26000</v>
      </c>
      <c r="L2013" s="3">
        <v>14.4</v>
      </c>
      <c r="M2013" s="3">
        <v>67.900000000000006</v>
      </c>
      <c r="N2013" s="3">
        <v>0</v>
      </c>
      <c r="O2013" s="2">
        <v>72</v>
      </c>
      <c r="P2013">
        <v>1</v>
      </c>
      <c r="Q2013" t="s">
        <v>17</v>
      </c>
      <c r="R2013" s="4">
        <v>133.85</v>
      </c>
      <c r="S2013" s="4">
        <v>0</v>
      </c>
      <c r="T2013" t="s">
        <v>31</v>
      </c>
      <c r="U2013" s="4">
        <v>14.08</v>
      </c>
      <c r="V2013" s="4">
        <v>5.1479999999999997</v>
      </c>
      <c r="W2013" s="4">
        <v>133.85</v>
      </c>
    </row>
    <row r="2014" spans="1:23" ht="15" customHeight="1" x14ac:dyDescent="0.25">
      <c r="A2014">
        <v>704</v>
      </c>
      <c r="B2014" s="1">
        <v>45990.833333333343</v>
      </c>
      <c r="C2014">
        <v>20</v>
      </c>
      <c r="D2014" t="s">
        <v>60</v>
      </c>
      <c r="E2014">
        <v>11</v>
      </c>
      <c r="F2014" t="s">
        <v>39</v>
      </c>
      <c r="G2014" t="s">
        <v>36</v>
      </c>
      <c r="H2014" t="s">
        <v>54</v>
      </c>
      <c r="I2014" t="s">
        <v>16</v>
      </c>
      <c r="J2014" t="s">
        <v>24</v>
      </c>
      <c r="K2014" s="2">
        <v>8600</v>
      </c>
      <c r="L2014" s="3">
        <v>10.7</v>
      </c>
      <c r="M2014" s="3">
        <v>98.9</v>
      </c>
      <c r="N2014" s="3">
        <v>0</v>
      </c>
      <c r="O2014" s="2">
        <v>0</v>
      </c>
      <c r="P2014">
        <v>0</v>
      </c>
      <c r="Q2014" t="s">
        <v>14</v>
      </c>
      <c r="R2014" s="4">
        <v>11.95</v>
      </c>
      <c r="S2014" s="4">
        <v>0</v>
      </c>
      <c r="T2014" t="s">
        <v>31</v>
      </c>
      <c r="U2014" s="4">
        <v>1.26</v>
      </c>
      <c r="V2014" s="4">
        <v>1.39</v>
      </c>
      <c r="W2014" s="4">
        <v>11.95</v>
      </c>
    </row>
    <row r="2015" spans="1:23" ht="15" customHeight="1" x14ac:dyDescent="0.25">
      <c r="A2015">
        <v>1440</v>
      </c>
      <c r="B2015" s="1">
        <v>45990.833333333343</v>
      </c>
      <c r="C2015">
        <v>20</v>
      </c>
      <c r="D2015" t="s">
        <v>60</v>
      </c>
      <c r="E2015">
        <v>11</v>
      </c>
      <c r="F2015" t="s">
        <v>39</v>
      </c>
      <c r="G2015" t="s">
        <v>36</v>
      </c>
      <c r="H2015" t="s">
        <v>51</v>
      </c>
      <c r="I2015" t="s">
        <v>25</v>
      </c>
      <c r="J2015" t="s">
        <v>15</v>
      </c>
      <c r="K2015" s="2">
        <v>17400</v>
      </c>
      <c r="L2015" s="3">
        <v>13.6</v>
      </c>
      <c r="M2015" s="3">
        <v>94.5</v>
      </c>
      <c r="N2015" s="3">
        <v>0</v>
      </c>
      <c r="O2015" s="2">
        <v>1670</v>
      </c>
      <c r="P2015">
        <v>1</v>
      </c>
      <c r="Q2015" t="s">
        <v>17</v>
      </c>
      <c r="R2015" s="4">
        <v>313.99</v>
      </c>
      <c r="S2015" s="4">
        <v>0</v>
      </c>
      <c r="T2015" t="s">
        <v>31</v>
      </c>
      <c r="U2015" s="4">
        <v>33.159999999999997</v>
      </c>
      <c r="V2015" s="4">
        <v>18.045000000000002</v>
      </c>
      <c r="W2015" s="4">
        <v>313.99</v>
      </c>
    </row>
    <row r="2016" spans="1:23" ht="15" customHeight="1" x14ac:dyDescent="0.25">
      <c r="A2016">
        <v>336</v>
      </c>
      <c r="B2016" s="1">
        <v>45990.833333333343</v>
      </c>
      <c r="C2016">
        <v>20</v>
      </c>
      <c r="D2016" t="s">
        <v>60</v>
      </c>
      <c r="E2016">
        <v>11</v>
      </c>
      <c r="F2016" t="s">
        <v>39</v>
      </c>
      <c r="G2016" t="s">
        <v>36</v>
      </c>
      <c r="H2016" t="s">
        <v>53</v>
      </c>
      <c r="I2016" t="s">
        <v>19</v>
      </c>
      <c r="J2016" t="s">
        <v>26</v>
      </c>
      <c r="K2016" s="2">
        <v>12500</v>
      </c>
      <c r="L2016" s="3">
        <v>9.1</v>
      </c>
      <c r="M2016" s="3">
        <v>67.099999999999994</v>
      </c>
      <c r="N2016" s="3">
        <v>0</v>
      </c>
      <c r="O2016" s="2">
        <v>18</v>
      </c>
      <c r="P2016">
        <v>0</v>
      </c>
      <c r="Q2016" t="s">
        <v>14</v>
      </c>
      <c r="R2016" s="4">
        <v>25.17</v>
      </c>
      <c r="S2016" s="4">
        <v>0</v>
      </c>
      <c r="T2016" t="s">
        <v>31</v>
      </c>
      <c r="U2016" s="4">
        <v>2.7</v>
      </c>
      <c r="V2016" s="4">
        <v>2.0139999999999998</v>
      </c>
      <c r="W2016" s="4">
        <v>25.17</v>
      </c>
    </row>
    <row r="2017" spans="1:23" ht="15" customHeight="1" x14ac:dyDescent="0.25">
      <c r="A2017">
        <v>2176</v>
      </c>
      <c r="B2017" s="1">
        <v>45990.833333333343</v>
      </c>
      <c r="C2017">
        <v>20</v>
      </c>
      <c r="D2017" t="s">
        <v>60</v>
      </c>
      <c r="E2017">
        <v>11</v>
      </c>
      <c r="F2017" t="s">
        <v>39</v>
      </c>
      <c r="G2017" t="s">
        <v>36</v>
      </c>
      <c r="H2017" t="s">
        <v>52</v>
      </c>
      <c r="I2017" t="s">
        <v>13</v>
      </c>
      <c r="J2017" t="s">
        <v>21</v>
      </c>
      <c r="K2017" s="2">
        <v>9800</v>
      </c>
      <c r="L2017" s="3">
        <v>9.6999999999999993</v>
      </c>
      <c r="M2017" s="3">
        <v>76.8</v>
      </c>
      <c r="N2017" s="3">
        <v>0</v>
      </c>
      <c r="O2017" s="2">
        <v>335</v>
      </c>
      <c r="P2017">
        <v>1</v>
      </c>
      <c r="Q2017" t="s">
        <v>17</v>
      </c>
      <c r="R2017" s="4">
        <v>98.04</v>
      </c>
      <c r="S2017" s="4">
        <v>0</v>
      </c>
      <c r="T2017" t="s">
        <v>31</v>
      </c>
      <c r="U2017" s="4">
        <v>10.43</v>
      </c>
      <c r="V2017" s="4">
        <v>10.004</v>
      </c>
      <c r="W2017" s="4">
        <v>98.04</v>
      </c>
    </row>
    <row r="2018" spans="1:23" ht="15" customHeight="1" x14ac:dyDescent="0.25">
      <c r="A2018">
        <v>1441</v>
      </c>
      <c r="B2018" s="1">
        <v>45994</v>
      </c>
      <c r="C2018">
        <v>0</v>
      </c>
      <c r="D2018" t="s">
        <v>48</v>
      </c>
      <c r="E2018">
        <v>12</v>
      </c>
      <c r="F2018" t="s">
        <v>32</v>
      </c>
      <c r="G2018" t="s">
        <v>33</v>
      </c>
      <c r="H2018" t="s">
        <v>51</v>
      </c>
      <c r="I2018" t="s">
        <v>25</v>
      </c>
      <c r="J2018" t="s">
        <v>15</v>
      </c>
      <c r="K2018" s="2">
        <v>17400</v>
      </c>
      <c r="L2018" s="3">
        <v>8.1999999999999993</v>
      </c>
      <c r="M2018" s="3">
        <v>95.9</v>
      </c>
      <c r="N2018" s="3">
        <v>0</v>
      </c>
      <c r="O2018" s="2">
        <v>139</v>
      </c>
      <c r="P2018">
        <v>0</v>
      </c>
      <c r="Q2018" t="s">
        <v>14</v>
      </c>
      <c r="R2018" s="4">
        <v>54.73</v>
      </c>
      <c r="S2018" s="4">
        <v>0</v>
      </c>
      <c r="T2018" t="s">
        <v>31</v>
      </c>
      <c r="U2018" s="4">
        <v>5.86</v>
      </c>
      <c r="V2018" s="4">
        <v>3.145</v>
      </c>
      <c r="W2018" s="4">
        <v>54.73</v>
      </c>
    </row>
    <row r="2019" spans="1:23" ht="15" customHeight="1" x14ac:dyDescent="0.25">
      <c r="A2019">
        <v>1809</v>
      </c>
      <c r="B2019" s="1">
        <v>45994</v>
      </c>
      <c r="C2019">
        <v>0</v>
      </c>
      <c r="D2019" t="s">
        <v>48</v>
      </c>
      <c r="E2019">
        <v>12</v>
      </c>
      <c r="F2019" t="s">
        <v>32</v>
      </c>
      <c r="G2019" t="s">
        <v>33</v>
      </c>
      <c r="H2019" t="s">
        <v>49</v>
      </c>
      <c r="I2019" t="s">
        <v>27</v>
      </c>
      <c r="J2019" t="s">
        <v>18</v>
      </c>
      <c r="K2019" s="2">
        <v>26000</v>
      </c>
      <c r="L2019" s="3">
        <v>4</v>
      </c>
      <c r="M2019" s="3">
        <v>78.8</v>
      </c>
      <c r="N2019" s="3">
        <v>0</v>
      </c>
      <c r="O2019" s="2">
        <v>51</v>
      </c>
      <c r="P2019">
        <v>1</v>
      </c>
      <c r="Q2019" t="s">
        <v>17</v>
      </c>
      <c r="R2019" s="4">
        <v>137.77000000000001</v>
      </c>
      <c r="S2019" s="4">
        <v>0</v>
      </c>
      <c r="T2019" t="s">
        <v>31</v>
      </c>
      <c r="U2019" s="4">
        <v>14.18</v>
      </c>
      <c r="V2019" s="4">
        <v>5.2990000000000004</v>
      </c>
      <c r="W2019" s="4">
        <v>137.77000000000001</v>
      </c>
    </row>
    <row r="2020" spans="1:23" ht="15" customHeight="1" x14ac:dyDescent="0.25">
      <c r="A2020">
        <v>705</v>
      </c>
      <c r="B2020" s="1">
        <v>45994</v>
      </c>
      <c r="C2020">
        <v>0</v>
      </c>
      <c r="D2020" t="s">
        <v>48</v>
      </c>
      <c r="E2020">
        <v>12</v>
      </c>
      <c r="F2020" t="s">
        <v>32</v>
      </c>
      <c r="G2020" t="s">
        <v>33</v>
      </c>
      <c r="H2020" t="s">
        <v>54</v>
      </c>
      <c r="I2020" t="s">
        <v>16</v>
      </c>
      <c r="J2020" t="s">
        <v>24</v>
      </c>
      <c r="K2020" s="2">
        <v>8600</v>
      </c>
      <c r="L2020" s="3">
        <v>7.2</v>
      </c>
      <c r="M2020" s="3">
        <v>88.7</v>
      </c>
      <c r="N2020" s="3">
        <v>0</v>
      </c>
      <c r="O2020" s="2">
        <v>62</v>
      </c>
      <c r="P2020">
        <v>1</v>
      </c>
      <c r="Q2020" t="s">
        <v>17</v>
      </c>
      <c r="R2020" s="4">
        <v>26.08</v>
      </c>
      <c r="S2020" s="4">
        <v>0</v>
      </c>
      <c r="T2020" t="s">
        <v>31</v>
      </c>
      <c r="U2020" s="4">
        <v>2.8</v>
      </c>
      <c r="V2020" s="4">
        <v>3.0329999999999999</v>
      </c>
      <c r="W2020" s="4">
        <v>26.08</v>
      </c>
    </row>
    <row r="2021" spans="1:23" ht="15" customHeight="1" x14ac:dyDescent="0.25">
      <c r="A2021">
        <v>1073</v>
      </c>
      <c r="B2021" s="1">
        <v>45994</v>
      </c>
      <c r="C2021">
        <v>0</v>
      </c>
      <c r="D2021" t="s">
        <v>48</v>
      </c>
      <c r="E2021">
        <v>12</v>
      </c>
      <c r="F2021" t="s">
        <v>32</v>
      </c>
      <c r="G2021" t="s">
        <v>33</v>
      </c>
      <c r="H2021" t="s">
        <v>50</v>
      </c>
      <c r="I2021" t="s">
        <v>22</v>
      </c>
      <c r="J2021" t="s">
        <v>12</v>
      </c>
      <c r="K2021" s="2">
        <v>21000</v>
      </c>
      <c r="L2021" s="3">
        <v>5</v>
      </c>
      <c r="M2021" s="3">
        <v>68.8</v>
      </c>
      <c r="N2021" s="3">
        <v>0</v>
      </c>
      <c r="O2021" s="2">
        <v>226</v>
      </c>
      <c r="P2021">
        <v>1</v>
      </c>
      <c r="Q2021" t="s">
        <v>17</v>
      </c>
      <c r="R2021" s="4">
        <v>188.24</v>
      </c>
      <c r="S2021" s="4">
        <v>0</v>
      </c>
      <c r="T2021" t="s">
        <v>31</v>
      </c>
      <c r="U2021" s="4">
        <v>20.39</v>
      </c>
      <c r="V2021" s="4">
        <v>8.9640000000000004</v>
      </c>
      <c r="W2021" s="4">
        <v>188.24</v>
      </c>
    </row>
    <row r="2022" spans="1:23" ht="15" customHeight="1" x14ac:dyDescent="0.25">
      <c r="A2022">
        <v>2177</v>
      </c>
      <c r="B2022" s="1">
        <v>45994</v>
      </c>
      <c r="C2022">
        <v>0</v>
      </c>
      <c r="D2022" t="s">
        <v>48</v>
      </c>
      <c r="E2022">
        <v>12</v>
      </c>
      <c r="F2022" t="s">
        <v>32</v>
      </c>
      <c r="G2022" t="s">
        <v>33</v>
      </c>
      <c r="H2022" t="s">
        <v>52</v>
      </c>
      <c r="I2022" t="s">
        <v>13</v>
      </c>
      <c r="J2022" t="s">
        <v>21</v>
      </c>
      <c r="K2022" s="2">
        <v>9800</v>
      </c>
      <c r="L2022" s="3">
        <v>6.6</v>
      </c>
      <c r="M2022" s="3">
        <v>94.3</v>
      </c>
      <c r="N2022" s="3">
        <v>0</v>
      </c>
      <c r="O2022" s="2">
        <v>261</v>
      </c>
      <c r="P2022">
        <v>1</v>
      </c>
      <c r="Q2022" t="s">
        <v>17</v>
      </c>
      <c r="R2022" s="4">
        <v>104.69</v>
      </c>
      <c r="S2022" s="4">
        <v>0</v>
      </c>
      <c r="T2022" t="s">
        <v>31</v>
      </c>
      <c r="U2022" s="4">
        <v>11.24</v>
      </c>
      <c r="V2022" s="4">
        <v>10.683</v>
      </c>
      <c r="W2022" s="4">
        <v>104.69</v>
      </c>
    </row>
    <row r="2023" spans="1:23" ht="15" customHeight="1" x14ac:dyDescent="0.25">
      <c r="A2023">
        <v>337</v>
      </c>
      <c r="B2023" s="1">
        <v>45994</v>
      </c>
      <c r="C2023">
        <v>0</v>
      </c>
      <c r="D2023" t="s">
        <v>48</v>
      </c>
      <c r="E2023">
        <v>12</v>
      </c>
      <c r="F2023" t="s">
        <v>32</v>
      </c>
      <c r="G2023" t="s">
        <v>33</v>
      </c>
      <c r="H2023" t="s">
        <v>53</v>
      </c>
      <c r="I2023" t="s">
        <v>19</v>
      </c>
      <c r="J2023" t="s">
        <v>26</v>
      </c>
      <c r="K2023" s="2">
        <v>12500</v>
      </c>
      <c r="L2023" s="3">
        <v>0.5</v>
      </c>
      <c r="M2023" s="3">
        <v>84.4</v>
      </c>
      <c r="N2023" s="3">
        <v>0</v>
      </c>
      <c r="O2023" s="2">
        <v>0</v>
      </c>
      <c r="P2023">
        <v>0</v>
      </c>
      <c r="Q2023" t="s">
        <v>14</v>
      </c>
      <c r="R2023" s="4">
        <v>22.44</v>
      </c>
      <c r="S2023" s="4">
        <v>0</v>
      </c>
      <c r="T2023" t="s">
        <v>31</v>
      </c>
      <c r="U2023" s="4">
        <v>2.41</v>
      </c>
      <c r="V2023" s="4">
        <v>1.7949999999999999</v>
      </c>
      <c r="W2023" s="4">
        <v>22.44</v>
      </c>
    </row>
    <row r="2024" spans="1:23" ht="15" customHeight="1" x14ac:dyDescent="0.25">
      <c r="A2024">
        <v>2178</v>
      </c>
      <c r="B2024" s="1">
        <v>45994.333333333343</v>
      </c>
      <c r="C2024">
        <v>8</v>
      </c>
      <c r="D2024" t="s">
        <v>48</v>
      </c>
      <c r="E2024">
        <v>12</v>
      </c>
      <c r="F2024" t="s">
        <v>32</v>
      </c>
      <c r="G2024" t="s">
        <v>33</v>
      </c>
      <c r="H2024" t="s">
        <v>52</v>
      </c>
      <c r="I2024" t="s">
        <v>13</v>
      </c>
      <c r="J2024" t="s">
        <v>21</v>
      </c>
      <c r="K2024" s="2">
        <v>9800</v>
      </c>
      <c r="L2024" s="3">
        <v>7</v>
      </c>
      <c r="M2024" s="3">
        <v>96.4</v>
      </c>
      <c r="N2024" s="3">
        <v>0</v>
      </c>
      <c r="O2024" s="2">
        <v>66</v>
      </c>
      <c r="P2024">
        <v>1</v>
      </c>
      <c r="Q2024" t="s">
        <v>17</v>
      </c>
      <c r="R2024" s="4">
        <v>36.840000000000003</v>
      </c>
      <c r="S2024" s="4">
        <v>0</v>
      </c>
      <c r="T2024" t="s">
        <v>34</v>
      </c>
      <c r="U2024" s="4">
        <v>6.13</v>
      </c>
      <c r="V2024" s="4">
        <v>3.7589999999999999</v>
      </c>
      <c r="W2024" s="4">
        <v>36.840000000000003</v>
      </c>
    </row>
    <row r="2025" spans="1:23" ht="15" customHeight="1" x14ac:dyDescent="0.25">
      <c r="A2025">
        <v>1442</v>
      </c>
      <c r="B2025" s="1">
        <v>45994.333333333343</v>
      </c>
      <c r="C2025">
        <v>8</v>
      </c>
      <c r="D2025" t="s">
        <v>48</v>
      </c>
      <c r="E2025">
        <v>12</v>
      </c>
      <c r="F2025" t="s">
        <v>32</v>
      </c>
      <c r="G2025" t="s">
        <v>33</v>
      </c>
      <c r="H2025" t="s">
        <v>51</v>
      </c>
      <c r="I2025" t="s">
        <v>25</v>
      </c>
      <c r="J2025" t="s">
        <v>15</v>
      </c>
      <c r="K2025" s="2">
        <v>17400</v>
      </c>
      <c r="L2025" s="3">
        <v>10.1</v>
      </c>
      <c r="M2025" s="3">
        <v>74</v>
      </c>
      <c r="N2025" s="3">
        <v>0</v>
      </c>
      <c r="O2025" s="2">
        <v>133</v>
      </c>
      <c r="P2025">
        <v>0</v>
      </c>
      <c r="Q2025" t="s">
        <v>14</v>
      </c>
      <c r="R2025" s="4">
        <v>55.72</v>
      </c>
      <c r="S2025" s="4">
        <v>0</v>
      </c>
      <c r="T2025" t="s">
        <v>34</v>
      </c>
      <c r="U2025" s="4">
        <v>9.83</v>
      </c>
      <c r="V2025" s="4">
        <v>3.202</v>
      </c>
      <c r="W2025" s="4">
        <v>55.72</v>
      </c>
    </row>
    <row r="2026" spans="1:23" ht="15" customHeight="1" x14ac:dyDescent="0.25">
      <c r="A2026">
        <v>1074</v>
      </c>
      <c r="B2026" s="1">
        <v>45994.333333333343</v>
      </c>
      <c r="C2026">
        <v>8</v>
      </c>
      <c r="D2026" t="s">
        <v>48</v>
      </c>
      <c r="E2026">
        <v>12</v>
      </c>
      <c r="F2026" t="s">
        <v>32</v>
      </c>
      <c r="G2026" t="s">
        <v>33</v>
      </c>
      <c r="H2026" t="s">
        <v>50</v>
      </c>
      <c r="I2026" t="s">
        <v>22</v>
      </c>
      <c r="J2026" t="s">
        <v>12</v>
      </c>
      <c r="K2026" s="2">
        <v>21000</v>
      </c>
      <c r="L2026" s="3">
        <v>9</v>
      </c>
      <c r="M2026" s="3">
        <v>85.8</v>
      </c>
      <c r="N2026" s="3">
        <v>0</v>
      </c>
      <c r="O2026" s="2">
        <v>399</v>
      </c>
      <c r="P2026">
        <v>1</v>
      </c>
      <c r="Q2026" t="s">
        <v>17</v>
      </c>
      <c r="R2026" s="4">
        <v>295.89999999999998</v>
      </c>
      <c r="S2026" s="4">
        <v>0</v>
      </c>
      <c r="T2026" t="s">
        <v>34</v>
      </c>
      <c r="U2026" s="4">
        <v>50.42</v>
      </c>
      <c r="V2026" s="4">
        <v>14.09</v>
      </c>
      <c r="W2026" s="4">
        <v>295.89999999999998</v>
      </c>
    </row>
    <row r="2027" spans="1:23" ht="15" customHeight="1" x14ac:dyDescent="0.25">
      <c r="A2027">
        <v>338</v>
      </c>
      <c r="B2027" s="1">
        <v>45994.333333333343</v>
      </c>
      <c r="C2027">
        <v>8</v>
      </c>
      <c r="D2027" t="s">
        <v>48</v>
      </c>
      <c r="E2027">
        <v>12</v>
      </c>
      <c r="F2027" t="s">
        <v>32</v>
      </c>
      <c r="G2027" t="s">
        <v>33</v>
      </c>
      <c r="H2027" t="s">
        <v>53</v>
      </c>
      <c r="I2027" t="s">
        <v>19</v>
      </c>
      <c r="J2027" t="s">
        <v>26</v>
      </c>
      <c r="K2027" s="2">
        <v>12500</v>
      </c>
      <c r="L2027" s="3">
        <v>4.9000000000000004</v>
      </c>
      <c r="M2027" s="3">
        <v>75.2</v>
      </c>
      <c r="N2027" s="3">
        <v>0</v>
      </c>
      <c r="O2027" s="2">
        <v>348</v>
      </c>
      <c r="P2027">
        <v>1</v>
      </c>
      <c r="Q2027" t="s">
        <v>17</v>
      </c>
      <c r="R2027" s="4">
        <v>105.72</v>
      </c>
      <c r="S2027" s="4">
        <v>0</v>
      </c>
      <c r="T2027" t="s">
        <v>34</v>
      </c>
      <c r="U2027" s="4">
        <v>17.510000000000002</v>
      </c>
      <c r="V2027" s="4">
        <v>8.4580000000000002</v>
      </c>
      <c r="W2027" s="4">
        <v>105.72</v>
      </c>
    </row>
    <row r="2028" spans="1:23" ht="15" customHeight="1" x14ac:dyDescent="0.25">
      <c r="A2028">
        <v>1810</v>
      </c>
      <c r="B2028" s="1">
        <v>45994.333333333343</v>
      </c>
      <c r="C2028">
        <v>8</v>
      </c>
      <c r="D2028" t="s">
        <v>48</v>
      </c>
      <c r="E2028">
        <v>12</v>
      </c>
      <c r="F2028" t="s">
        <v>32</v>
      </c>
      <c r="G2028" t="s">
        <v>33</v>
      </c>
      <c r="H2028" t="s">
        <v>49</v>
      </c>
      <c r="I2028" t="s">
        <v>27</v>
      </c>
      <c r="J2028" t="s">
        <v>18</v>
      </c>
      <c r="K2028" s="2">
        <v>26000</v>
      </c>
      <c r="L2028" s="3">
        <v>6.1</v>
      </c>
      <c r="M2028" s="3">
        <v>87.5</v>
      </c>
      <c r="N2028" s="3">
        <v>0</v>
      </c>
      <c r="O2028" s="2">
        <v>160</v>
      </c>
      <c r="P2028">
        <v>1</v>
      </c>
      <c r="Q2028" t="s">
        <v>17</v>
      </c>
      <c r="R2028" s="4">
        <v>243.74</v>
      </c>
      <c r="S2028" s="4">
        <v>0</v>
      </c>
      <c r="T2028" t="s">
        <v>34</v>
      </c>
      <c r="U2028" s="4">
        <v>41.41</v>
      </c>
      <c r="V2028" s="4">
        <v>9.375</v>
      </c>
      <c r="W2028" s="4">
        <v>243.74</v>
      </c>
    </row>
    <row r="2029" spans="1:23" ht="15" customHeight="1" x14ac:dyDescent="0.25">
      <c r="A2029">
        <v>706</v>
      </c>
      <c r="B2029" s="1">
        <v>45994.333333333343</v>
      </c>
      <c r="C2029">
        <v>8</v>
      </c>
      <c r="D2029" t="s">
        <v>48</v>
      </c>
      <c r="E2029">
        <v>12</v>
      </c>
      <c r="F2029" t="s">
        <v>32</v>
      </c>
      <c r="G2029" t="s">
        <v>33</v>
      </c>
      <c r="H2029" t="s">
        <v>54</v>
      </c>
      <c r="I2029" t="s">
        <v>16</v>
      </c>
      <c r="J2029" t="s">
        <v>24</v>
      </c>
      <c r="K2029" s="2">
        <v>8600</v>
      </c>
      <c r="L2029" s="3">
        <v>8.6999999999999993</v>
      </c>
      <c r="M2029" s="3">
        <v>94.5</v>
      </c>
      <c r="N2029" s="3">
        <v>0</v>
      </c>
      <c r="O2029" s="2">
        <v>847</v>
      </c>
      <c r="P2029">
        <v>1</v>
      </c>
      <c r="Q2029" t="s">
        <v>17</v>
      </c>
      <c r="R2029" s="4">
        <v>134.91999999999999</v>
      </c>
      <c r="S2029" s="4">
        <v>0</v>
      </c>
      <c r="T2029" t="s">
        <v>34</v>
      </c>
      <c r="U2029" s="4">
        <v>22.65</v>
      </c>
      <c r="V2029" s="4">
        <v>15.688000000000001</v>
      </c>
      <c r="W2029" s="4">
        <v>134.91999999999999</v>
      </c>
    </row>
    <row r="2030" spans="1:23" ht="15" customHeight="1" x14ac:dyDescent="0.25">
      <c r="A2030">
        <v>1075</v>
      </c>
      <c r="B2030" s="1">
        <v>45994.583333333343</v>
      </c>
      <c r="C2030">
        <v>14</v>
      </c>
      <c r="D2030" t="s">
        <v>48</v>
      </c>
      <c r="E2030">
        <v>12</v>
      </c>
      <c r="F2030" t="s">
        <v>32</v>
      </c>
      <c r="G2030" t="s">
        <v>33</v>
      </c>
      <c r="H2030" t="s">
        <v>50</v>
      </c>
      <c r="I2030" t="s">
        <v>22</v>
      </c>
      <c r="J2030" t="s">
        <v>12</v>
      </c>
      <c r="K2030" s="2">
        <v>21000</v>
      </c>
      <c r="L2030" s="3">
        <v>17.3</v>
      </c>
      <c r="M2030" s="3">
        <v>58.8</v>
      </c>
      <c r="N2030" s="3">
        <v>431</v>
      </c>
      <c r="O2030" s="2">
        <v>451</v>
      </c>
      <c r="P2030">
        <v>0</v>
      </c>
      <c r="Q2030" t="s">
        <v>14</v>
      </c>
      <c r="R2030" s="4">
        <v>195.29</v>
      </c>
      <c r="S2030" s="4">
        <v>87.12</v>
      </c>
      <c r="T2030" t="s">
        <v>34</v>
      </c>
      <c r="U2030" s="4">
        <v>18.21</v>
      </c>
      <c r="V2030" s="4">
        <v>9.3000000000000007</v>
      </c>
      <c r="W2030" s="4">
        <v>108.17</v>
      </c>
    </row>
    <row r="2031" spans="1:23" ht="15" customHeight="1" x14ac:dyDescent="0.25">
      <c r="A2031">
        <v>707</v>
      </c>
      <c r="B2031" s="1">
        <v>45994.583333333343</v>
      </c>
      <c r="C2031">
        <v>14</v>
      </c>
      <c r="D2031" t="s">
        <v>48</v>
      </c>
      <c r="E2031">
        <v>12</v>
      </c>
      <c r="F2031" t="s">
        <v>32</v>
      </c>
      <c r="G2031" t="s">
        <v>33</v>
      </c>
      <c r="H2031" t="s">
        <v>54</v>
      </c>
      <c r="I2031" t="s">
        <v>16</v>
      </c>
      <c r="J2031" t="s">
        <v>24</v>
      </c>
      <c r="K2031" s="2">
        <v>8600</v>
      </c>
      <c r="L2031" s="3">
        <v>8</v>
      </c>
      <c r="M2031" s="3">
        <v>99</v>
      </c>
      <c r="N2031" s="3">
        <v>316.89999999999998</v>
      </c>
      <c r="O2031" s="2">
        <v>781</v>
      </c>
      <c r="P2031">
        <v>1</v>
      </c>
      <c r="Q2031" t="s">
        <v>17</v>
      </c>
      <c r="R2031" s="4">
        <v>91.85</v>
      </c>
      <c r="S2031" s="4">
        <v>22.93</v>
      </c>
      <c r="T2031" t="s">
        <v>34</v>
      </c>
      <c r="U2031" s="4">
        <v>11.86</v>
      </c>
      <c r="V2031" s="4">
        <v>10.68</v>
      </c>
      <c r="W2031" s="4">
        <v>68.92</v>
      </c>
    </row>
    <row r="2032" spans="1:23" ht="15" customHeight="1" x14ac:dyDescent="0.25">
      <c r="A2032">
        <v>1811</v>
      </c>
      <c r="B2032" s="1">
        <v>45994.583333333343</v>
      </c>
      <c r="C2032">
        <v>14</v>
      </c>
      <c r="D2032" t="s">
        <v>48</v>
      </c>
      <c r="E2032">
        <v>12</v>
      </c>
      <c r="F2032" t="s">
        <v>32</v>
      </c>
      <c r="G2032" t="s">
        <v>33</v>
      </c>
      <c r="H2032" t="s">
        <v>49</v>
      </c>
      <c r="I2032" t="s">
        <v>27</v>
      </c>
      <c r="J2032" t="s">
        <v>18</v>
      </c>
      <c r="K2032" s="2">
        <v>26000</v>
      </c>
      <c r="L2032" s="3">
        <v>13.8</v>
      </c>
      <c r="M2032" s="3">
        <v>81.599999999999994</v>
      </c>
      <c r="N2032" s="3">
        <v>284.39999999999998</v>
      </c>
      <c r="O2032" s="2">
        <v>171</v>
      </c>
      <c r="P2032">
        <v>1</v>
      </c>
      <c r="Q2032" t="s">
        <v>17</v>
      </c>
      <c r="R2032" s="4">
        <v>155.03</v>
      </c>
      <c r="S2032" s="4">
        <v>79.959999999999994</v>
      </c>
      <c r="T2032" t="s">
        <v>34</v>
      </c>
      <c r="U2032" s="4">
        <v>13.02</v>
      </c>
      <c r="V2032" s="4">
        <v>5.9630000000000001</v>
      </c>
      <c r="W2032" s="4">
        <v>75.069999999999993</v>
      </c>
    </row>
    <row r="2033" spans="1:23" ht="15" customHeight="1" x14ac:dyDescent="0.25">
      <c r="A2033">
        <v>2179</v>
      </c>
      <c r="B2033" s="1">
        <v>45994.583333333343</v>
      </c>
      <c r="C2033">
        <v>14</v>
      </c>
      <c r="D2033" t="s">
        <v>48</v>
      </c>
      <c r="E2033">
        <v>12</v>
      </c>
      <c r="F2033" t="s">
        <v>32</v>
      </c>
      <c r="G2033" t="s">
        <v>33</v>
      </c>
      <c r="H2033" t="s">
        <v>52</v>
      </c>
      <c r="I2033" t="s">
        <v>13</v>
      </c>
      <c r="J2033" t="s">
        <v>21</v>
      </c>
      <c r="K2033" s="2">
        <v>9800</v>
      </c>
      <c r="L2033" s="3">
        <v>18.2</v>
      </c>
      <c r="M2033" s="3">
        <v>75.599999999999994</v>
      </c>
      <c r="N2033" s="3">
        <v>370.1</v>
      </c>
      <c r="O2033" s="2">
        <v>61</v>
      </c>
      <c r="P2033">
        <v>0</v>
      </c>
      <c r="Q2033" t="s">
        <v>14</v>
      </c>
      <c r="R2033" s="4">
        <v>18.29</v>
      </c>
      <c r="S2033" s="4">
        <v>0</v>
      </c>
      <c r="T2033" t="s">
        <v>34</v>
      </c>
      <c r="U2033" s="4">
        <v>3.15</v>
      </c>
      <c r="V2033" s="4">
        <v>1.8660000000000001</v>
      </c>
      <c r="W2033" s="4">
        <v>18.29</v>
      </c>
    </row>
    <row r="2034" spans="1:23" ht="15" customHeight="1" x14ac:dyDescent="0.25">
      <c r="A2034">
        <v>1443</v>
      </c>
      <c r="B2034" s="1">
        <v>45994.583333333343</v>
      </c>
      <c r="C2034">
        <v>14</v>
      </c>
      <c r="D2034" t="s">
        <v>48</v>
      </c>
      <c r="E2034">
        <v>12</v>
      </c>
      <c r="F2034" t="s">
        <v>32</v>
      </c>
      <c r="G2034" t="s">
        <v>33</v>
      </c>
      <c r="H2034" t="s">
        <v>51</v>
      </c>
      <c r="I2034" t="s">
        <v>25</v>
      </c>
      <c r="J2034" t="s">
        <v>15</v>
      </c>
      <c r="K2034" s="2">
        <v>17400</v>
      </c>
      <c r="L2034" s="3">
        <v>16.399999999999999</v>
      </c>
      <c r="M2034" s="3">
        <v>77.900000000000006</v>
      </c>
      <c r="N2034" s="3">
        <v>360.6</v>
      </c>
      <c r="O2034" s="2">
        <v>1184</v>
      </c>
      <c r="P2034">
        <v>0</v>
      </c>
      <c r="Q2034" t="s">
        <v>14</v>
      </c>
      <c r="R2034" s="4">
        <v>187.89</v>
      </c>
      <c r="S2034" s="4">
        <v>45.48</v>
      </c>
      <c r="T2034" t="s">
        <v>34</v>
      </c>
      <c r="U2034" s="4">
        <v>23.54</v>
      </c>
      <c r="V2034" s="4">
        <v>10.798</v>
      </c>
      <c r="W2034" s="4">
        <v>142.41</v>
      </c>
    </row>
    <row r="2035" spans="1:23" ht="15" customHeight="1" x14ac:dyDescent="0.25">
      <c r="A2035">
        <v>339</v>
      </c>
      <c r="B2035" s="1">
        <v>45994.583333333343</v>
      </c>
      <c r="C2035">
        <v>14</v>
      </c>
      <c r="D2035" t="s">
        <v>48</v>
      </c>
      <c r="E2035">
        <v>12</v>
      </c>
      <c r="F2035" t="s">
        <v>32</v>
      </c>
      <c r="G2035" t="s">
        <v>33</v>
      </c>
      <c r="H2035" t="s">
        <v>53</v>
      </c>
      <c r="I2035" t="s">
        <v>19</v>
      </c>
      <c r="J2035" t="s">
        <v>26</v>
      </c>
      <c r="K2035" s="2">
        <v>12500</v>
      </c>
      <c r="L2035" s="3">
        <v>14.1</v>
      </c>
      <c r="M2035" s="3">
        <v>81.099999999999994</v>
      </c>
      <c r="N2035" s="3">
        <v>252.5</v>
      </c>
      <c r="O2035" s="2">
        <v>581</v>
      </c>
      <c r="P2035">
        <v>1</v>
      </c>
      <c r="Q2035" t="s">
        <v>17</v>
      </c>
      <c r="R2035" s="4">
        <v>103.04</v>
      </c>
      <c r="S2035" s="4">
        <v>41.26</v>
      </c>
      <c r="T2035" t="s">
        <v>34</v>
      </c>
      <c r="U2035" s="4">
        <v>10.61</v>
      </c>
      <c r="V2035" s="4">
        <v>8.2430000000000003</v>
      </c>
      <c r="W2035" s="4">
        <v>61.78</v>
      </c>
    </row>
    <row r="2036" spans="1:23" ht="15" customHeight="1" x14ac:dyDescent="0.25">
      <c r="A2036">
        <v>340</v>
      </c>
      <c r="B2036" s="1">
        <v>45994.833333333343</v>
      </c>
      <c r="C2036">
        <v>20</v>
      </c>
      <c r="D2036" t="s">
        <v>48</v>
      </c>
      <c r="E2036">
        <v>12</v>
      </c>
      <c r="F2036" t="s">
        <v>32</v>
      </c>
      <c r="G2036" t="s">
        <v>33</v>
      </c>
      <c r="H2036" t="s">
        <v>53</v>
      </c>
      <c r="I2036" t="s">
        <v>19</v>
      </c>
      <c r="J2036" t="s">
        <v>26</v>
      </c>
      <c r="K2036" s="2">
        <v>12500</v>
      </c>
      <c r="L2036" s="3"/>
      <c r="M2036" s="3">
        <v>86.5</v>
      </c>
      <c r="N2036" s="3">
        <v>0</v>
      </c>
      <c r="O2036" s="2">
        <v>63</v>
      </c>
      <c r="P2036">
        <v>1</v>
      </c>
      <c r="Q2036" t="s">
        <v>17</v>
      </c>
      <c r="R2036" s="4">
        <v>48.28</v>
      </c>
      <c r="S2036" s="4">
        <v>0</v>
      </c>
      <c r="T2036" t="s">
        <v>37</v>
      </c>
      <c r="U2036" s="4">
        <v>12.53</v>
      </c>
      <c r="V2036" s="4">
        <v>3.8620000000000001</v>
      </c>
      <c r="W2036" s="4">
        <v>48.28</v>
      </c>
    </row>
    <row r="2037" spans="1:23" ht="15" customHeight="1" x14ac:dyDescent="0.25">
      <c r="A2037">
        <v>708</v>
      </c>
      <c r="B2037" s="1">
        <v>45994.833333333343</v>
      </c>
      <c r="C2037">
        <v>20</v>
      </c>
      <c r="D2037" t="s">
        <v>48</v>
      </c>
      <c r="E2037">
        <v>12</v>
      </c>
      <c r="F2037" t="s">
        <v>32</v>
      </c>
      <c r="G2037" t="s">
        <v>33</v>
      </c>
      <c r="H2037" t="s">
        <v>54</v>
      </c>
      <c r="I2037" t="s">
        <v>16</v>
      </c>
      <c r="J2037" t="s">
        <v>24</v>
      </c>
      <c r="K2037" s="2">
        <v>8600</v>
      </c>
      <c r="L2037" s="3">
        <v>7.9</v>
      </c>
      <c r="M2037" s="3">
        <v>91</v>
      </c>
      <c r="N2037" s="3">
        <v>0</v>
      </c>
      <c r="O2037" s="2">
        <v>46</v>
      </c>
      <c r="P2037">
        <v>1</v>
      </c>
      <c r="Q2037" t="s">
        <v>17</v>
      </c>
      <c r="R2037" s="4">
        <v>25.86</v>
      </c>
      <c r="S2037" s="4">
        <v>0</v>
      </c>
      <c r="T2037" t="s">
        <v>37</v>
      </c>
      <c r="U2037" s="4">
        <v>6.66</v>
      </c>
      <c r="V2037" s="4">
        <v>3.0070000000000001</v>
      </c>
      <c r="W2037" s="4">
        <v>25.86</v>
      </c>
    </row>
    <row r="2038" spans="1:23" ht="15" customHeight="1" x14ac:dyDescent="0.25">
      <c r="A2038">
        <v>1444</v>
      </c>
      <c r="B2038" s="1">
        <v>45994.833333333343</v>
      </c>
      <c r="C2038">
        <v>20</v>
      </c>
      <c r="D2038" t="s">
        <v>48</v>
      </c>
      <c r="E2038">
        <v>12</v>
      </c>
      <c r="F2038" t="s">
        <v>32</v>
      </c>
      <c r="G2038" t="s">
        <v>33</v>
      </c>
      <c r="H2038" t="s">
        <v>51</v>
      </c>
      <c r="I2038" t="s">
        <v>25</v>
      </c>
      <c r="J2038" t="s">
        <v>15</v>
      </c>
      <c r="K2038" s="2">
        <v>17400</v>
      </c>
      <c r="L2038" s="3">
        <v>13.1</v>
      </c>
      <c r="M2038" s="3">
        <v>88.2</v>
      </c>
      <c r="N2038" s="3">
        <v>0</v>
      </c>
      <c r="O2038" s="2">
        <v>1435</v>
      </c>
      <c r="P2038">
        <v>1</v>
      </c>
      <c r="Q2038" t="s">
        <v>17</v>
      </c>
      <c r="R2038" s="4">
        <v>289.33</v>
      </c>
      <c r="S2038" s="4">
        <v>0</v>
      </c>
      <c r="T2038" t="s">
        <v>37</v>
      </c>
      <c r="U2038" s="4">
        <v>73.72</v>
      </c>
      <c r="V2038" s="4">
        <v>16.628</v>
      </c>
      <c r="W2038" s="4">
        <v>289.33</v>
      </c>
    </row>
    <row r="2039" spans="1:23" ht="15" customHeight="1" x14ac:dyDescent="0.25">
      <c r="A2039">
        <v>2180</v>
      </c>
      <c r="B2039" s="1">
        <v>45994.833333333343</v>
      </c>
      <c r="C2039">
        <v>20</v>
      </c>
      <c r="D2039" t="s">
        <v>48</v>
      </c>
      <c r="E2039">
        <v>12</v>
      </c>
      <c r="F2039" t="s">
        <v>32</v>
      </c>
      <c r="G2039" t="s">
        <v>33</v>
      </c>
      <c r="H2039" t="s">
        <v>52</v>
      </c>
      <c r="I2039" t="s">
        <v>13</v>
      </c>
      <c r="J2039" t="s">
        <v>21</v>
      </c>
      <c r="K2039" s="2">
        <v>9800</v>
      </c>
      <c r="L2039" s="3">
        <v>13.9</v>
      </c>
      <c r="M2039" s="3">
        <v>79.7</v>
      </c>
      <c r="N2039" s="3">
        <v>0</v>
      </c>
      <c r="O2039" s="2">
        <v>338</v>
      </c>
      <c r="P2039">
        <v>1</v>
      </c>
      <c r="Q2039" t="s">
        <v>17</v>
      </c>
      <c r="R2039" s="4">
        <v>100.62</v>
      </c>
      <c r="S2039" s="4">
        <v>0</v>
      </c>
      <c r="T2039" t="s">
        <v>37</v>
      </c>
      <c r="U2039" s="4">
        <v>26.04</v>
      </c>
      <c r="V2039" s="4">
        <v>10.266999999999999</v>
      </c>
      <c r="W2039" s="4">
        <v>100.62</v>
      </c>
    </row>
    <row r="2040" spans="1:23" ht="15" customHeight="1" x14ac:dyDescent="0.25">
      <c r="A2040">
        <v>1076</v>
      </c>
      <c r="B2040" s="1">
        <v>45994.833333333343</v>
      </c>
      <c r="C2040">
        <v>20</v>
      </c>
      <c r="D2040" t="s">
        <v>48</v>
      </c>
      <c r="E2040">
        <v>12</v>
      </c>
      <c r="F2040" t="s">
        <v>32</v>
      </c>
      <c r="G2040" t="s">
        <v>33</v>
      </c>
      <c r="H2040" t="s">
        <v>50</v>
      </c>
      <c r="I2040" t="s">
        <v>22</v>
      </c>
      <c r="J2040" t="s">
        <v>12</v>
      </c>
      <c r="K2040" s="2">
        <v>21000</v>
      </c>
      <c r="L2040" s="3">
        <v>12.8</v>
      </c>
      <c r="M2040" s="3">
        <v>63</v>
      </c>
      <c r="N2040" s="3">
        <v>0</v>
      </c>
      <c r="O2040" s="2">
        <v>403</v>
      </c>
      <c r="P2040">
        <v>1</v>
      </c>
      <c r="Q2040" t="s">
        <v>17</v>
      </c>
      <c r="R2040" s="4">
        <v>299.83999999999997</v>
      </c>
      <c r="S2040" s="4">
        <v>0</v>
      </c>
      <c r="T2040" t="s">
        <v>37</v>
      </c>
      <c r="U2040" s="4">
        <v>75.41</v>
      </c>
      <c r="V2040" s="4">
        <v>14.278</v>
      </c>
      <c r="W2040" s="4">
        <v>299.83999999999997</v>
      </c>
    </row>
    <row r="2041" spans="1:23" ht="15" customHeight="1" x14ac:dyDescent="0.25">
      <c r="A2041">
        <v>1812</v>
      </c>
      <c r="B2041" s="1">
        <v>45994.833333333343</v>
      </c>
      <c r="C2041">
        <v>20</v>
      </c>
      <c r="D2041" t="s">
        <v>48</v>
      </c>
      <c r="E2041">
        <v>12</v>
      </c>
      <c r="F2041" t="s">
        <v>32</v>
      </c>
      <c r="G2041" t="s">
        <v>33</v>
      </c>
      <c r="H2041" t="s">
        <v>49</v>
      </c>
      <c r="I2041" t="s">
        <v>27</v>
      </c>
      <c r="J2041" t="s">
        <v>18</v>
      </c>
      <c r="K2041" s="2">
        <v>26000</v>
      </c>
      <c r="L2041" s="3">
        <v>7.8</v>
      </c>
      <c r="M2041" s="3">
        <v>77.3</v>
      </c>
      <c r="N2041" s="3">
        <v>0</v>
      </c>
      <c r="O2041" s="2">
        <v>156</v>
      </c>
      <c r="P2041">
        <v>1</v>
      </c>
      <c r="Q2041" t="s">
        <v>17</v>
      </c>
      <c r="R2041" s="4">
        <v>1963.38</v>
      </c>
      <c r="S2041" s="4">
        <v>0</v>
      </c>
      <c r="T2041" t="s">
        <v>37</v>
      </c>
      <c r="U2041" s="4">
        <v>75.12</v>
      </c>
      <c r="V2041" s="4">
        <v>75.515000000000001</v>
      </c>
      <c r="W2041" s="4">
        <v>1963.38</v>
      </c>
    </row>
    <row r="2042" spans="1:23" ht="15" customHeight="1" x14ac:dyDescent="0.25">
      <c r="A2042">
        <v>709</v>
      </c>
      <c r="B2042" s="1">
        <v>45998</v>
      </c>
      <c r="C2042">
        <v>0</v>
      </c>
      <c r="D2042" t="s">
        <v>55</v>
      </c>
      <c r="E2042">
        <v>12</v>
      </c>
      <c r="F2042" t="s">
        <v>32</v>
      </c>
      <c r="G2042" t="s">
        <v>36</v>
      </c>
      <c r="H2042" t="s">
        <v>54</v>
      </c>
      <c r="I2042" t="s">
        <v>16</v>
      </c>
      <c r="J2042" t="s">
        <v>24</v>
      </c>
      <c r="K2042" s="2">
        <v>8600</v>
      </c>
      <c r="L2042" s="3">
        <v>5.2</v>
      </c>
      <c r="M2042" s="3">
        <v>96.5</v>
      </c>
      <c r="N2042" s="3">
        <v>0</v>
      </c>
      <c r="O2042" s="2">
        <v>46</v>
      </c>
      <c r="P2042">
        <v>0</v>
      </c>
      <c r="Q2042" t="s">
        <v>14</v>
      </c>
      <c r="R2042" s="4">
        <v>15.27</v>
      </c>
      <c r="S2042" s="4">
        <v>0</v>
      </c>
      <c r="T2042" t="s">
        <v>31</v>
      </c>
      <c r="U2042" s="4">
        <v>1.61</v>
      </c>
      <c r="V2042" s="4">
        <v>1.776</v>
      </c>
      <c r="W2042" s="4">
        <v>15.27</v>
      </c>
    </row>
    <row r="2043" spans="1:23" ht="15" customHeight="1" x14ac:dyDescent="0.25">
      <c r="A2043">
        <v>341</v>
      </c>
      <c r="B2043" s="1">
        <v>45998</v>
      </c>
      <c r="C2043">
        <v>0</v>
      </c>
      <c r="D2043" t="s">
        <v>55</v>
      </c>
      <c r="E2043">
        <v>12</v>
      </c>
      <c r="F2043" t="s">
        <v>32</v>
      </c>
      <c r="G2043" t="s">
        <v>36</v>
      </c>
      <c r="H2043" t="s">
        <v>53</v>
      </c>
      <c r="I2043" t="s">
        <v>19</v>
      </c>
      <c r="J2043" t="s">
        <v>26</v>
      </c>
      <c r="K2043" s="2">
        <v>12500</v>
      </c>
      <c r="L2043" s="3">
        <v>-2.9</v>
      </c>
      <c r="M2043" s="3">
        <v>75.400000000000006</v>
      </c>
      <c r="N2043" s="3">
        <v>0</v>
      </c>
      <c r="O2043" s="2">
        <v>3</v>
      </c>
      <c r="P2043">
        <v>0</v>
      </c>
      <c r="Q2043" t="s">
        <v>14</v>
      </c>
      <c r="R2043" s="4">
        <v>23.56</v>
      </c>
      <c r="S2043" s="4">
        <v>0</v>
      </c>
      <c r="T2043" t="s">
        <v>31</v>
      </c>
      <c r="U2043" s="4">
        <v>2.41</v>
      </c>
      <c r="V2043" s="4">
        <v>1.885</v>
      </c>
      <c r="W2043" s="4">
        <v>23.56</v>
      </c>
    </row>
    <row r="2044" spans="1:23" ht="15" customHeight="1" x14ac:dyDescent="0.25">
      <c r="A2044">
        <v>1813</v>
      </c>
      <c r="B2044" s="1">
        <v>45998</v>
      </c>
      <c r="C2044">
        <v>0</v>
      </c>
      <c r="D2044" t="s">
        <v>55</v>
      </c>
      <c r="E2044">
        <v>12</v>
      </c>
      <c r="F2044" t="s">
        <v>32</v>
      </c>
      <c r="G2044" t="s">
        <v>36</v>
      </c>
      <c r="H2044" t="s">
        <v>49</v>
      </c>
      <c r="I2044" t="s">
        <v>27</v>
      </c>
      <c r="J2044" t="s">
        <v>18</v>
      </c>
      <c r="K2044" s="2">
        <v>26000</v>
      </c>
      <c r="L2044" s="3">
        <v>4.0999999999999996</v>
      </c>
      <c r="M2044" s="3">
        <v>77.2</v>
      </c>
      <c r="N2044" s="3">
        <v>0</v>
      </c>
      <c r="O2044" s="2">
        <v>21</v>
      </c>
      <c r="P2044">
        <v>1</v>
      </c>
      <c r="Q2044" t="s">
        <v>17</v>
      </c>
      <c r="R2044" s="4">
        <v>97.37</v>
      </c>
      <c r="S2044" s="4">
        <v>0</v>
      </c>
      <c r="T2044" t="s">
        <v>31</v>
      </c>
      <c r="U2044" s="4">
        <v>10.18</v>
      </c>
      <c r="V2044" s="4">
        <v>3.7450000000000001</v>
      </c>
      <c r="W2044" s="4">
        <v>97.37</v>
      </c>
    </row>
    <row r="2045" spans="1:23" ht="15" customHeight="1" x14ac:dyDescent="0.25">
      <c r="A2045">
        <v>1445</v>
      </c>
      <c r="B2045" s="1">
        <v>45998</v>
      </c>
      <c r="C2045">
        <v>0</v>
      </c>
      <c r="D2045" t="s">
        <v>55</v>
      </c>
      <c r="E2045">
        <v>12</v>
      </c>
      <c r="F2045" t="s">
        <v>32</v>
      </c>
      <c r="G2045" t="s">
        <v>36</v>
      </c>
      <c r="H2045" t="s">
        <v>51</v>
      </c>
      <c r="I2045" t="s">
        <v>25</v>
      </c>
      <c r="J2045" t="s">
        <v>15</v>
      </c>
      <c r="K2045" s="2">
        <v>17400</v>
      </c>
      <c r="L2045" s="3">
        <v>8.6999999999999993</v>
      </c>
      <c r="M2045" s="3">
        <v>87.5</v>
      </c>
      <c r="N2045" s="3">
        <v>0</v>
      </c>
      <c r="O2045" s="2">
        <v>17</v>
      </c>
      <c r="P2045">
        <v>1</v>
      </c>
      <c r="Q2045" t="s">
        <v>17</v>
      </c>
      <c r="R2045" s="4">
        <v>56.83</v>
      </c>
      <c r="S2045" s="4">
        <v>0</v>
      </c>
      <c r="T2045" t="s">
        <v>31</v>
      </c>
      <c r="U2045" s="4">
        <v>5.89</v>
      </c>
      <c r="V2045" s="4">
        <v>3.266</v>
      </c>
      <c r="W2045" s="4">
        <v>56.83</v>
      </c>
    </row>
    <row r="2046" spans="1:23" ht="15" customHeight="1" x14ac:dyDescent="0.25">
      <c r="A2046">
        <v>1077</v>
      </c>
      <c r="B2046" s="1">
        <v>45998</v>
      </c>
      <c r="C2046">
        <v>0</v>
      </c>
      <c r="D2046" t="s">
        <v>55</v>
      </c>
      <c r="E2046">
        <v>12</v>
      </c>
      <c r="F2046" t="s">
        <v>32</v>
      </c>
      <c r="G2046" t="s">
        <v>36</v>
      </c>
      <c r="H2046" t="s">
        <v>50</v>
      </c>
      <c r="I2046" t="s">
        <v>22</v>
      </c>
      <c r="J2046" t="s">
        <v>12</v>
      </c>
      <c r="K2046" s="2">
        <v>21000</v>
      </c>
      <c r="L2046" s="3">
        <v>6.2</v>
      </c>
      <c r="M2046" s="3">
        <v>86.7</v>
      </c>
      <c r="N2046" s="3">
        <v>0</v>
      </c>
      <c r="O2046" s="2">
        <v>234</v>
      </c>
      <c r="P2046">
        <v>1</v>
      </c>
      <c r="Q2046" t="s">
        <v>17</v>
      </c>
      <c r="R2046" s="4">
        <v>189.1</v>
      </c>
      <c r="S2046" s="4">
        <v>0</v>
      </c>
      <c r="T2046" t="s">
        <v>31</v>
      </c>
      <c r="U2046" s="4">
        <v>19.57</v>
      </c>
      <c r="V2046" s="4">
        <v>9.0050000000000008</v>
      </c>
      <c r="W2046" s="4">
        <v>189.1</v>
      </c>
    </row>
    <row r="2047" spans="1:23" ht="15" customHeight="1" x14ac:dyDescent="0.25">
      <c r="A2047">
        <v>2181</v>
      </c>
      <c r="B2047" s="1">
        <v>45998</v>
      </c>
      <c r="C2047">
        <v>0</v>
      </c>
      <c r="D2047" t="s">
        <v>55</v>
      </c>
      <c r="E2047">
        <v>12</v>
      </c>
      <c r="F2047" t="s">
        <v>32</v>
      </c>
      <c r="G2047" t="s">
        <v>36</v>
      </c>
      <c r="H2047" t="s">
        <v>52</v>
      </c>
      <c r="I2047" t="s">
        <v>13</v>
      </c>
      <c r="J2047" t="s">
        <v>21</v>
      </c>
      <c r="K2047" s="2">
        <v>9800</v>
      </c>
      <c r="L2047" s="3">
        <v>6.1</v>
      </c>
      <c r="M2047" s="3">
        <v>91.6</v>
      </c>
      <c r="N2047" s="3">
        <v>0</v>
      </c>
      <c r="O2047" s="2">
        <v>312</v>
      </c>
      <c r="P2047">
        <v>1</v>
      </c>
      <c r="Q2047" t="s">
        <v>17</v>
      </c>
      <c r="R2047" s="4">
        <v>90.17</v>
      </c>
      <c r="S2047" s="4">
        <v>0</v>
      </c>
      <c r="T2047" t="s">
        <v>31</v>
      </c>
      <c r="U2047" s="4"/>
      <c r="V2047" s="4">
        <v>9.2010000000000005</v>
      </c>
      <c r="W2047" s="4">
        <v>90.17</v>
      </c>
    </row>
    <row r="2048" spans="1:23" ht="15" customHeight="1" x14ac:dyDescent="0.25">
      <c r="A2048">
        <v>1446</v>
      </c>
      <c r="B2048" s="1">
        <v>45998.333333333343</v>
      </c>
      <c r="C2048">
        <v>8</v>
      </c>
      <c r="D2048" t="s">
        <v>55</v>
      </c>
      <c r="E2048">
        <v>12</v>
      </c>
      <c r="F2048" t="s">
        <v>32</v>
      </c>
      <c r="G2048" t="s">
        <v>36</v>
      </c>
      <c r="H2048" t="s">
        <v>51</v>
      </c>
      <c r="I2048" t="s">
        <v>25</v>
      </c>
      <c r="J2048" t="s">
        <v>15</v>
      </c>
      <c r="K2048" s="2">
        <v>17400</v>
      </c>
      <c r="L2048" s="3">
        <v>9.8000000000000007</v>
      </c>
      <c r="M2048" s="3">
        <v>78.900000000000006</v>
      </c>
      <c r="N2048" s="3">
        <v>0</v>
      </c>
      <c r="O2048" s="2">
        <v>139</v>
      </c>
      <c r="P2048">
        <v>1</v>
      </c>
      <c r="Q2048" t="s">
        <v>17</v>
      </c>
      <c r="R2048" s="4">
        <v>64.75</v>
      </c>
      <c r="S2048" s="4">
        <v>0</v>
      </c>
      <c r="T2048" t="s">
        <v>31</v>
      </c>
      <c r="U2048" s="4">
        <v>6.9</v>
      </c>
      <c r="V2048" s="4">
        <v>3.7210000000000001</v>
      </c>
      <c r="W2048" s="4">
        <v>64.75</v>
      </c>
    </row>
    <row r="2049" spans="1:23" ht="15" customHeight="1" x14ac:dyDescent="0.25">
      <c r="A2049">
        <v>2182</v>
      </c>
      <c r="B2049" s="1">
        <v>45998.333333333343</v>
      </c>
      <c r="C2049">
        <v>8</v>
      </c>
      <c r="D2049" t="s">
        <v>55</v>
      </c>
      <c r="E2049">
        <v>12</v>
      </c>
      <c r="F2049" t="s">
        <v>32</v>
      </c>
      <c r="G2049" t="s">
        <v>36</v>
      </c>
      <c r="H2049" t="s">
        <v>52</v>
      </c>
      <c r="I2049" t="s">
        <v>13</v>
      </c>
      <c r="J2049" t="s">
        <v>21</v>
      </c>
      <c r="K2049" s="2">
        <v>9800</v>
      </c>
      <c r="L2049" s="3">
        <v>11</v>
      </c>
      <c r="M2049" s="3">
        <v>88.3</v>
      </c>
      <c r="N2049" s="3">
        <v>0</v>
      </c>
      <c r="O2049" s="2">
        <v>114</v>
      </c>
      <c r="P2049">
        <v>1</v>
      </c>
      <c r="Q2049" t="s">
        <v>17</v>
      </c>
      <c r="R2049" s="4">
        <v>49.13</v>
      </c>
      <c r="S2049" s="4">
        <v>0</v>
      </c>
      <c r="T2049" t="s">
        <v>31</v>
      </c>
      <c r="U2049" s="4">
        <v>5.17</v>
      </c>
      <c r="V2049" s="4">
        <v>5.0129999999999999</v>
      </c>
      <c r="W2049" s="4">
        <v>49.13</v>
      </c>
    </row>
    <row r="2050" spans="1:23" ht="15" customHeight="1" x14ac:dyDescent="0.25">
      <c r="A2050">
        <v>1078</v>
      </c>
      <c r="B2050" s="1">
        <v>45998.333333333343</v>
      </c>
      <c r="C2050">
        <v>8</v>
      </c>
      <c r="D2050" t="s">
        <v>55</v>
      </c>
      <c r="E2050">
        <v>12</v>
      </c>
      <c r="F2050" t="s">
        <v>32</v>
      </c>
      <c r="G2050" t="s">
        <v>36</v>
      </c>
      <c r="H2050" t="s">
        <v>50</v>
      </c>
      <c r="I2050" t="s">
        <v>22</v>
      </c>
      <c r="J2050" t="s">
        <v>12</v>
      </c>
      <c r="K2050" s="2">
        <v>21000</v>
      </c>
      <c r="L2050" s="3">
        <v>8.4</v>
      </c>
      <c r="M2050" s="3">
        <v>77.3</v>
      </c>
      <c r="N2050" s="3">
        <v>0</v>
      </c>
      <c r="O2050" s="2">
        <v>412</v>
      </c>
      <c r="P2050">
        <v>1</v>
      </c>
      <c r="Q2050" t="s">
        <v>17</v>
      </c>
      <c r="R2050" s="4">
        <v>322.5</v>
      </c>
      <c r="S2050" s="4">
        <v>0</v>
      </c>
      <c r="T2050" t="s">
        <v>31</v>
      </c>
      <c r="U2050" s="4">
        <v>34.22</v>
      </c>
      <c r="V2050" s="4">
        <v>15.356999999999999</v>
      </c>
      <c r="W2050" s="4">
        <v>322.5</v>
      </c>
    </row>
    <row r="2051" spans="1:23" ht="15" customHeight="1" x14ac:dyDescent="0.25">
      <c r="A2051">
        <v>1814</v>
      </c>
      <c r="B2051" s="1">
        <v>45998.333333333343</v>
      </c>
      <c r="C2051">
        <v>8</v>
      </c>
      <c r="D2051" t="s">
        <v>55</v>
      </c>
      <c r="E2051">
        <v>12</v>
      </c>
      <c r="F2051" t="s">
        <v>32</v>
      </c>
      <c r="G2051" t="s">
        <v>36</v>
      </c>
      <c r="H2051" t="s">
        <v>49</v>
      </c>
      <c r="I2051" t="s">
        <v>27</v>
      </c>
      <c r="J2051" t="s">
        <v>18</v>
      </c>
      <c r="K2051" s="2">
        <v>26000</v>
      </c>
      <c r="L2051" s="3">
        <v>5.8</v>
      </c>
      <c r="M2051" s="3">
        <v>65</v>
      </c>
      <c r="N2051" s="3">
        <v>0</v>
      </c>
      <c r="O2051" s="2">
        <v>82</v>
      </c>
      <c r="P2051">
        <v>1</v>
      </c>
      <c r="Q2051" t="s">
        <v>17</v>
      </c>
      <c r="R2051" s="4">
        <v>145.13</v>
      </c>
      <c r="S2051" s="4">
        <v>0</v>
      </c>
      <c r="T2051" t="s">
        <v>31</v>
      </c>
      <c r="U2051" s="4">
        <v>15.05</v>
      </c>
      <c r="V2051" s="4">
        <v>5.5819999999999999</v>
      </c>
      <c r="W2051" s="4">
        <v>145.13</v>
      </c>
    </row>
    <row r="2052" spans="1:23" ht="15" customHeight="1" x14ac:dyDescent="0.25">
      <c r="A2052">
        <v>710</v>
      </c>
      <c r="B2052" s="1">
        <v>45998.333333333343</v>
      </c>
      <c r="C2052">
        <v>8</v>
      </c>
      <c r="D2052" t="s">
        <v>55</v>
      </c>
      <c r="E2052">
        <v>12</v>
      </c>
      <c r="F2052" t="s">
        <v>32</v>
      </c>
      <c r="G2052" t="s">
        <v>36</v>
      </c>
      <c r="H2052" t="s">
        <v>54</v>
      </c>
      <c r="I2052" t="s">
        <v>16</v>
      </c>
      <c r="J2052" t="s">
        <v>24</v>
      </c>
      <c r="K2052" s="2">
        <v>8600</v>
      </c>
      <c r="L2052" s="3">
        <v>6.2</v>
      </c>
      <c r="M2052" s="3">
        <v>95.1</v>
      </c>
      <c r="N2052" s="3">
        <v>0</v>
      </c>
      <c r="O2052" s="2">
        <v>0</v>
      </c>
      <c r="P2052">
        <v>0</v>
      </c>
      <c r="Q2052" t="s">
        <v>14</v>
      </c>
      <c r="R2052" s="4">
        <v>12.03</v>
      </c>
      <c r="S2052" s="4">
        <v>0</v>
      </c>
      <c r="T2052" t="s">
        <v>31</v>
      </c>
      <c r="U2052" s="4">
        <v>1.27</v>
      </c>
      <c r="V2052" s="4">
        <v>1.399</v>
      </c>
      <c r="W2052" s="4">
        <v>12.03</v>
      </c>
    </row>
    <row r="2053" spans="1:23" ht="15" customHeight="1" x14ac:dyDescent="0.25">
      <c r="A2053">
        <v>342</v>
      </c>
      <c r="B2053" s="1">
        <v>45998.333333333343</v>
      </c>
      <c r="C2053">
        <v>8</v>
      </c>
      <c r="D2053" t="s">
        <v>55</v>
      </c>
      <c r="E2053">
        <v>12</v>
      </c>
      <c r="F2053" t="s">
        <v>32</v>
      </c>
      <c r="G2053" t="s">
        <v>36</v>
      </c>
      <c r="H2053" t="s">
        <v>53</v>
      </c>
      <c r="I2053" t="s">
        <v>19</v>
      </c>
      <c r="J2053" t="s">
        <v>26</v>
      </c>
      <c r="K2053" s="2">
        <v>12500</v>
      </c>
      <c r="L2053" s="3">
        <v>4.5</v>
      </c>
      <c r="M2053" s="3">
        <v>59.2</v>
      </c>
      <c r="N2053" s="3">
        <v>0</v>
      </c>
      <c r="O2053" s="2">
        <v>47</v>
      </c>
      <c r="P2053">
        <v>0</v>
      </c>
      <c r="Q2053" t="s">
        <v>14</v>
      </c>
      <c r="R2053" s="4">
        <v>27.43</v>
      </c>
      <c r="S2053" s="4">
        <v>0</v>
      </c>
      <c r="T2053" t="s">
        <v>31</v>
      </c>
      <c r="U2053" s="4">
        <v>2.9</v>
      </c>
      <c r="V2053" s="4">
        <v>2.194</v>
      </c>
      <c r="W2053" s="4">
        <v>27.43</v>
      </c>
    </row>
    <row r="2054" spans="1:23" ht="15" customHeight="1" x14ac:dyDescent="0.25">
      <c r="A2054">
        <v>1447</v>
      </c>
      <c r="B2054" s="1">
        <v>45998.583333333343</v>
      </c>
      <c r="C2054">
        <v>14</v>
      </c>
      <c r="D2054" t="s">
        <v>55</v>
      </c>
      <c r="E2054">
        <v>12</v>
      </c>
      <c r="F2054" t="s">
        <v>32</v>
      </c>
      <c r="G2054" t="s">
        <v>36</v>
      </c>
      <c r="H2054" t="s">
        <v>51</v>
      </c>
      <c r="I2054" t="s">
        <v>25</v>
      </c>
      <c r="J2054" t="s">
        <v>15</v>
      </c>
      <c r="K2054" s="2">
        <v>17400</v>
      </c>
      <c r="L2054" s="3">
        <v>14.6</v>
      </c>
      <c r="M2054" s="3">
        <v>69.8</v>
      </c>
      <c r="N2054" s="3">
        <v>498.8</v>
      </c>
      <c r="O2054" s="2">
        <v>1624</v>
      </c>
      <c r="P2054">
        <v>1</v>
      </c>
      <c r="Q2054" t="s">
        <v>23</v>
      </c>
      <c r="R2054" s="4">
        <v>238.65</v>
      </c>
      <c r="S2054" s="4">
        <v>58.03</v>
      </c>
      <c r="T2054" t="s">
        <v>31</v>
      </c>
      <c r="U2054" s="4">
        <v>19.11</v>
      </c>
      <c r="V2054" s="4">
        <v>13.715999999999999</v>
      </c>
      <c r="W2054" s="4">
        <v>180.62</v>
      </c>
    </row>
    <row r="2055" spans="1:23" ht="15" customHeight="1" x14ac:dyDescent="0.25">
      <c r="A2055">
        <v>1815</v>
      </c>
      <c r="B2055" s="1">
        <v>45998.583333333343</v>
      </c>
      <c r="C2055">
        <v>14</v>
      </c>
      <c r="D2055" t="s">
        <v>55</v>
      </c>
      <c r="E2055">
        <v>12</v>
      </c>
      <c r="F2055" t="s">
        <v>32</v>
      </c>
      <c r="G2055" t="s">
        <v>36</v>
      </c>
      <c r="H2055" t="s">
        <v>49</v>
      </c>
      <c r="I2055" t="s">
        <v>27</v>
      </c>
      <c r="J2055" t="s">
        <v>18</v>
      </c>
      <c r="K2055" s="2">
        <v>26000</v>
      </c>
      <c r="L2055" s="3">
        <v>13.4</v>
      </c>
      <c r="M2055" s="3">
        <v>71.099999999999994</v>
      </c>
      <c r="N2055" s="3">
        <v>387.7</v>
      </c>
      <c r="O2055" s="2">
        <v>55</v>
      </c>
      <c r="P2055">
        <v>1</v>
      </c>
      <c r="Q2055" t="s">
        <v>17</v>
      </c>
      <c r="R2055" s="4">
        <v>92.21</v>
      </c>
      <c r="S2055" s="4">
        <v>102.26</v>
      </c>
      <c r="T2055" t="s">
        <v>31</v>
      </c>
      <c r="U2055" s="4">
        <v>-0.42</v>
      </c>
      <c r="V2055" s="4">
        <v>3.5470000000000002</v>
      </c>
      <c r="W2055" s="4">
        <v>0</v>
      </c>
    </row>
    <row r="2056" spans="1:23" ht="15" customHeight="1" x14ac:dyDescent="0.25">
      <c r="A2056">
        <v>1079</v>
      </c>
      <c r="B2056" s="1">
        <v>45998.583333333343</v>
      </c>
      <c r="C2056">
        <v>14</v>
      </c>
      <c r="D2056" t="s">
        <v>55</v>
      </c>
      <c r="E2056">
        <v>12</v>
      </c>
      <c r="F2056" t="s">
        <v>32</v>
      </c>
      <c r="G2056" t="s">
        <v>36</v>
      </c>
      <c r="H2056" t="s">
        <v>50</v>
      </c>
      <c r="I2056" t="s">
        <v>22</v>
      </c>
      <c r="J2056" t="s">
        <v>12</v>
      </c>
      <c r="K2056" s="2">
        <v>21000</v>
      </c>
      <c r="L2056" s="3">
        <v>15.3</v>
      </c>
      <c r="M2056" s="3">
        <v>77.900000000000006</v>
      </c>
      <c r="N2056" s="3">
        <v>516.79999999999995</v>
      </c>
      <c r="O2056" s="2">
        <v>373</v>
      </c>
      <c r="P2056">
        <v>1</v>
      </c>
      <c r="Q2056" t="s">
        <v>23</v>
      </c>
      <c r="R2056" s="4">
        <v>198.89</v>
      </c>
      <c r="S2056" s="4">
        <v>106.18</v>
      </c>
      <c r="T2056" t="s">
        <v>31</v>
      </c>
      <c r="U2056" s="4">
        <v>9.6199999999999992</v>
      </c>
      <c r="V2056" s="4">
        <v>9.4710000000000001</v>
      </c>
      <c r="W2056" s="4">
        <v>92.71</v>
      </c>
    </row>
    <row r="2057" spans="1:23" ht="15" customHeight="1" x14ac:dyDescent="0.25">
      <c r="A2057">
        <v>2183</v>
      </c>
      <c r="B2057" s="1">
        <v>45998.583333333343</v>
      </c>
      <c r="C2057">
        <v>14</v>
      </c>
      <c r="D2057" t="s">
        <v>55</v>
      </c>
      <c r="E2057">
        <v>12</v>
      </c>
      <c r="F2057" t="s">
        <v>32</v>
      </c>
      <c r="G2057" t="s">
        <v>36</v>
      </c>
      <c r="H2057" t="s">
        <v>52</v>
      </c>
      <c r="I2057" t="s">
        <v>13</v>
      </c>
      <c r="J2057" t="s">
        <v>21</v>
      </c>
      <c r="K2057" s="2">
        <v>9800</v>
      </c>
      <c r="L2057" s="3">
        <v>15.1</v>
      </c>
      <c r="M2057" s="3">
        <v>96.4</v>
      </c>
      <c r="N2057" s="3">
        <v>471.3</v>
      </c>
      <c r="O2057" s="2">
        <v>127</v>
      </c>
      <c r="P2057">
        <v>1</v>
      </c>
      <c r="Q2057" t="s">
        <v>23</v>
      </c>
      <c r="R2057" s="4">
        <v>28.8</v>
      </c>
      <c r="S2057" s="4">
        <v>0</v>
      </c>
      <c r="T2057" t="s">
        <v>31</v>
      </c>
      <c r="U2057" s="4">
        <v>3.09</v>
      </c>
      <c r="V2057" s="4">
        <v>2.9390000000000001</v>
      </c>
      <c r="W2057" s="4">
        <v>28.8</v>
      </c>
    </row>
    <row r="2058" spans="1:23" ht="15" customHeight="1" x14ac:dyDescent="0.25">
      <c r="A2058">
        <v>343</v>
      </c>
      <c r="B2058" s="1">
        <v>45998.583333333343</v>
      </c>
      <c r="C2058">
        <v>14</v>
      </c>
      <c r="D2058" t="s">
        <v>55</v>
      </c>
      <c r="E2058">
        <v>12</v>
      </c>
      <c r="F2058" t="s">
        <v>32</v>
      </c>
      <c r="G2058" t="s">
        <v>36</v>
      </c>
      <c r="H2058" t="s">
        <v>53</v>
      </c>
      <c r="I2058" t="s">
        <v>19</v>
      </c>
      <c r="J2058" t="s">
        <v>26</v>
      </c>
      <c r="K2058" s="2">
        <v>12500</v>
      </c>
      <c r="L2058" s="3">
        <v>13.7</v>
      </c>
      <c r="M2058" s="3">
        <v>62.3</v>
      </c>
      <c r="N2058" s="3">
        <v>474.3</v>
      </c>
      <c r="O2058" s="2">
        <v>0</v>
      </c>
      <c r="P2058">
        <v>0</v>
      </c>
      <c r="Q2058" t="s">
        <v>14</v>
      </c>
      <c r="R2058" s="4">
        <v>16.100000000000001</v>
      </c>
      <c r="S2058" s="4">
        <v>70.25</v>
      </c>
      <c r="T2058" t="s">
        <v>31</v>
      </c>
      <c r="U2058" s="4">
        <v>-2.29</v>
      </c>
      <c r="V2058" s="4">
        <v>1.288</v>
      </c>
      <c r="W2058" s="4">
        <v>0</v>
      </c>
    </row>
    <row r="2059" spans="1:23" ht="15" customHeight="1" x14ac:dyDescent="0.25">
      <c r="A2059">
        <v>711</v>
      </c>
      <c r="B2059" s="1">
        <v>45998.583333333343</v>
      </c>
      <c r="C2059">
        <v>14</v>
      </c>
      <c r="D2059" t="s">
        <v>55</v>
      </c>
      <c r="E2059">
        <v>12</v>
      </c>
      <c r="F2059" t="s">
        <v>32</v>
      </c>
      <c r="G2059" t="s">
        <v>36</v>
      </c>
      <c r="H2059" t="s">
        <v>54</v>
      </c>
      <c r="I2059" t="s">
        <v>16</v>
      </c>
      <c r="J2059" t="s">
        <v>24</v>
      </c>
      <c r="K2059" s="2">
        <v>8600</v>
      </c>
      <c r="L2059" s="3">
        <v>13.6</v>
      </c>
      <c r="M2059" s="3">
        <v>94.2</v>
      </c>
      <c r="N2059" s="3">
        <v>286.7</v>
      </c>
      <c r="O2059" s="2">
        <v>66</v>
      </c>
      <c r="P2059">
        <v>0</v>
      </c>
      <c r="Q2059" t="s">
        <v>14</v>
      </c>
      <c r="R2059" s="4">
        <v>12.14</v>
      </c>
      <c r="S2059" s="4">
        <v>21.32</v>
      </c>
      <c r="T2059" t="s">
        <v>31</v>
      </c>
      <c r="U2059" s="4">
        <v>-0.38</v>
      </c>
      <c r="V2059" s="4">
        <v>1.4119999999999999</v>
      </c>
      <c r="W2059" s="4">
        <v>0</v>
      </c>
    </row>
    <row r="2060" spans="1:23" ht="15" customHeight="1" x14ac:dyDescent="0.25">
      <c r="A2060">
        <v>2184</v>
      </c>
      <c r="B2060" s="1">
        <v>45998.833333333343</v>
      </c>
      <c r="C2060">
        <v>20</v>
      </c>
      <c r="D2060" t="s">
        <v>55</v>
      </c>
      <c r="E2060">
        <v>12</v>
      </c>
      <c r="F2060" t="s">
        <v>32</v>
      </c>
      <c r="G2060" t="s">
        <v>36</v>
      </c>
      <c r="H2060" t="s">
        <v>52</v>
      </c>
      <c r="I2060" t="s">
        <v>13</v>
      </c>
      <c r="J2060" t="s">
        <v>21</v>
      </c>
      <c r="K2060" s="2">
        <v>9800</v>
      </c>
      <c r="L2060" s="3">
        <v>11.5</v>
      </c>
      <c r="M2060" s="3">
        <v>89.8</v>
      </c>
      <c r="N2060" s="3">
        <v>0</v>
      </c>
      <c r="O2060" s="2">
        <v>312</v>
      </c>
      <c r="P2060">
        <v>1</v>
      </c>
      <c r="Q2060" t="s">
        <v>17</v>
      </c>
      <c r="R2060" s="4"/>
      <c r="S2060" s="4">
        <v>0</v>
      </c>
      <c r="T2060" t="s">
        <v>31</v>
      </c>
      <c r="U2060" s="4">
        <v>11.06</v>
      </c>
      <c r="V2060" s="4"/>
      <c r="W2060" s="4"/>
    </row>
    <row r="2061" spans="1:23" ht="15" customHeight="1" x14ac:dyDescent="0.25">
      <c r="A2061">
        <v>1448</v>
      </c>
      <c r="B2061" s="1">
        <v>45998.833333333343</v>
      </c>
      <c r="C2061">
        <v>20</v>
      </c>
      <c r="D2061" t="s">
        <v>55</v>
      </c>
      <c r="E2061">
        <v>12</v>
      </c>
      <c r="F2061" t="s">
        <v>32</v>
      </c>
      <c r="G2061" t="s">
        <v>36</v>
      </c>
      <c r="H2061" t="s">
        <v>51</v>
      </c>
      <c r="I2061" t="s">
        <v>25</v>
      </c>
      <c r="J2061" t="s">
        <v>15</v>
      </c>
      <c r="K2061" s="2">
        <v>17400</v>
      </c>
      <c r="L2061" s="3">
        <v>11.4</v>
      </c>
      <c r="M2061" s="3">
        <v>86.8</v>
      </c>
      <c r="N2061" s="3">
        <v>0</v>
      </c>
      <c r="O2061" s="2">
        <v>1604</v>
      </c>
      <c r="P2061">
        <v>1</v>
      </c>
      <c r="Q2061" t="s">
        <v>17</v>
      </c>
      <c r="R2061" s="4">
        <v>329.81</v>
      </c>
      <c r="S2061" s="4">
        <v>0</v>
      </c>
      <c r="T2061" t="s">
        <v>31</v>
      </c>
      <c r="U2061" s="4">
        <v>35.520000000000003</v>
      </c>
      <c r="V2061" s="4">
        <v>18.954999999999998</v>
      </c>
      <c r="W2061" s="4">
        <v>329.81</v>
      </c>
    </row>
    <row r="2062" spans="1:23" ht="15" customHeight="1" x14ac:dyDescent="0.25">
      <c r="A2062">
        <v>712</v>
      </c>
      <c r="B2062" s="1">
        <v>45998.833333333343</v>
      </c>
      <c r="C2062">
        <v>20</v>
      </c>
      <c r="D2062" t="s">
        <v>55</v>
      </c>
      <c r="E2062">
        <v>12</v>
      </c>
      <c r="F2062" t="s">
        <v>32</v>
      </c>
      <c r="G2062" t="s">
        <v>36</v>
      </c>
      <c r="H2062" t="s">
        <v>54</v>
      </c>
      <c r="I2062" t="s">
        <v>16</v>
      </c>
      <c r="J2062" t="s">
        <v>24</v>
      </c>
      <c r="K2062" s="2">
        <v>8600</v>
      </c>
      <c r="L2062" s="3">
        <v>8.4</v>
      </c>
      <c r="M2062" s="3">
        <v>99</v>
      </c>
      <c r="N2062" s="3">
        <v>0</v>
      </c>
      <c r="O2062" s="2">
        <v>23</v>
      </c>
      <c r="P2062">
        <v>0</v>
      </c>
      <c r="Q2062" t="s">
        <v>14</v>
      </c>
      <c r="R2062" s="4"/>
      <c r="S2062" s="4">
        <v>0</v>
      </c>
      <c r="T2062" t="s">
        <v>31</v>
      </c>
      <c r="U2062" s="4">
        <v>1.41</v>
      </c>
      <c r="V2062" s="4"/>
      <c r="W2062" s="4"/>
    </row>
    <row r="2063" spans="1:23" ht="15" customHeight="1" x14ac:dyDescent="0.25">
      <c r="A2063">
        <v>1816</v>
      </c>
      <c r="B2063" s="1">
        <v>45998.833333333343</v>
      </c>
      <c r="C2063">
        <v>20</v>
      </c>
      <c r="D2063" t="s">
        <v>55</v>
      </c>
      <c r="E2063">
        <v>12</v>
      </c>
      <c r="F2063" t="s">
        <v>32</v>
      </c>
      <c r="G2063" t="s">
        <v>36</v>
      </c>
      <c r="H2063" t="s">
        <v>49</v>
      </c>
      <c r="I2063" t="s">
        <v>27</v>
      </c>
      <c r="J2063" t="s">
        <v>18</v>
      </c>
      <c r="K2063" s="2">
        <v>26000</v>
      </c>
      <c r="L2063" s="3">
        <v>10</v>
      </c>
      <c r="M2063" s="3">
        <v>94.1</v>
      </c>
      <c r="N2063" s="3">
        <v>0</v>
      </c>
      <c r="O2063" s="2">
        <v>60</v>
      </c>
      <c r="P2063">
        <v>1</v>
      </c>
      <c r="Q2063" t="s">
        <v>17</v>
      </c>
      <c r="R2063" s="4">
        <v>142.28</v>
      </c>
      <c r="S2063" s="4">
        <v>0</v>
      </c>
      <c r="T2063" t="s">
        <v>31</v>
      </c>
      <c r="U2063" s="4">
        <v>15</v>
      </c>
      <c r="V2063" s="4">
        <v>5.4720000000000004</v>
      </c>
      <c r="W2063" s="4">
        <v>142.28</v>
      </c>
    </row>
    <row r="2064" spans="1:23" ht="15" customHeight="1" x14ac:dyDescent="0.25">
      <c r="A2064">
        <v>344</v>
      </c>
      <c r="B2064" s="1">
        <v>45998.833333333343</v>
      </c>
      <c r="C2064">
        <v>20</v>
      </c>
      <c r="D2064" t="s">
        <v>55</v>
      </c>
      <c r="E2064">
        <v>12</v>
      </c>
      <c r="F2064" t="s">
        <v>32</v>
      </c>
      <c r="G2064" t="s">
        <v>36</v>
      </c>
      <c r="H2064" t="s">
        <v>53</v>
      </c>
      <c r="I2064" t="s">
        <v>19</v>
      </c>
      <c r="J2064" t="s">
        <v>26</v>
      </c>
      <c r="K2064" s="2">
        <v>12500</v>
      </c>
      <c r="L2064" s="3">
        <v>7</v>
      </c>
      <c r="M2064" s="3">
        <v>61</v>
      </c>
      <c r="N2064" s="3">
        <v>0</v>
      </c>
      <c r="O2064" s="2">
        <v>16</v>
      </c>
      <c r="P2064">
        <v>0</v>
      </c>
      <c r="Q2064" t="s">
        <v>14</v>
      </c>
      <c r="R2064" s="4">
        <v>23.37</v>
      </c>
      <c r="S2064" s="4">
        <v>0</v>
      </c>
      <c r="T2064" t="s">
        <v>31</v>
      </c>
      <c r="U2064" s="4">
        <v>2.52</v>
      </c>
      <c r="V2064" s="4">
        <v>1.87</v>
      </c>
      <c r="W2064" s="4">
        <v>23.37</v>
      </c>
    </row>
    <row r="2065" spans="1:23" ht="15" customHeight="1" x14ac:dyDescent="0.25">
      <c r="A2065">
        <v>1080</v>
      </c>
      <c r="B2065" s="1">
        <v>45998.833333333343</v>
      </c>
      <c r="C2065">
        <v>20</v>
      </c>
      <c r="D2065" t="s">
        <v>55</v>
      </c>
      <c r="E2065">
        <v>12</v>
      </c>
      <c r="F2065" t="s">
        <v>32</v>
      </c>
      <c r="G2065" t="s">
        <v>36</v>
      </c>
      <c r="H2065" t="s">
        <v>50</v>
      </c>
      <c r="I2065" t="s">
        <v>22</v>
      </c>
      <c r="J2065" t="s">
        <v>12</v>
      </c>
      <c r="K2065" s="2">
        <v>21000</v>
      </c>
      <c r="L2065" s="3">
        <v>14.1</v>
      </c>
      <c r="M2065" s="3">
        <v>78.599999999999994</v>
      </c>
      <c r="N2065" s="3">
        <v>0</v>
      </c>
      <c r="O2065" s="2">
        <v>392</v>
      </c>
      <c r="P2065">
        <v>1</v>
      </c>
      <c r="Q2065" t="s">
        <v>17</v>
      </c>
      <c r="R2065" s="4">
        <v>289.64999999999998</v>
      </c>
      <c r="S2065" s="4">
        <v>0</v>
      </c>
      <c r="T2065" t="s">
        <v>31</v>
      </c>
      <c r="U2065" s="4">
        <v>30.7</v>
      </c>
      <c r="V2065" s="4">
        <v>13.792999999999999</v>
      </c>
      <c r="W2065" s="4">
        <v>289.64999999999998</v>
      </c>
    </row>
    <row r="2066" spans="1:23" ht="15" customHeight="1" x14ac:dyDescent="0.25">
      <c r="A2066">
        <v>345</v>
      </c>
      <c r="B2066" s="1">
        <v>46002</v>
      </c>
      <c r="C2066">
        <v>0</v>
      </c>
      <c r="D2066" t="s">
        <v>56</v>
      </c>
      <c r="E2066">
        <v>12</v>
      </c>
      <c r="F2066" t="s">
        <v>32</v>
      </c>
      <c r="G2066" t="s">
        <v>33</v>
      </c>
      <c r="H2066" t="s">
        <v>53</v>
      </c>
      <c r="I2066" t="s">
        <v>19</v>
      </c>
      <c r="J2066" t="s">
        <v>26</v>
      </c>
      <c r="K2066" s="2">
        <v>12500</v>
      </c>
      <c r="L2066" s="3">
        <v>1.4</v>
      </c>
      <c r="M2066" s="3">
        <v>74.2</v>
      </c>
      <c r="N2066" s="3">
        <v>0</v>
      </c>
      <c r="O2066" s="2">
        <v>0</v>
      </c>
      <c r="P2066">
        <v>0</v>
      </c>
      <c r="Q2066" t="s">
        <v>14</v>
      </c>
      <c r="R2066" s="4">
        <v>23.23</v>
      </c>
      <c r="S2066" s="4">
        <v>0</v>
      </c>
      <c r="T2066" t="s">
        <v>31</v>
      </c>
      <c r="U2066" s="4">
        <v>2.42</v>
      </c>
      <c r="V2066" s="4">
        <v>1.8580000000000001</v>
      </c>
      <c r="W2066" s="4">
        <v>23.23</v>
      </c>
    </row>
    <row r="2067" spans="1:23" ht="15" customHeight="1" x14ac:dyDescent="0.25">
      <c r="A2067">
        <v>1817</v>
      </c>
      <c r="B2067" s="1">
        <v>46002</v>
      </c>
      <c r="C2067">
        <v>0</v>
      </c>
      <c r="D2067" t="s">
        <v>56</v>
      </c>
      <c r="E2067">
        <v>12</v>
      </c>
      <c r="F2067" t="s">
        <v>32</v>
      </c>
      <c r="G2067" t="s">
        <v>33</v>
      </c>
      <c r="H2067" t="s">
        <v>49</v>
      </c>
      <c r="I2067" t="s">
        <v>27</v>
      </c>
      <c r="J2067" t="s">
        <v>18</v>
      </c>
      <c r="K2067" s="2">
        <v>26000</v>
      </c>
      <c r="L2067" s="3">
        <v>5.2</v>
      </c>
      <c r="M2067" s="3">
        <v>73.599999999999994</v>
      </c>
      <c r="N2067" s="3">
        <v>0</v>
      </c>
      <c r="O2067" s="2">
        <v>40</v>
      </c>
      <c r="P2067">
        <v>1</v>
      </c>
      <c r="Q2067" t="s">
        <v>17</v>
      </c>
      <c r="R2067" s="4">
        <v>125.96</v>
      </c>
      <c r="S2067" s="4">
        <v>0</v>
      </c>
      <c r="T2067" t="s">
        <v>31</v>
      </c>
      <c r="U2067" s="4">
        <v>14.02</v>
      </c>
      <c r="V2067" s="4">
        <v>4.8449999999999998</v>
      </c>
      <c r="W2067" s="4">
        <v>125.96</v>
      </c>
    </row>
    <row r="2068" spans="1:23" ht="15" customHeight="1" x14ac:dyDescent="0.25">
      <c r="A2068">
        <v>713</v>
      </c>
      <c r="B2068" s="1">
        <v>46002</v>
      </c>
      <c r="C2068">
        <v>0</v>
      </c>
      <c r="D2068" t="s">
        <v>56</v>
      </c>
      <c r="E2068">
        <v>12</v>
      </c>
      <c r="F2068" t="s">
        <v>32</v>
      </c>
      <c r="G2068" t="s">
        <v>33</v>
      </c>
      <c r="H2068" t="s">
        <v>54</v>
      </c>
      <c r="I2068" t="s">
        <v>16</v>
      </c>
      <c r="J2068" t="s">
        <v>24</v>
      </c>
      <c r="K2068" s="2">
        <v>8600</v>
      </c>
      <c r="L2068" s="3">
        <v>5.6</v>
      </c>
      <c r="M2068" s="3">
        <v>81.7</v>
      </c>
      <c r="N2068" s="3">
        <v>0</v>
      </c>
      <c r="O2068" s="2">
        <v>82</v>
      </c>
      <c r="P2068">
        <v>1</v>
      </c>
      <c r="Q2068" t="s">
        <v>17</v>
      </c>
      <c r="R2068" s="4">
        <v>29.71</v>
      </c>
      <c r="S2068" s="4">
        <v>0</v>
      </c>
      <c r="T2068" t="s">
        <v>31</v>
      </c>
      <c r="U2068" s="4">
        <v>3.17</v>
      </c>
      <c r="V2068" s="4">
        <v>3.4550000000000001</v>
      </c>
      <c r="W2068" s="4">
        <v>29.71</v>
      </c>
    </row>
    <row r="2069" spans="1:23" ht="15" customHeight="1" x14ac:dyDescent="0.25">
      <c r="A2069">
        <v>1449</v>
      </c>
      <c r="B2069" s="1">
        <v>46002</v>
      </c>
      <c r="C2069">
        <v>0</v>
      </c>
      <c r="D2069" t="s">
        <v>56</v>
      </c>
      <c r="E2069">
        <v>12</v>
      </c>
      <c r="F2069" t="s">
        <v>32</v>
      </c>
      <c r="G2069" t="s">
        <v>33</v>
      </c>
      <c r="H2069" t="s">
        <v>51</v>
      </c>
      <c r="I2069" t="s">
        <v>25</v>
      </c>
      <c r="J2069" t="s">
        <v>15</v>
      </c>
      <c r="K2069" s="2">
        <v>17400</v>
      </c>
      <c r="L2069" s="3">
        <v>10.6</v>
      </c>
      <c r="M2069" s="3">
        <v>86.1</v>
      </c>
      <c r="N2069" s="3">
        <v>0</v>
      </c>
      <c r="O2069" s="2">
        <v>59</v>
      </c>
      <c r="P2069">
        <v>0</v>
      </c>
      <c r="Q2069" t="s">
        <v>14</v>
      </c>
      <c r="R2069" s="4">
        <v>49.59</v>
      </c>
      <c r="S2069" s="4">
        <v>0</v>
      </c>
      <c r="T2069" t="s">
        <v>31</v>
      </c>
      <c r="U2069" s="4">
        <v>5.21</v>
      </c>
      <c r="V2069" s="4">
        <v>2.85</v>
      </c>
      <c r="W2069" s="4">
        <v>49.59</v>
      </c>
    </row>
    <row r="2070" spans="1:23" ht="15" customHeight="1" x14ac:dyDescent="0.25">
      <c r="A2070">
        <v>1081</v>
      </c>
      <c r="B2070" s="1">
        <v>46002</v>
      </c>
      <c r="C2070">
        <v>0</v>
      </c>
      <c r="D2070" t="s">
        <v>56</v>
      </c>
      <c r="E2070">
        <v>12</v>
      </c>
      <c r="F2070" t="s">
        <v>32</v>
      </c>
      <c r="G2070" t="s">
        <v>33</v>
      </c>
      <c r="H2070" t="s">
        <v>50</v>
      </c>
      <c r="I2070" t="s">
        <v>22</v>
      </c>
      <c r="J2070" t="s">
        <v>12</v>
      </c>
      <c r="K2070" s="2">
        <v>21000</v>
      </c>
      <c r="L2070" s="3">
        <v>4.5999999999999996</v>
      </c>
      <c r="M2070" s="3">
        <v>72.5</v>
      </c>
      <c r="N2070" s="3">
        <v>0</v>
      </c>
      <c r="O2070" s="2">
        <v>193</v>
      </c>
      <c r="P2070">
        <v>1</v>
      </c>
      <c r="Q2070" t="s">
        <v>17</v>
      </c>
      <c r="R2070" s="4">
        <v>178.06</v>
      </c>
      <c r="S2070" s="4">
        <v>0</v>
      </c>
      <c r="T2070" t="s">
        <v>31</v>
      </c>
      <c r="U2070" s="4">
        <v>18.23</v>
      </c>
      <c r="V2070" s="4">
        <v>8.4789999999999992</v>
      </c>
      <c r="W2070" s="4">
        <v>178.06</v>
      </c>
    </row>
    <row r="2071" spans="1:23" ht="15" customHeight="1" x14ac:dyDescent="0.25">
      <c r="A2071">
        <v>2185</v>
      </c>
      <c r="B2071" s="1">
        <v>46002</v>
      </c>
      <c r="C2071">
        <v>0</v>
      </c>
      <c r="D2071" t="s">
        <v>56</v>
      </c>
      <c r="E2071">
        <v>12</v>
      </c>
      <c r="F2071" t="s">
        <v>32</v>
      </c>
      <c r="G2071" t="s">
        <v>33</v>
      </c>
      <c r="H2071" t="s">
        <v>52</v>
      </c>
      <c r="I2071" t="s">
        <v>13</v>
      </c>
      <c r="J2071" t="s">
        <v>21</v>
      </c>
      <c r="K2071" s="2">
        <v>9800</v>
      </c>
      <c r="L2071" s="3">
        <v>8.3000000000000007</v>
      </c>
      <c r="M2071" s="3">
        <v>86.2</v>
      </c>
      <c r="N2071" s="3">
        <v>0</v>
      </c>
      <c r="O2071" s="2">
        <v>279</v>
      </c>
      <c r="P2071">
        <v>1</v>
      </c>
      <c r="Q2071" t="s">
        <v>17</v>
      </c>
      <c r="R2071" s="4">
        <v>98.97</v>
      </c>
      <c r="S2071" s="4">
        <v>0</v>
      </c>
      <c r="T2071" t="s">
        <v>31</v>
      </c>
      <c r="U2071" s="4">
        <v>10.38</v>
      </c>
      <c r="V2071" s="4">
        <v>10.099</v>
      </c>
      <c r="W2071" s="4">
        <v>98.97</v>
      </c>
    </row>
    <row r="2072" spans="1:23" ht="15" customHeight="1" x14ac:dyDescent="0.25">
      <c r="A2072">
        <v>346</v>
      </c>
      <c r="B2072" s="1">
        <v>46002.333333333343</v>
      </c>
      <c r="C2072">
        <v>8</v>
      </c>
      <c r="D2072" t="s">
        <v>56</v>
      </c>
      <c r="E2072">
        <v>12</v>
      </c>
      <c r="F2072" t="s">
        <v>32</v>
      </c>
      <c r="G2072" t="s">
        <v>33</v>
      </c>
      <c r="H2072" t="s">
        <v>53</v>
      </c>
      <c r="I2072" t="s">
        <v>19</v>
      </c>
      <c r="J2072" t="s">
        <v>26</v>
      </c>
      <c r="K2072" s="2">
        <v>12500</v>
      </c>
      <c r="L2072" s="3">
        <v>0.7</v>
      </c>
      <c r="M2072" s="3">
        <v>70</v>
      </c>
      <c r="N2072" s="3">
        <v>0</v>
      </c>
      <c r="O2072" s="2">
        <v>388</v>
      </c>
      <c r="P2072">
        <v>1</v>
      </c>
      <c r="Q2072" t="s">
        <v>17</v>
      </c>
      <c r="R2072" s="4">
        <v>111.47</v>
      </c>
      <c r="S2072" s="4">
        <v>0</v>
      </c>
      <c r="T2072" t="s">
        <v>34</v>
      </c>
      <c r="U2072" s="4">
        <v>18.690000000000001</v>
      </c>
      <c r="V2072" s="4">
        <v>8.9179999999999993</v>
      </c>
      <c r="W2072" s="4">
        <v>111.47</v>
      </c>
    </row>
    <row r="2073" spans="1:23" ht="15" customHeight="1" x14ac:dyDescent="0.25">
      <c r="A2073">
        <v>1082</v>
      </c>
      <c r="B2073" s="1">
        <v>46002.333333333343</v>
      </c>
      <c r="C2073">
        <v>8</v>
      </c>
      <c r="D2073" t="s">
        <v>56</v>
      </c>
      <c r="E2073">
        <v>12</v>
      </c>
      <c r="F2073" t="s">
        <v>32</v>
      </c>
      <c r="G2073" t="s">
        <v>33</v>
      </c>
      <c r="H2073" t="s">
        <v>50</v>
      </c>
      <c r="I2073" t="s">
        <v>22</v>
      </c>
      <c r="J2073" t="s">
        <v>12</v>
      </c>
      <c r="K2073" s="2">
        <v>21000</v>
      </c>
      <c r="L2073" s="3">
        <v>8.6999999999999993</v>
      </c>
      <c r="M2073" s="3">
        <v>75.400000000000006</v>
      </c>
      <c r="N2073" s="3">
        <v>0</v>
      </c>
      <c r="O2073" s="2">
        <v>408</v>
      </c>
      <c r="P2073">
        <v>1</v>
      </c>
      <c r="Q2073" t="s">
        <v>17</v>
      </c>
      <c r="R2073" s="4">
        <v>281.17</v>
      </c>
      <c r="S2073" s="4">
        <v>0</v>
      </c>
      <c r="T2073" t="s">
        <v>34</v>
      </c>
      <c r="U2073" s="4">
        <v>46.67</v>
      </c>
      <c r="V2073" s="4">
        <v>13.388999999999999</v>
      </c>
      <c r="W2073" s="4">
        <v>281.17</v>
      </c>
    </row>
    <row r="2074" spans="1:23" ht="15" customHeight="1" x14ac:dyDescent="0.25">
      <c r="A2074">
        <v>2186</v>
      </c>
      <c r="B2074" s="1">
        <v>46002.333333333343</v>
      </c>
      <c r="C2074">
        <v>8</v>
      </c>
      <c r="D2074" t="s">
        <v>56</v>
      </c>
      <c r="E2074">
        <v>12</v>
      </c>
      <c r="F2074" t="s">
        <v>32</v>
      </c>
      <c r="G2074" t="s">
        <v>33</v>
      </c>
      <c r="H2074" t="s">
        <v>52</v>
      </c>
      <c r="I2074" t="s">
        <v>13</v>
      </c>
      <c r="J2074" t="s">
        <v>21</v>
      </c>
      <c r="K2074" s="2">
        <v>9800</v>
      </c>
      <c r="L2074" s="3">
        <v>10.6</v>
      </c>
      <c r="M2074" s="3">
        <v>74.8</v>
      </c>
      <c r="N2074" s="3">
        <v>0</v>
      </c>
      <c r="O2074" s="2">
        <v>67</v>
      </c>
      <c r="P2074">
        <v>1</v>
      </c>
      <c r="Q2074" t="s">
        <v>17</v>
      </c>
      <c r="R2074" s="4">
        <v>35.54</v>
      </c>
      <c r="S2074" s="4">
        <v>0</v>
      </c>
      <c r="T2074" t="s">
        <v>34</v>
      </c>
      <c r="U2074" s="4">
        <v>6.21</v>
      </c>
      <c r="V2074" s="4">
        <v>3.6269999999999998</v>
      </c>
      <c r="W2074" s="4">
        <v>35.54</v>
      </c>
    </row>
    <row r="2075" spans="1:23" ht="15" customHeight="1" x14ac:dyDescent="0.25">
      <c r="A2075">
        <v>1450</v>
      </c>
      <c r="B2075" s="1">
        <v>46002.333333333343</v>
      </c>
      <c r="C2075">
        <v>8</v>
      </c>
      <c r="D2075" t="s">
        <v>56</v>
      </c>
      <c r="E2075">
        <v>12</v>
      </c>
      <c r="F2075" t="s">
        <v>32</v>
      </c>
      <c r="G2075" t="s">
        <v>33</v>
      </c>
      <c r="H2075" t="s">
        <v>51</v>
      </c>
      <c r="I2075" t="s">
        <v>25</v>
      </c>
      <c r="J2075" t="s">
        <v>15</v>
      </c>
      <c r="K2075" s="2">
        <v>17400</v>
      </c>
      <c r="L2075" s="3">
        <v>11.9</v>
      </c>
      <c r="M2075" s="3">
        <v>98.3</v>
      </c>
      <c r="N2075" s="3">
        <v>0</v>
      </c>
      <c r="O2075" s="2">
        <v>257</v>
      </c>
      <c r="P2075">
        <v>0</v>
      </c>
      <c r="Q2075" t="s">
        <v>14</v>
      </c>
      <c r="R2075" s="4">
        <v>56.26</v>
      </c>
      <c r="S2075" s="4">
        <v>0</v>
      </c>
      <c r="T2075" t="s">
        <v>34</v>
      </c>
      <c r="U2075" s="4">
        <v>9.3699999999999992</v>
      </c>
      <c r="V2075" s="4">
        <v>3.2330000000000001</v>
      </c>
      <c r="W2075" s="4">
        <v>56.26</v>
      </c>
    </row>
    <row r="2076" spans="1:23" ht="15" customHeight="1" x14ac:dyDescent="0.25">
      <c r="A2076">
        <v>1818</v>
      </c>
      <c r="B2076" s="1">
        <v>46002.333333333343</v>
      </c>
      <c r="C2076">
        <v>8</v>
      </c>
      <c r="D2076" t="s">
        <v>56</v>
      </c>
      <c r="E2076">
        <v>12</v>
      </c>
      <c r="F2076" t="s">
        <v>32</v>
      </c>
      <c r="G2076" t="s">
        <v>33</v>
      </c>
      <c r="H2076" t="s">
        <v>49</v>
      </c>
      <c r="I2076" t="s">
        <v>27</v>
      </c>
      <c r="J2076" t="s">
        <v>18</v>
      </c>
      <c r="K2076" s="2">
        <v>26000</v>
      </c>
      <c r="L2076" s="3">
        <v>5.3</v>
      </c>
      <c r="M2076" s="3">
        <v>79.400000000000006</v>
      </c>
      <c r="N2076" s="3">
        <v>0</v>
      </c>
      <c r="O2076" s="2">
        <v>172</v>
      </c>
      <c r="P2076">
        <v>1</v>
      </c>
      <c r="Q2076" t="s">
        <v>17</v>
      </c>
      <c r="R2076" s="4">
        <v>259.60000000000002</v>
      </c>
      <c r="S2076" s="4">
        <v>0</v>
      </c>
      <c r="T2076" t="s">
        <v>34</v>
      </c>
      <c r="U2076" s="4"/>
      <c r="V2076" s="4">
        <v>9.9849999999999994</v>
      </c>
      <c r="W2076" s="4">
        <v>259.60000000000002</v>
      </c>
    </row>
    <row r="2077" spans="1:23" ht="15" customHeight="1" x14ac:dyDescent="0.25">
      <c r="A2077">
        <v>714</v>
      </c>
      <c r="B2077" s="1">
        <v>46002.333333333343</v>
      </c>
      <c r="C2077">
        <v>8</v>
      </c>
      <c r="D2077" t="s">
        <v>56</v>
      </c>
      <c r="E2077">
        <v>12</v>
      </c>
      <c r="F2077" t="s">
        <v>32</v>
      </c>
      <c r="G2077" t="s">
        <v>33</v>
      </c>
      <c r="H2077" t="s">
        <v>54</v>
      </c>
      <c r="I2077" t="s">
        <v>16</v>
      </c>
      <c r="J2077" t="s">
        <v>24</v>
      </c>
      <c r="K2077" s="2">
        <v>8600</v>
      </c>
      <c r="L2077" s="3">
        <v>7.7</v>
      </c>
      <c r="M2077" s="3">
        <v>99</v>
      </c>
      <c r="N2077" s="3">
        <v>0</v>
      </c>
      <c r="O2077" s="2">
        <v>821</v>
      </c>
      <c r="P2077">
        <v>1</v>
      </c>
      <c r="Q2077" t="s">
        <v>17</v>
      </c>
      <c r="R2077" s="4">
        <v>114.97</v>
      </c>
      <c r="S2077" s="4">
        <v>0</v>
      </c>
      <c r="T2077" t="s">
        <v>34</v>
      </c>
      <c r="U2077" s="4">
        <v>19.28</v>
      </c>
      <c r="V2077" s="4">
        <v>13.369</v>
      </c>
      <c r="W2077" s="4">
        <v>114.97</v>
      </c>
    </row>
    <row r="2078" spans="1:23" ht="15" customHeight="1" x14ac:dyDescent="0.25">
      <c r="A2078">
        <v>1451</v>
      </c>
      <c r="B2078" s="1">
        <v>46002.583333333343</v>
      </c>
      <c r="C2078">
        <v>14</v>
      </c>
      <c r="D2078" t="s">
        <v>56</v>
      </c>
      <c r="E2078">
        <v>12</v>
      </c>
      <c r="F2078" t="s">
        <v>32</v>
      </c>
      <c r="G2078" t="s">
        <v>33</v>
      </c>
      <c r="H2078" t="s">
        <v>51</v>
      </c>
      <c r="I2078" t="s">
        <v>25</v>
      </c>
      <c r="J2078" t="s">
        <v>15</v>
      </c>
      <c r="K2078" s="2">
        <v>17400</v>
      </c>
      <c r="L2078" s="3">
        <v>15.8</v>
      </c>
      <c r="M2078" s="3">
        <v>87.4</v>
      </c>
      <c r="N2078" s="3">
        <v>435.2</v>
      </c>
      <c r="O2078" s="2">
        <v>1404</v>
      </c>
      <c r="P2078">
        <v>1</v>
      </c>
      <c r="Q2078" t="s">
        <v>23</v>
      </c>
      <c r="R2078" s="4">
        <v>190.06</v>
      </c>
      <c r="S2078" s="4">
        <v>51.37</v>
      </c>
      <c r="T2078" t="s">
        <v>34</v>
      </c>
      <c r="U2078" s="4">
        <v>23.83</v>
      </c>
      <c r="V2078" s="4">
        <v>10.923</v>
      </c>
      <c r="W2078" s="4">
        <v>138.69</v>
      </c>
    </row>
    <row r="2079" spans="1:23" ht="15" customHeight="1" x14ac:dyDescent="0.25">
      <c r="A2079">
        <v>347</v>
      </c>
      <c r="B2079" s="1">
        <v>46002.583333333343</v>
      </c>
      <c r="C2079">
        <v>14</v>
      </c>
      <c r="D2079" t="s">
        <v>56</v>
      </c>
      <c r="E2079">
        <v>12</v>
      </c>
      <c r="F2079" t="s">
        <v>32</v>
      </c>
      <c r="G2079" t="s">
        <v>33</v>
      </c>
      <c r="H2079" t="s">
        <v>53</v>
      </c>
      <c r="I2079" t="s">
        <v>19</v>
      </c>
      <c r="J2079" t="s">
        <v>26</v>
      </c>
      <c r="K2079" s="2">
        <v>12500</v>
      </c>
      <c r="L2079" s="3">
        <v>11.9</v>
      </c>
      <c r="M2079" s="3">
        <v>59.9</v>
      </c>
      <c r="N2079" s="3">
        <v>574.70000000000005</v>
      </c>
      <c r="O2079" s="2">
        <v>552</v>
      </c>
      <c r="P2079">
        <v>1</v>
      </c>
      <c r="Q2079" t="s">
        <v>17</v>
      </c>
      <c r="R2079" s="4">
        <v>111.35</v>
      </c>
      <c r="S2079" s="4">
        <v>85.81</v>
      </c>
      <c r="T2079" t="s">
        <v>34</v>
      </c>
      <c r="U2079" s="4">
        <v>4.3499999999999996</v>
      </c>
      <c r="V2079" s="4">
        <v>8.9079999999999995</v>
      </c>
      <c r="W2079" s="4">
        <v>25.54</v>
      </c>
    </row>
    <row r="2080" spans="1:23" ht="15" customHeight="1" x14ac:dyDescent="0.25">
      <c r="A2080">
        <v>1083</v>
      </c>
      <c r="B2080" s="1">
        <v>46002.583333333343</v>
      </c>
      <c r="C2080">
        <v>14</v>
      </c>
      <c r="D2080" t="s">
        <v>56</v>
      </c>
      <c r="E2080">
        <v>12</v>
      </c>
      <c r="F2080" t="s">
        <v>32</v>
      </c>
      <c r="G2080" t="s">
        <v>33</v>
      </c>
      <c r="H2080" t="s">
        <v>50</v>
      </c>
      <c r="I2080" t="s">
        <v>22</v>
      </c>
      <c r="J2080" t="s">
        <v>12</v>
      </c>
      <c r="K2080" s="2">
        <v>21000</v>
      </c>
      <c r="L2080" s="3">
        <v>16.899999999999999</v>
      </c>
      <c r="M2080" s="3">
        <v>68.2</v>
      </c>
      <c r="N2080" s="3">
        <v>384</v>
      </c>
      <c r="O2080" s="2">
        <v>361</v>
      </c>
      <c r="P2080">
        <v>0</v>
      </c>
      <c r="Q2080" t="s">
        <v>14</v>
      </c>
      <c r="R2080" s="4">
        <v>208.86</v>
      </c>
      <c r="S2080" s="4">
        <v>79.05</v>
      </c>
      <c r="T2080" t="s">
        <v>34</v>
      </c>
      <c r="U2080" s="4">
        <v>20.91</v>
      </c>
      <c r="V2080" s="4">
        <v>9.9459999999999997</v>
      </c>
      <c r="W2080" s="4">
        <v>129.81</v>
      </c>
    </row>
    <row r="2081" spans="1:23" ht="15" customHeight="1" x14ac:dyDescent="0.25">
      <c r="A2081">
        <v>2187</v>
      </c>
      <c r="B2081" s="1">
        <v>46002.583333333343</v>
      </c>
      <c r="C2081">
        <v>14</v>
      </c>
      <c r="D2081" t="s">
        <v>56</v>
      </c>
      <c r="E2081">
        <v>12</v>
      </c>
      <c r="F2081" t="s">
        <v>32</v>
      </c>
      <c r="G2081" t="s">
        <v>33</v>
      </c>
      <c r="H2081" t="s">
        <v>52</v>
      </c>
      <c r="I2081" t="s">
        <v>13</v>
      </c>
      <c r="J2081" t="s">
        <v>21</v>
      </c>
      <c r="K2081" s="2">
        <v>9800</v>
      </c>
      <c r="L2081" s="3">
        <v>13.3</v>
      </c>
      <c r="M2081" s="3">
        <v>72.099999999999994</v>
      </c>
      <c r="N2081" s="3">
        <v>415.9</v>
      </c>
      <c r="O2081" s="2">
        <v>67</v>
      </c>
      <c r="P2081">
        <v>1</v>
      </c>
      <c r="Q2081" t="s">
        <v>17</v>
      </c>
      <c r="R2081" s="4">
        <v>20.41</v>
      </c>
      <c r="S2081" s="4">
        <v>0</v>
      </c>
      <c r="T2081" t="s">
        <v>34</v>
      </c>
      <c r="U2081" s="4">
        <v>3.34</v>
      </c>
      <c r="V2081" s="4">
        <v>2.0830000000000002</v>
      </c>
      <c r="W2081" s="4">
        <v>20.41</v>
      </c>
    </row>
    <row r="2082" spans="1:23" ht="15" customHeight="1" x14ac:dyDescent="0.25">
      <c r="A2082">
        <v>715</v>
      </c>
      <c r="B2082" s="1">
        <v>46002.583333333343</v>
      </c>
      <c r="C2082">
        <v>14</v>
      </c>
      <c r="D2082" t="s">
        <v>56</v>
      </c>
      <c r="E2082">
        <v>12</v>
      </c>
      <c r="F2082" t="s">
        <v>32</v>
      </c>
      <c r="G2082" t="s">
        <v>33</v>
      </c>
      <c r="H2082" t="s">
        <v>54</v>
      </c>
      <c r="I2082" t="s">
        <v>16</v>
      </c>
      <c r="J2082" t="s">
        <v>24</v>
      </c>
      <c r="K2082" s="2">
        <v>8600</v>
      </c>
      <c r="L2082" s="3">
        <v>11.9</v>
      </c>
      <c r="M2082" s="3">
        <v>99</v>
      </c>
      <c r="N2082" s="3">
        <v>169.9</v>
      </c>
      <c r="O2082" s="2">
        <v>823</v>
      </c>
      <c r="P2082">
        <v>1</v>
      </c>
      <c r="Q2082" t="s">
        <v>17</v>
      </c>
      <c r="R2082" s="4">
        <v>85.54</v>
      </c>
      <c r="S2082" s="4">
        <v>11.45</v>
      </c>
      <c r="T2082" t="s">
        <v>34</v>
      </c>
      <c r="U2082" s="4">
        <v>12.14</v>
      </c>
      <c r="V2082" s="4">
        <v>9.9469999999999992</v>
      </c>
      <c r="W2082" s="4">
        <v>74.09</v>
      </c>
    </row>
    <row r="2083" spans="1:23" ht="15" customHeight="1" x14ac:dyDescent="0.25">
      <c r="A2083">
        <v>1819</v>
      </c>
      <c r="B2083" s="1">
        <v>46002.583333333343</v>
      </c>
      <c r="C2083">
        <v>14</v>
      </c>
      <c r="D2083" t="s">
        <v>56</v>
      </c>
      <c r="E2083">
        <v>12</v>
      </c>
      <c r="F2083" t="s">
        <v>32</v>
      </c>
      <c r="G2083" t="s">
        <v>33</v>
      </c>
      <c r="H2083" t="s">
        <v>49</v>
      </c>
      <c r="I2083" t="s">
        <v>27</v>
      </c>
      <c r="J2083" t="s">
        <v>18</v>
      </c>
      <c r="K2083" s="2">
        <v>26000</v>
      </c>
      <c r="L2083" s="3">
        <v>13.4</v>
      </c>
      <c r="M2083" s="3">
        <v>49.9</v>
      </c>
      <c r="N2083" s="3">
        <v>512.4</v>
      </c>
      <c r="O2083" s="2">
        <v>156</v>
      </c>
      <c r="P2083">
        <v>1</v>
      </c>
      <c r="Q2083" t="s">
        <v>17</v>
      </c>
      <c r="R2083" s="4">
        <v>171.92</v>
      </c>
      <c r="S2083" s="4">
        <v>144.33000000000001</v>
      </c>
      <c r="T2083" t="s">
        <v>34</v>
      </c>
      <c r="U2083" s="4">
        <v>4.46</v>
      </c>
      <c r="V2083" s="4">
        <v>6.6120000000000001</v>
      </c>
      <c r="W2083" s="4">
        <v>27.59</v>
      </c>
    </row>
    <row r="2084" spans="1:23" ht="15" customHeight="1" x14ac:dyDescent="0.25">
      <c r="A2084">
        <v>348</v>
      </c>
      <c r="B2084" s="1">
        <v>46002.833333333343</v>
      </c>
      <c r="C2084">
        <v>20</v>
      </c>
      <c r="D2084" t="s">
        <v>56</v>
      </c>
      <c r="E2084">
        <v>12</v>
      </c>
      <c r="F2084" t="s">
        <v>32</v>
      </c>
      <c r="G2084" t="s">
        <v>33</v>
      </c>
      <c r="H2084" t="s">
        <v>53</v>
      </c>
      <c r="I2084" t="s">
        <v>19</v>
      </c>
      <c r="J2084" t="s">
        <v>26</v>
      </c>
      <c r="K2084" s="2">
        <v>12500</v>
      </c>
      <c r="L2084" s="3">
        <v>9</v>
      </c>
      <c r="M2084" s="3">
        <v>80.7</v>
      </c>
      <c r="N2084" s="3">
        <v>0</v>
      </c>
      <c r="O2084" s="2">
        <v>35</v>
      </c>
      <c r="P2084">
        <v>1</v>
      </c>
      <c r="Q2084" t="s">
        <v>17</v>
      </c>
      <c r="R2084" s="4">
        <v>42.68</v>
      </c>
      <c r="S2084" s="4">
        <v>0</v>
      </c>
      <c r="T2084" t="s">
        <v>37</v>
      </c>
      <c r="U2084" s="4">
        <v>10.85</v>
      </c>
      <c r="V2084" s="4">
        <v>3.4140000000000001</v>
      </c>
      <c r="W2084" s="4">
        <v>42.68</v>
      </c>
    </row>
    <row r="2085" spans="1:23" ht="15" customHeight="1" x14ac:dyDescent="0.25">
      <c r="A2085">
        <v>1820</v>
      </c>
      <c r="B2085" s="1">
        <v>46002.833333333343</v>
      </c>
      <c r="C2085">
        <v>20</v>
      </c>
      <c r="D2085" t="s">
        <v>56</v>
      </c>
      <c r="E2085">
        <v>12</v>
      </c>
      <c r="F2085" t="s">
        <v>32</v>
      </c>
      <c r="G2085" t="s">
        <v>33</v>
      </c>
      <c r="H2085" t="s">
        <v>49</v>
      </c>
      <c r="I2085" t="s">
        <v>27</v>
      </c>
      <c r="J2085" t="s">
        <v>18</v>
      </c>
      <c r="K2085" s="2">
        <v>26000</v>
      </c>
      <c r="L2085" s="3">
        <v>7.7</v>
      </c>
      <c r="M2085" s="3">
        <v>82</v>
      </c>
      <c r="N2085" s="3">
        <v>0</v>
      </c>
      <c r="O2085" s="2">
        <v>170</v>
      </c>
      <c r="P2085">
        <v>1</v>
      </c>
      <c r="Q2085" t="s">
        <v>17</v>
      </c>
      <c r="R2085" s="4">
        <v>269.95</v>
      </c>
      <c r="S2085" s="4">
        <v>0</v>
      </c>
      <c r="T2085" t="s">
        <v>37</v>
      </c>
      <c r="U2085" s="4">
        <v>69.569999999999993</v>
      </c>
      <c r="V2085" s="4">
        <v>10.382999999999999</v>
      </c>
      <c r="W2085" s="4">
        <v>269.95</v>
      </c>
    </row>
    <row r="2086" spans="1:23" ht="15" customHeight="1" x14ac:dyDescent="0.25">
      <c r="A2086">
        <v>1084</v>
      </c>
      <c r="B2086" s="1">
        <v>46002.833333333343</v>
      </c>
      <c r="C2086">
        <v>20</v>
      </c>
      <c r="D2086" t="s">
        <v>56</v>
      </c>
      <c r="E2086">
        <v>12</v>
      </c>
      <c r="F2086" t="s">
        <v>32</v>
      </c>
      <c r="G2086" t="s">
        <v>33</v>
      </c>
      <c r="H2086" t="s">
        <v>50</v>
      </c>
      <c r="I2086" t="s">
        <v>22</v>
      </c>
      <c r="J2086" t="s">
        <v>12</v>
      </c>
      <c r="K2086" s="2">
        <v>21000</v>
      </c>
      <c r="L2086" s="3">
        <v>11.7</v>
      </c>
      <c r="M2086" s="3">
        <v>54.1</v>
      </c>
      <c r="N2086" s="3">
        <v>0</v>
      </c>
      <c r="O2086" s="2">
        <v>423</v>
      </c>
      <c r="P2086">
        <v>1</v>
      </c>
      <c r="Q2086" t="s">
        <v>17</v>
      </c>
      <c r="R2086" s="4">
        <v>281.51</v>
      </c>
      <c r="S2086" s="4">
        <v>0</v>
      </c>
      <c r="T2086" t="s">
        <v>37</v>
      </c>
      <c r="U2086" s="4">
        <v>71.95</v>
      </c>
      <c r="V2086" s="4">
        <v>13.404999999999999</v>
      </c>
      <c r="W2086" s="4">
        <v>281.51</v>
      </c>
    </row>
    <row r="2087" spans="1:23" ht="15" customHeight="1" x14ac:dyDescent="0.25">
      <c r="A2087">
        <v>1452</v>
      </c>
      <c r="B2087" s="1">
        <v>46002.833333333343</v>
      </c>
      <c r="C2087">
        <v>20</v>
      </c>
      <c r="D2087" t="s">
        <v>56</v>
      </c>
      <c r="E2087">
        <v>12</v>
      </c>
      <c r="F2087" t="s">
        <v>32</v>
      </c>
      <c r="G2087" t="s">
        <v>33</v>
      </c>
      <c r="H2087" t="s">
        <v>51</v>
      </c>
      <c r="I2087" t="s">
        <v>25</v>
      </c>
      <c r="J2087" t="s">
        <v>15</v>
      </c>
      <c r="K2087" s="2">
        <v>17400</v>
      </c>
      <c r="L2087" s="3">
        <v>13</v>
      </c>
      <c r="M2087" s="3">
        <v>75.400000000000006</v>
      </c>
      <c r="N2087" s="3">
        <v>0</v>
      </c>
      <c r="O2087" s="2">
        <v>1337</v>
      </c>
      <c r="P2087">
        <v>1</v>
      </c>
      <c r="Q2087" t="s">
        <v>17</v>
      </c>
      <c r="R2087" s="4">
        <v>278.3</v>
      </c>
      <c r="S2087" s="4">
        <v>0</v>
      </c>
      <c r="T2087" t="s">
        <v>37</v>
      </c>
      <c r="U2087" s="4">
        <v>72.05</v>
      </c>
      <c r="V2087" s="4">
        <v>15.994</v>
      </c>
      <c r="W2087" s="4">
        <v>278.3</v>
      </c>
    </row>
    <row r="2088" spans="1:23" ht="15" customHeight="1" x14ac:dyDescent="0.25">
      <c r="A2088">
        <v>2188</v>
      </c>
      <c r="B2088" s="1">
        <v>46002.833333333343</v>
      </c>
      <c r="C2088">
        <v>20</v>
      </c>
      <c r="D2088" t="s">
        <v>56</v>
      </c>
      <c r="E2088">
        <v>12</v>
      </c>
      <c r="F2088" t="s">
        <v>32</v>
      </c>
      <c r="G2088" t="s">
        <v>33</v>
      </c>
      <c r="H2088" t="s">
        <v>52</v>
      </c>
      <c r="I2088" t="s">
        <v>13</v>
      </c>
      <c r="J2088" t="s">
        <v>21</v>
      </c>
      <c r="K2088" s="2">
        <v>9800</v>
      </c>
      <c r="L2088" s="3">
        <v>12.5</v>
      </c>
      <c r="M2088" s="3">
        <v>83.4</v>
      </c>
      <c r="N2088" s="3">
        <v>0</v>
      </c>
      <c r="O2088" s="2">
        <v>301</v>
      </c>
      <c r="P2088">
        <v>1</v>
      </c>
      <c r="Q2088" t="s">
        <v>17</v>
      </c>
      <c r="R2088" s="4">
        <v>95.46</v>
      </c>
      <c r="S2088" s="4">
        <v>0</v>
      </c>
      <c r="T2088" t="s">
        <v>37</v>
      </c>
      <c r="U2088" s="4">
        <v>25.63</v>
      </c>
      <c r="V2088" s="4">
        <v>9.7409999999999997</v>
      </c>
      <c r="W2088" s="4">
        <v>95.46</v>
      </c>
    </row>
    <row r="2089" spans="1:23" ht="15" customHeight="1" x14ac:dyDescent="0.25">
      <c r="A2089">
        <v>716</v>
      </c>
      <c r="B2089" s="1">
        <v>46002.833333333343</v>
      </c>
      <c r="C2089">
        <v>20</v>
      </c>
      <c r="D2089" t="s">
        <v>56</v>
      </c>
      <c r="E2089">
        <v>12</v>
      </c>
      <c r="F2089" t="s">
        <v>32</v>
      </c>
      <c r="G2089" t="s">
        <v>33</v>
      </c>
      <c r="H2089" t="s">
        <v>54</v>
      </c>
      <c r="I2089" t="s">
        <v>16</v>
      </c>
      <c r="J2089" t="s">
        <v>24</v>
      </c>
      <c r="K2089" s="2">
        <v>8600</v>
      </c>
      <c r="L2089" s="3">
        <v>8.9</v>
      </c>
      <c r="M2089" s="3">
        <v>99</v>
      </c>
      <c r="N2089" s="3">
        <v>0</v>
      </c>
      <c r="O2089" s="2">
        <v>28</v>
      </c>
      <c r="P2089">
        <v>1</v>
      </c>
      <c r="Q2089" t="s">
        <v>17</v>
      </c>
      <c r="R2089" s="4">
        <v>25.57</v>
      </c>
      <c r="S2089" s="4">
        <v>0</v>
      </c>
      <c r="T2089" t="s">
        <v>37</v>
      </c>
      <c r="U2089" s="4">
        <v>6.51</v>
      </c>
      <c r="V2089" s="4">
        <v>2.9729999999999999</v>
      </c>
      <c r="W2089" s="4">
        <v>25.57</v>
      </c>
    </row>
    <row r="2090" spans="1:23" ht="15" customHeight="1" x14ac:dyDescent="0.25">
      <c r="A2090">
        <v>1453</v>
      </c>
      <c r="B2090" s="1">
        <v>46006</v>
      </c>
      <c r="C2090">
        <v>0</v>
      </c>
      <c r="D2090" t="s">
        <v>57</v>
      </c>
      <c r="E2090">
        <v>12</v>
      </c>
      <c r="F2090" t="s">
        <v>32</v>
      </c>
      <c r="G2090" t="s">
        <v>33</v>
      </c>
      <c r="H2090" t="s">
        <v>51</v>
      </c>
      <c r="I2090" t="s">
        <v>25</v>
      </c>
      <c r="J2090" t="s">
        <v>15</v>
      </c>
      <c r="K2090" s="2">
        <v>17400</v>
      </c>
      <c r="L2090" s="3">
        <v>8.3000000000000007</v>
      </c>
      <c r="M2090" s="3">
        <v>79.5</v>
      </c>
      <c r="N2090" s="3">
        <v>0</v>
      </c>
      <c r="O2090" s="2"/>
      <c r="P2090">
        <v>0</v>
      </c>
      <c r="Q2090" t="s">
        <v>14</v>
      </c>
      <c r="R2090" s="4">
        <v>48.3</v>
      </c>
      <c r="S2090" s="4">
        <v>0</v>
      </c>
      <c r="T2090" t="s">
        <v>31</v>
      </c>
      <c r="U2090" s="4">
        <v>4.9400000000000004</v>
      </c>
      <c r="V2090" s="4">
        <v>2.7759999999999998</v>
      </c>
      <c r="W2090" s="4">
        <v>48.3</v>
      </c>
    </row>
    <row r="2091" spans="1:23" ht="15" customHeight="1" x14ac:dyDescent="0.25">
      <c r="A2091">
        <v>1821</v>
      </c>
      <c r="B2091" s="1">
        <v>46006</v>
      </c>
      <c r="C2091">
        <v>0</v>
      </c>
      <c r="D2091" t="s">
        <v>57</v>
      </c>
      <c r="E2091">
        <v>12</v>
      </c>
      <c r="F2091" t="s">
        <v>32</v>
      </c>
      <c r="G2091" t="s">
        <v>33</v>
      </c>
      <c r="H2091" t="s">
        <v>49</v>
      </c>
      <c r="I2091" t="s">
        <v>27</v>
      </c>
      <c r="J2091" t="s">
        <v>18</v>
      </c>
      <c r="K2091" s="2">
        <v>26000</v>
      </c>
      <c r="L2091" s="3"/>
      <c r="M2091" s="3">
        <v>78.099999999999994</v>
      </c>
      <c r="N2091" s="3">
        <v>0</v>
      </c>
      <c r="O2091" s="2"/>
      <c r="P2091">
        <v>1</v>
      </c>
      <c r="Q2091" t="s">
        <v>17</v>
      </c>
      <c r="R2091" s="4">
        <v>134.44</v>
      </c>
      <c r="S2091" s="4">
        <v>0</v>
      </c>
      <c r="T2091" t="s">
        <v>31</v>
      </c>
      <c r="U2091" s="4">
        <v>14.33</v>
      </c>
      <c r="V2091" s="4">
        <v>5.1710000000000003</v>
      </c>
      <c r="W2091" s="4">
        <v>134.44</v>
      </c>
    </row>
    <row r="2092" spans="1:23" ht="15" customHeight="1" x14ac:dyDescent="0.25">
      <c r="A2092">
        <v>2189</v>
      </c>
      <c r="B2092" s="1">
        <v>46006</v>
      </c>
      <c r="C2092">
        <v>0</v>
      </c>
      <c r="D2092" t="s">
        <v>57</v>
      </c>
      <c r="E2092">
        <v>12</v>
      </c>
      <c r="F2092" t="s">
        <v>32</v>
      </c>
      <c r="G2092" t="s">
        <v>33</v>
      </c>
      <c r="H2092" t="s">
        <v>52</v>
      </c>
      <c r="I2092" t="s">
        <v>13</v>
      </c>
      <c r="J2092" t="s">
        <v>21</v>
      </c>
      <c r="K2092" s="2">
        <v>9800</v>
      </c>
      <c r="L2092" s="3">
        <v>6.7</v>
      </c>
      <c r="M2092" s="3">
        <v>80.3</v>
      </c>
      <c r="N2092" s="3">
        <v>0</v>
      </c>
      <c r="O2092" s="2">
        <v>299</v>
      </c>
      <c r="P2092">
        <v>1</v>
      </c>
      <c r="Q2092" t="s">
        <v>17</v>
      </c>
      <c r="R2092" s="4">
        <v>102.15</v>
      </c>
      <c r="S2092" s="4">
        <v>0</v>
      </c>
      <c r="T2092" t="s">
        <v>31</v>
      </c>
      <c r="U2092" s="4">
        <v>10.75</v>
      </c>
      <c r="V2092" s="4">
        <v>10.423</v>
      </c>
      <c r="W2092" s="4">
        <v>102.15</v>
      </c>
    </row>
    <row r="2093" spans="1:23" ht="15" customHeight="1" x14ac:dyDescent="0.25">
      <c r="A2093">
        <v>349</v>
      </c>
      <c r="B2093" s="1">
        <v>46006</v>
      </c>
      <c r="C2093">
        <v>0</v>
      </c>
      <c r="D2093" t="s">
        <v>57</v>
      </c>
      <c r="E2093">
        <v>12</v>
      </c>
      <c r="F2093" t="s">
        <v>32</v>
      </c>
      <c r="G2093" t="s">
        <v>33</v>
      </c>
      <c r="H2093" t="s">
        <v>53</v>
      </c>
      <c r="I2093" t="s">
        <v>19</v>
      </c>
      <c r="J2093" t="s">
        <v>26</v>
      </c>
      <c r="K2093" s="2">
        <v>12500</v>
      </c>
      <c r="L2093" s="3">
        <v>4</v>
      </c>
      <c r="M2093" s="3">
        <v>71.2</v>
      </c>
      <c r="N2093" s="3">
        <v>0</v>
      </c>
      <c r="O2093" s="2">
        <v>43</v>
      </c>
      <c r="P2093">
        <v>0</v>
      </c>
      <c r="Q2093" t="s">
        <v>14</v>
      </c>
      <c r="R2093" s="4">
        <v>23.35</v>
      </c>
      <c r="S2093" s="4">
        <v>0</v>
      </c>
      <c r="T2093" t="s">
        <v>31</v>
      </c>
      <c r="U2093" s="4">
        <v>2.52</v>
      </c>
      <c r="V2093" s="4">
        <v>1.8680000000000001</v>
      </c>
      <c r="W2093" s="4">
        <v>23.35</v>
      </c>
    </row>
    <row r="2094" spans="1:23" ht="15" customHeight="1" x14ac:dyDescent="0.25">
      <c r="A2094">
        <v>717</v>
      </c>
      <c r="B2094" s="1">
        <v>46006</v>
      </c>
      <c r="C2094">
        <v>0</v>
      </c>
      <c r="D2094" t="s">
        <v>57</v>
      </c>
      <c r="E2094">
        <v>12</v>
      </c>
      <c r="F2094" t="s">
        <v>32</v>
      </c>
      <c r="G2094" t="s">
        <v>33</v>
      </c>
      <c r="H2094" t="s">
        <v>54</v>
      </c>
      <c r="I2094" t="s">
        <v>16</v>
      </c>
      <c r="J2094" t="s">
        <v>24</v>
      </c>
      <c r="K2094" s="2">
        <v>8600</v>
      </c>
      <c r="L2094" s="3">
        <v>4.4000000000000004</v>
      </c>
      <c r="M2094" s="3">
        <v>99</v>
      </c>
      <c r="N2094" s="3">
        <v>0</v>
      </c>
      <c r="O2094" s="2">
        <v>3</v>
      </c>
      <c r="P2094">
        <v>1</v>
      </c>
      <c r="Q2094" t="s">
        <v>17</v>
      </c>
      <c r="R2094" s="4">
        <v>25.52</v>
      </c>
      <c r="S2094" s="4">
        <v>0</v>
      </c>
      <c r="T2094" t="s">
        <v>31</v>
      </c>
      <c r="U2094" s="4">
        <v>2.66</v>
      </c>
      <c r="V2094" s="4">
        <v>2.9670000000000001</v>
      </c>
      <c r="W2094" s="4">
        <v>25.52</v>
      </c>
    </row>
    <row r="2095" spans="1:23" ht="15" customHeight="1" x14ac:dyDescent="0.25">
      <c r="A2095">
        <v>1085</v>
      </c>
      <c r="B2095" s="1">
        <v>46006</v>
      </c>
      <c r="C2095">
        <v>0</v>
      </c>
      <c r="D2095" t="s">
        <v>57</v>
      </c>
      <c r="E2095">
        <v>12</v>
      </c>
      <c r="F2095" t="s">
        <v>32</v>
      </c>
      <c r="G2095" t="s">
        <v>33</v>
      </c>
      <c r="H2095" t="s">
        <v>50</v>
      </c>
      <c r="I2095" t="s">
        <v>22</v>
      </c>
      <c r="J2095" t="s">
        <v>12</v>
      </c>
      <c r="K2095" s="2">
        <v>21000</v>
      </c>
      <c r="L2095" s="3">
        <v>6</v>
      </c>
      <c r="M2095" s="3">
        <v>76.3</v>
      </c>
      <c r="N2095" s="3">
        <v>0</v>
      </c>
      <c r="O2095" s="2">
        <v>240</v>
      </c>
      <c r="P2095">
        <v>1</v>
      </c>
      <c r="Q2095" t="s">
        <v>17</v>
      </c>
      <c r="R2095" s="4">
        <v>186.34</v>
      </c>
      <c r="S2095" s="4">
        <v>0</v>
      </c>
      <c r="T2095" t="s">
        <v>31</v>
      </c>
      <c r="U2095" s="4">
        <v>19.940000000000001</v>
      </c>
      <c r="V2095" s="4">
        <v>8.8729999999999993</v>
      </c>
      <c r="W2095" s="4">
        <v>186.34</v>
      </c>
    </row>
    <row r="2096" spans="1:23" ht="15" customHeight="1" x14ac:dyDescent="0.25">
      <c r="A2096">
        <v>1454</v>
      </c>
      <c r="B2096" s="1">
        <v>46006.333333333343</v>
      </c>
      <c r="C2096">
        <v>8</v>
      </c>
      <c r="D2096" t="s">
        <v>57</v>
      </c>
      <c r="E2096">
        <v>12</v>
      </c>
      <c r="F2096" t="s">
        <v>32</v>
      </c>
      <c r="G2096" t="s">
        <v>33</v>
      </c>
      <c r="H2096" t="s">
        <v>51</v>
      </c>
      <c r="I2096" t="s">
        <v>25</v>
      </c>
      <c r="J2096" t="s">
        <v>15</v>
      </c>
      <c r="K2096" s="2">
        <v>17400</v>
      </c>
      <c r="L2096" s="3">
        <v>10.1</v>
      </c>
      <c r="M2096" s="3">
        <v>99</v>
      </c>
      <c r="N2096" s="3">
        <v>0</v>
      </c>
      <c r="O2096" s="2">
        <v>129</v>
      </c>
      <c r="P2096">
        <v>0</v>
      </c>
      <c r="Q2096" t="s">
        <v>14</v>
      </c>
      <c r="R2096" s="4">
        <v>54.06</v>
      </c>
      <c r="S2096" s="4">
        <v>0</v>
      </c>
      <c r="T2096" t="s">
        <v>34</v>
      </c>
      <c r="U2096" s="4">
        <v>8.99</v>
      </c>
      <c r="V2096" s="4">
        <v>3.1070000000000002</v>
      </c>
      <c r="W2096" s="4">
        <v>54.06</v>
      </c>
    </row>
    <row r="2097" spans="1:23" ht="15" customHeight="1" x14ac:dyDescent="0.25">
      <c r="A2097">
        <v>1086</v>
      </c>
      <c r="B2097" s="1">
        <v>46006.333333333343</v>
      </c>
      <c r="C2097">
        <v>8</v>
      </c>
      <c r="D2097" t="s">
        <v>57</v>
      </c>
      <c r="E2097">
        <v>12</v>
      </c>
      <c r="F2097" t="s">
        <v>32</v>
      </c>
      <c r="G2097" t="s">
        <v>33</v>
      </c>
      <c r="H2097" t="s">
        <v>50</v>
      </c>
      <c r="I2097" t="s">
        <v>22</v>
      </c>
      <c r="J2097" t="s">
        <v>12</v>
      </c>
      <c r="K2097" s="2">
        <v>21000</v>
      </c>
      <c r="L2097" s="3">
        <v>6.6</v>
      </c>
      <c r="M2097" s="3">
        <v>76.3</v>
      </c>
      <c r="N2097" s="3">
        <v>0</v>
      </c>
      <c r="O2097" s="2">
        <v>395</v>
      </c>
      <c r="P2097">
        <v>1</v>
      </c>
      <c r="Q2097" t="s">
        <v>17</v>
      </c>
      <c r="R2097" s="4">
        <v>290.97000000000003</v>
      </c>
      <c r="S2097" s="4">
        <v>0</v>
      </c>
      <c r="T2097" t="s">
        <v>34</v>
      </c>
      <c r="U2097" s="4">
        <v>48.62</v>
      </c>
      <c r="V2097" s="4">
        <v>13.856</v>
      </c>
      <c r="W2097" s="4">
        <v>290.97000000000003</v>
      </c>
    </row>
    <row r="2098" spans="1:23" ht="15" customHeight="1" x14ac:dyDescent="0.25">
      <c r="A2098">
        <v>350</v>
      </c>
      <c r="B2098" s="1">
        <v>46006.333333333343</v>
      </c>
      <c r="C2098">
        <v>8</v>
      </c>
      <c r="D2098" t="s">
        <v>57</v>
      </c>
      <c r="E2098">
        <v>12</v>
      </c>
      <c r="F2098" t="s">
        <v>32</v>
      </c>
      <c r="G2098" t="s">
        <v>33</v>
      </c>
      <c r="H2098" t="s">
        <v>53</v>
      </c>
      <c r="I2098" t="s">
        <v>19</v>
      </c>
      <c r="J2098" t="s">
        <v>26</v>
      </c>
      <c r="K2098" s="2">
        <v>12500</v>
      </c>
      <c r="L2098" s="3">
        <v>4.3</v>
      </c>
      <c r="M2098" s="3">
        <v>75.2</v>
      </c>
      <c r="N2098" s="3">
        <v>0</v>
      </c>
      <c r="O2098" s="2">
        <v>356</v>
      </c>
      <c r="P2098">
        <v>1</v>
      </c>
      <c r="Q2098" t="s">
        <v>17</v>
      </c>
      <c r="R2098" s="4">
        <v>110.02</v>
      </c>
      <c r="S2098" s="4">
        <v>0</v>
      </c>
      <c r="T2098" t="s">
        <v>34</v>
      </c>
      <c r="U2098" s="4">
        <v>18.579999999999998</v>
      </c>
      <c r="V2098" s="4">
        <v>8.8019999999999996</v>
      </c>
      <c r="W2098" s="4">
        <v>110.02</v>
      </c>
    </row>
    <row r="2099" spans="1:23" ht="15" customHeight="1" x14ac:dyDescent="0.25">
      <c r="A2099">
        <v>718</v>
      </c>
      <c r="B2099" s="1">
        <v>46006.333333333343</v>
      </c>
      <c r="C2099">
        <v>8</v>
      </c>
      <c r="D2099" t="s">
        <v>57</v>
      </c>
      <c r="E2099">
        <v>12</v>
      </c>
      <c r="F2099" t="s">
        <v>32</v>
      </c>
      <c r="G2099" t="s">
        <v>33</v>
      </c>
      <c r="H2099" t="s">
        <v>54</v>
      </c>
      <c r="I2099" t="s">
        <v>16</v>
      </c>
      <c r="J2099" t="s">
        <v>24</v>
      </c>
      <c r="K2099" s="2">
        <v>8600</v>
      </c>
      <c r="L2099" s="3">
        <v>7</v>
      </c>
      <c r="M2099" s="3">
        <v>99</v>
      </c>
      <c r="N2099" s="3"/>
      <c r="O2099" s="2">
        <v>818</v>
      </c>
      <c r="P2099">
        <v>1</v>
      </c>
      <c r="Q2099" t="s">
        <v>17</v>
      </c>
      <c r="R2099" s="4">
        <v>127.31</v>
      </c>
      <c r="S2099" s="4">
        <v>0</v>
      </c>
      <c r="T2099" t="s">
        <v>34</v>
      </c>
      <c r="U2099" s="4">
        <v>21.68</v>
      </c>
      <c r="V2099" s="4">
        <v>14.803000000000001</v>
      </c>
      <c r="W2099" s="4">
        <v>127.31</v>
      </c>
    </row>
    <row r="2100" spans="1:23" ht="15" customHeight="1" x14ac:dyDescent="0.25">
      <c r="A2100">
        <v>1822</v>
      </c>
      <c r="B2100" s="1">
        <v>46006.333333333343</v>
      </c>
      <c r="C2100">
        <v>8</v>
      </c>
      <c r="D2100" t="s">
        <v>57</v>
      </c>
      <c r="E2100">
        <v>12</v>
      </c>
      <c r="F2100" t="s">
        <v>32</v>
      </c>
      <c r="G2100" t="s">
        <v>33</v>
      </c>
      <c r="H2100" t="s">
        <v>49</v>
      </c>
      <c r="I2100" t="s">
        <v>27</v>
      </c>
      <c r="J2100" t="s">
        <v>18</v>
      </c>
      <c r="K2100" s="2">
        <v>26000</v>
      </c>
      <c r="L2100" s="3">
        <v>6.8</v>
      </c>
      <c r="M2100" s="3">
        <v>84.3</v>
      </c>
      <c r="N2100" s="3">
        <v>0</v>
      </c>
      <c r="O2100" s="2">
        <v>158</v>
      </c>
      <c r="P2100">
        <v>1</v>
      </c>
      <c r="Q2100" t="s">
        <v>17</v>
      </c>
      <c r="R2100" s="4">
        <v>269.43</v>
      </c>
      <c r="S2100" s="4">
        <v>0</v>
      </c>
      <c r="T2100" t="s">
        <v>34</v>
      </c>
      <c r="U2100" s="4">
        <v>45.56</v>
      </c>
      <c r="V2100" s="4">
        <v>10.363</v>
      </c>
      <c r="W2100" s="4">
        <v>269.43</v>
      </c>
    </row>
    <row r="2101" spans="1:23" ht="15" customHeight="1" x14ac:dyDescent="0.25">
      <c r="A2101">
        <v>2190</v>
      </c>
      <c r="B2101" s="1">
        <v>46006.333333333343</v>
      </c>
      <c r="C2101">
        <v>8</v>
      </c>
      <c r="D2101" t="s">
        <v>57</v>
      </c>
      <c r="E2101">
        <v>12</v>
      </c>
      <c r="F2101" t="s">
        <v>32</v>
      </c>
      <c r="G2101" t="s">
        <v>33</v>
      </c>
      <c r="H2101" t="s">
        <v>52</v>
      </c>
      <c r="I2101" t="s">
        <v>13</v>
      </c>
      <c r="J2101" t="s">
        <v>21</v>
      </c>
      <c r="K2101" s="2">
        <v>9800</v>
      </c>
      <c r="L2101" s="3">
        <v>8.3000000000000007</v>
      </c>
      <c r="M2101" s="3">
        <v>89.1</v>
      </c>
      <c r="N2101" s="3">
        <v>0</v>
      </c>
      <c r="O2101" s="2">
        <v>51</v>
      </c>
      <c r="P2101">
        <v>1</v>
      </c>
      <c r="Q2101" t="s">
        <v>17</v>
      </c>
      <c r="R2101" s="4">
        <v>32.83</v>
      </c>
      <c r="S2101" s="4">
        <v>0</v>
      </c>
      <c r="T2101" t="s">
        <v>34</v>
      </c>
      <c r="U2101" s="4">
        <v>5.52</v>
      </c>
      <c r="V2101" s="4">
        <v>3.35</v>
      </c>
      <c r="W2101" s="4">
        <v>32.83</v>
      </c>
    </row>
    <row r="2102" spans="1:23" ht="15" customHeight="1" x14ac:dyDescent="0.25">
      <c r="A2102">
        <v>1455</v>
      </c>
      <c r="B2102" s="1">
        <v>46006.583333333343</v>
      </c>
      <c r="C2102">
        <v>14</v>
      </c>
      <c r="D2102" t="s">
        <v>57</v>
      </c>
      <c r="E2102">
        <v>12</v>
      </c>
      <c r="F2102" t="s">
        <v>32</v>
      </c>
      <c r="G2102" t="s">
        <v>33</v>
      </c>
      <c r="H2102" t="s">
        <v>51</v>
      </c>
      <c r="I2102" t="s">
        <v>25</v>
      </c>
      <c r="J2102" t="s">
        <v>15</v>
      </c>
      <c r="K2102" s="2">
        <v>17400</v>
      </c>
      <c r="L2102" s="3">
        <v>19.600000000000001</v>
      </c>
      <c r="M2102" s="3">
        <v>67.3</v>
      </c>
      <c r="N2102" s="3">
        <v>429.3</v>
      </c>
      <c r="O2102" s="2">
        <v>1345</v>
      </c>
      <c r="P2102">
        <v>0</v>
      </c>
      <c r="Q2102" t="s">
        <v>14</v>
      </c>
      <c r="R2102" s="4">
        <v>206.86</v>
      </c>
      <c r="S2102" s="4">
        <v>56.27</v>
      </c>
      <c r="T2102" t="s">
        <v>34</v>
      </c>
      <c r="U2102" s="4">
        <v>25.19</v>
      </c>
      <c r="V2102" s="4">
        <v>11.888999999999999</v>
      </c>
      <c r="W2102" s="4">
        <v>150.59</v>
      </c>
    </row>
    <row r="2103" spans="1:23" ht="15" customHeight="1" x14ac:dyDescent="0.25">
      <c r="A2103">
        <v>719</v>
      </c>
      <c r="B2103" s="1">
        <v>46006.583333333343</v>
      </c>
      <c r="C2103">
        <v>14</v>
      </c>
      <c r="D2103" t="s">
        <v>57</v>
      </c>
      <c r="E2103">
        <v>12</v>
      </c>
      <c r="F2103" t="s">
        <v>32</v>
      </c>
      <c r="G2103" t="s">
        <v>33</v>
      </c>
      <c r="H2103" t="s">
        <v>54</v>
      </c>
      <c r="I2103" t="s">
        <v>16</v>
      </c>
      <c r="J2103" t="s">
        <v>24</v>
      </c>
      <c r="K2103" s="2">
        <v>8600</v>
      </c>
      <c r="L2103" s="3">
        <v>13.6</v>
      </c>
      <c r="M2103" s="3">
        <v>88.3</v>
      </c>
      <c r="N2103" s="3">
        <v>393.7</v>
      </c>
      <c r="O2103" s="2">
        <v>877</v>
      </c>
      <c r="P2103">
        <v>1</v>
      </c>
      <c r="Q2103" t="s">
        <v>17</v>
      </c>
      <c r="R2103" s="4">
        <v>88.76</v>
      </c>
      <c r="S2103" s="4">
        <v>28.36</v>
      </c>
      <c r="T2103" t="s">
        <v>34</v>
      </c>
      <c r="U2103" s="4">
        <v>10.47</v>
      </c>
      <c r="V2103" s="4">
        <v>10.321</v>
      </c>
      <c r="W2103" s="4">
        <v>60.4</v>
      </c>
    </row>
    <row r="2104" spans="1:23" ht="15" customHeight="1" x14ac:dyDescent="0.25">
      <c r="A2104">
        <v>1823</v>
      </c>
      <c r="B2104" s="1">
        <v>46006.583333333343</v>
      </c>
      <c r="C2104">
        <v>14</v>
      </c>
      <c r="D2104" t="s">
        <v>57</v>
      </c>
      <c r="E2104">
        <v>12</v>
      </c>
      <c r="F2104" t="s">
        <v>32</v>
      </c>
      <c r="G2104" t="s">
        <v>33</v>
      </c>
      <c r="H2104" t="s">
        <v>49</v>
      </c>
      <c r="I2104" t="s">
        <v>27</v>
      </c>
      <c r="J2104" t="s">
        <v>18</v>
      </c>
      <c r="K2104" s="2">
        <v>26000</v>
      </c>
      <c r="L2104" s="3">
        <v>13.6</v>
      </c>
      <c r="M2104" s="3">
        <v>77.400000000000006</v>
      </c>
      <c r="N2104" s="3">
        <v>396.5</v>
      </c>
      <c r="O2104" s="2">
        <v>170</v>
      </c>
      <c r="P2104">
        <v>1</v>
      </c>
      <c r="Q2104" t="s">
        <v>17</v>
      </c>
      <c r="R2104" s="4">
        <v>165.64</v>
      </c>
      <c r="S2104" s="4">
        <v>111.19</v>
      </c>
      <c r="T2104" t="s">
        <v>34</v>
      </c>
      <c r="U2104" s="4">
        <v>9.06</v>
      </c>
      <c r="V2104" s="4">
        <v>6.3710000000000004</v>
      </c>
      <c r="W2104" s="4">
        <v>54.45</v>
      </c>
    </row>
    <row r="2105" spans="1:23" ht="15" customHeight="1" x14ac:dyDescent="0.25">
      <c r="A2105">
        <v>1087</v>
      </c>
      <c r="B2105" s="1">
        <v>46006.583333333343</v>
      </c>
      <c r="C2105">
        <v>14</v>
      </c>
      <c r="D2105" t="s">
        <v>57</v>
      </c>
      <c r="E2105">
        <v>12</v>
      </c>
      <c r="F2105" t="s">
        <v>32</v>
      </c>
      <c r="G2105" t="s">
        <v>33</v>
      </c>
      <c r="H2105" t="s">
        <v>50</v>
      </c>
      <c r="I2105" t="s">
        <v>22</v>
      </c>
      <c r="J2105" t="s">
        <v>12</v>
      </c>
      <c r="K2105" s="2">
        <v>21000</v>
      </c>
      <c r="L2105" s="3">
        <v>16.5</v>
      </c>
      <c r="M2105" s="3">
        <v>72.400000000000006</v>
      </c>
      <c r="N2105" s="3">
        <v>424.6</v>
      </c>
      <c r="O2105" s="2">
        <v>410</v>
      </c>
      <c r="P2105">
        <v>0</v>
      </c>
      <c r="Q2105" t="s">
        <v>14</v>
      </c>
      <c r="R2105" s="4">
        <v>213.7</v>
      </c>
      <c r="S2105" s="4">
        <v>85.7</v>
      </c>
      <c r="T2105" t="s">
        <v>34</v>
      </c>
      <c r="U2105" s="4">
        <v>21.77</v>
      </c>
      <c r="V2105" s="4">
        <v>10.176</v>
      </c>
      <c r="W2105" s="4">
        <v>128</v>
      </c>
    </row>
    <row r="2106" spans="1:23" ht="15" customHeight="1" x14ac:dyDescent="0.25">
      <c r="A2106">
        <v>2191</v>
      </c>
      <c r="B2106" s="1">
        <v>46006.583333333343</v>
      </c>
      <c r="C2106">
        <v>14</v>
      </c>
      <c r="D2106" t="s">
        <v>57</v>
      </c>
      <c r="E2106">
        <v>12</v>
      </c>
      <c r="F2106" t="s">
        <v>32</v>
      </c>
      <c r="G2106" t="s">
        <v>33</v>
      </c>
      <c r="H2106" t="s">
        <v>52</v>
      </c>
      <c r="I2106" t="s">
        <v>13</v>
      </c>
      <c r="J2106" t="s">
        <v>21</v>
      </c>
      <c r="K2106" s="2">
        <v>9800</v>
      </c>
      <c r="L2106" s="3">
        <v>15.3</v>
      </c>
      <c r="M2106" s="3">
        <v>88.8</v>
      </c>
      <c r="N2106" s="3">
        <v>171.1</v>
      </c>
      <c r="O2106" s="2">
        <v>85</v>
      </c>
      <c r="P2106">
        <v>1</v>
      </c>
      <c r="Q2106" t="s">
        <v>23</v>
      </c>
      <c r="R2106" s="4">
        <v>20.07</v>
      </c>
      <c r="S2106" s="4">
        <v>0</v>
      </c>
      <c r="T2106" t="s">
        <v>34</v>
      </c>
      <c r="U2106" s="4">
        <v>3.32</v>
      </c>
      <c r="V2106" s="4">
        <v>2.048</v>
      </c>
      <c r="W2106" s="4">
        <v>20.07</v>
      </c>
    </row>
    <row r="2107" spans="1:23" ht="15" customHeight="1" x14ac:dyDescent="0.25">
      <c r="A2107">
        <v>351</v>
      </c>
      <c r="B2107" s="1">
        <v>46006.583333333343</v>
      </c>
      <c r="C2107">
        <v>14</v>
      </c>
      <c r="D2107" t="s">
        <v>57</v>
      </c>
      <c r="E2107">
        <v>12</v>
      </c>
      <c r="F2107" t="s">
        <v>32</v>
      </c>
      <c r="G2107" t="s">
        <v>33</v>
      </c>
      <c r="H2107" t="s">
        <v>53</v>
      </c>
      <c r="I2107" t="s">
        <v>19</v>
      </c>
      <c r="J2107" t="s">
        <v>26</v>
      </c>
      <c r="K2107" s="2">
        <v>12500</v>
      </c>
      <c r="L2107" s="3">
        <v>9.1999999999999993</v>
      </c>
      <c r="M2107" s="3">
        <v>89</v>
      </c>
      <c r="N2107" s="3">
        <v>323.7</v>
      </c>
      <c r="O2107" s="2">
        <v>532</v>
      </c>
      <c r="P2107">
        <v>1</v>
      </c>
      <c r="Q2107" t="s">
        <v>17</v>
      </c>
      <c r="R2107" s="4">
        <v>107.09</v>
      </c>
      <c r="S2107" s="4">
        <v>46.56</v>
      </c>
      <c r="T2107" t="s">
        <v>34</v>
      </c>
      <c r="U2107" s="4">
        <v>10.1</v>
      </c>
      <c r="V2107" s="4">
        <v>8.5670000000000002</v>
      </c>
      <c r="W2107" s="4">
        <v>60.53</v>
      </c>
    </row>
    <row r="2108" spans="1:23" ht="15" customHeight="1" x14ac:dyDescent="0.25">
      <c r="A2108">
        <v>1456</v>
      </c>
      <c r="B2108" s="1">
        <v>46006.833333333343</v>
      </c>
      <c r="C2108">
        <v>20</v>
      </c>
      <c r="D2108" t="s">
        <v>57</v>
      </c>
      <c r="E2108">
        <v>12</v>
      </c>
      <c r="F2108" t="s">
        <v>32</v>
      </c>
      <c r="G2108" t="s">
        <v>33</v>
      </c>
      <c r="H2108" t="s">
        <v>51</v>
      </c>
      <c r="I2108" t="s">
        <v>25</v>
      </c>
      <c r="J2108" t="s">
        <v>15</v>
      </c>
      <c r="K2108" s="2">
        <v>17400</v>
      </c>
      <c r="L2108" s="3">
        <v>13</v>
      </c>
      <c r="M2108" s="3"/>
      <c r="N2108" s="3">
        <v>0</v>
      </c>
      <c r="O2108" s="2">
        <v>1412</v>
      </c>
      <c r="P2108">
        <v>1</v>
      </c>
      <c r="Q2108" t="s">
        <v>17</v>
      </c>
      <c r="R2108" s="4">
        <v>278.2</v>
      </c>
      <c r="S2108" s="4">
        <v>0</v>
      </c>
      <c r="T2108" t="s">
        <v>37</v>
      </c>
      <c r="U2108" s="4">
        <v>70.05</v>
      </c>
      <c r="V2108" s="4">
        <v>15.989000000000001</v>
      </c>
      <c r="W2108" s="4">
        <v>278.2</v>
      </c>
    </row>
    <row r="2109" spans="1:23" ht="15" customHeight="1" x14ac:dyDescent="0.25">
      <c r="A2109">
        <v>720</v>
      </c>
      <c r="B2109" s="1">
        <v>46006.833333333343</v>
      </c>
      <c r="C2109">
        <v>20</v>
      </c>
      <c r="D2109" t="s">
        <v>57</v>
      </c>
      <c r="E2109">
        <v>12</v>
      </c>
      <c r="F2109" t="s">
        <v>32</v>
      </c>
      <c r="G2109" t="s">
        <v>33</v>
      </c>
      <c r="H2109" t="s">
        <v>54</v>
      </c>
      <c r="I2109" t="s">
        <v>16</v>
      </c>
      <c r="J2109" t="s">
        <v>24</v>
      </c>
      <c r="K2109" s="2">
        <v>8600</v>
      </c>
      <c r="L2109" s="3">
        <v>13.1</v>
      </c>
      <c r="M2109" s="3">
        <v>89.4</v>
      </c>
      <c r="N2109" s="3">
        <v>0</v>
      </c>
      <c r="O2109" s="2">
        <v>121</v>
      </c>
      <c r="P2109">
        <v>1</v>
      </c>
      <c r="Q2109" t="s">
        <v>17</v>
      </c>
      <c r="R2109" s="4">
        <v>26.55</v>
      </c>
      <c r="S2109" s="4">
        <v>0</v>
      </c>
      <c r="T2109" t="s">
        <v>37</v>
      </c>
      <c r="U2109" s="4">
        <v>6.95</v>
      </c>
      <c r="V2109" s="4">
        <v>3.0870000000000002</v>
      </c>
      <c r="W2109" s="4">
        <v>26.55</v>
      </c>
    </row>
    <row r="2110" spans="1:23" ht="15" customHeight="1" x14ac:dyDescent="0.25">
      <c r="A2110">
        <v>352</v>
      </c>
      <c r="B2110" s="1">
        <v>46006.833333333343</v>
      </c>
      <c r="C2110">
        <v>20</v>
      </c>
      <c r="D2110" t="s">
        <v>57</v>
      </c>
      <c r="E2110">
        <v>12</v>
      </c>
      <c r="F2110" t="s">
        <v>32</v>
      </c>
      <c r="G2110" t="s">
        <v>33</v>
      </c>
      <c r="H2110" t="s">
        <v>53</v>
      </c>
      <c r="I2110" t="s">
        <v>19</v>
      </c>
      <c r="J2110" t="s">
        <v>26</v>
      </c>
      <c r="K2110" s="2">
        <v>12500</v>
      </c>
      <c r="L2110" s="3">
        <v>8.5</v>
      </c>
      <c r="M2110" s="3">
        <v>78.099999999999994</v>
      </c>
      <c r="N2110" s="3">
        <v>0</v>
      </c>
      <c r="O2110" s="2">
        <v>54</v>
      </c>
      <c r="P2110">
        <v>1</v>
      </c>
      <c r="Q2110" t="s">
        <v>17</v>
      </c>
      <c r="R2110" s="4">
        <v>40.270000000000003</v>
      </c>
      <c r="S2110" s="4">
        <v>0</v>
      </c>
      <c r="T2110" t="s">
        <v>37</v>
      </c>
      <c r="U2110" s="4">
        <v>10.28</v>
      </c>
      <c r="V2110" s="4">
        <v>3.222</v>
      </c>
      <c r="W2110" s="4">
        <v>40.270000000000003</v>
      </c>
    </row>
    <row r="2111" spans="1:23" ht="15" customHeight="1" x14ac:dyDescent="0.25">
      <c r="A2111">
        <v>1824</v>
      </c>
      <c r="B2111" s="1">
        <v>46006.833333333343</v>
      </c>
      <c r="C2111">
        <v>20</v>
      </c>
      <c r="D2111" t="s">
        <v>57</v>
      </c>
      <c r="E2111">
        <v>12</v>
      </c>
      <c r="F2111" t="s">
        <v>32</v>
      </c>
      <c r="G2111" t="s">
        <v>33</v>
      </c>
      <c r="H2111" t="s">
        <v>49</v>
      </c>
      <c r="I2111" t="s">
        <v>27</v>
      </c>
      <c r="J2111" t="s">
        <v>18</v>
      </c>
      <c r="K2111" s="2">
        <v>26000</v>
      </c>
      <c r="L2111" s="3">
        <v>8.3000000000000007</v>
      </c>
      <c r="M2111" s="3">
        <v>78.900000000000006</v>
      </c>
      <c r="N2111" s="3">
        <v>0</v>
      </c>
      <c r="O2111" s="2">
        <v>204</v>
      </c>
      <c r="P2111">
        <v>1</v>
      </c>
      <c r="Q2111" t="s">
        <v>17</v>
      </c>
      <c r="R2111" s="4">
        <v>279.60000000000002</v>
      </c>
      <c r="S2111" s="4">
        <v>0</v>
      </c>
      <c r="T2111" t="s">
        <v>37</v>
      </c>
      <c r="U2111" s="4">
        <v>72.19</v>
      </c>
      <c r="V2111" s="4">
        <v>10.754</v>
      </c>
      <c r="W2111" s="4">
        <v>279.60000000000002</v>
      </c>
    </row>
    <row r="2112" spans="1:23" ht="15" customHeight="1" x14ac:dyDescent="0.25">
      <c r="A2112">
        <v>1088</v>
      </c>
      <c r="B2112" s="1">
        <v>46006.833333333343</v>
      </c>
      <c r="C2112">
        <v>20</v>
      </c>
      <c r="D2112" t="s">
        <v>57</v>
      </c>
      <c r="E2112">
        <v>12</v>
      </c>
      <c r="F2112" t="s">
        <v>32</v>
      </c>
      <c r="G2112" t="s">
        <v>33</v>
      </c>
      <c r="H2112" t="s">
        <v>50</v>
      </c>
      <c r="I2112" t="s">
        <v>22</v>
      </c>
      <c r="J2112" t="s">
        <v>12</v>
      </c>
      <c r="K2112" s="2">
        <v>21000</v>
      </c>
      <c r="L2112" s="3">
        <v>12.8</v>
      </c>
      <c r="M2112" s="3">
        <v>77</v>
      </c>
      <c r="N2112" s="3">
        <v>0</v>
      </c>
      <c r="O2112" s="2">
        <v>380</v>
      </c>
      <c r="P2112">
        <v>1</v>
      </c>
      <c r="Q2112" t="s">
        <v>17</v>
      </c>
      <c r="R2112" s="4">
        <v>281.20999999999998</v>
      </c>
      <c r="S2112" s="4">
        <v>0</v>
      </c>
      <c r="T2112" t="s">
        <v>37</v>
      </c>
      <c r="U2112" s="4">
        <v>72.3</v>
      </c>
      <c r="V2112" s="4">
        <v>13.391</v>
      </c>
      <c r="W2112" s="4">
        <v>281.20999999999998</v>
      </c>
    </row>
    <row r="2113" spans="1:23" ht="15" customHeight="1" x14ac:dyDescent="0.25">
      <c r="A2113">
        <v>2192</v>
      </c>
      <c r="B2113" s="1">
        <v>46006.833333333343</v>
      </c>
      <c r="C2113">
        <v>20</v>
      </c>
      <c r="D2113" t="s">
        <v>57</v>
      </c>
      <c r="E2113">
        <v>12</v>
      </c>
      <c r="F2113" t="s">
        <v>32</v>
      </c>
      <c r="G2113" t="s">
        <v>33</v>
      </c>
      <c r="H2113" t="s">
        <v>52</v>
      </c>
      <c r="I2113" t="s">
        <v>13</v>
      </c>
      <c r="J2113" t="s">
        <v>21</v>
      </c>
      <c r="K2113" s="2">
        <v>9800</v>
      </c>
      <c r="L2113" s="3">
        <v>13</v>
      </c>
      <c r="M2113" s="3">
        <v>82.1</v>
      </c>
      <c r="N2113" s="3">
        <v>0</v>
      </c>
      <c r="O2113" s="2">
        <v>294</v>
      </c>
      <c r="P2113">
        <v>1</v>
      </c>
      <c r="Q2113" t="s">
        <v>17</v>
      </c>
      <c r="R2113" s="4">
        <v>95.22</v>
      </c>
      <c r="S2113" s="4">
        <v>0</v>
      </c>
      <c r="T2113" t="s">
        <v>37</v>
      </c>
      <c r="U2113" s="4">
        <v>25.28</v>
      </c>
      <c r="V2113" s="4">
        <v>9.7159999999999993</v>
      </c>
      <c r="W2113" s="4">
        <v>95.22</v>
      </c>
    </row>
    <row r="2114" spans="1:23" ht="15" customHeight="1" x14ac:dyDescent="0.25">
      <c r="A2114">
        <v>2193</v>
      </c>
      <c r="B2114" s="1">
        <v>46010</v>
      </c>
      <c r="C2114">
        <v>0</v>
      </c>
      <c r="D2114" t="s">
        <v>58</v>
      </c>
      <c r="E2114">
        <v>12</v>
      </c>
      <c r="F2114" t="s">
        <v>32</v>
      </c>
      <c r="G2114" t="s">
        <v>33</v>
      </c>
      <c r="H2114" t="s">
        <v>52</v>
      </c>
      <c r="I2114" t="s">
        <v>13</v>
      </c>
      <c r="J2114" t="s">
        <v>21</v>
      </c>
      <c r="K2114" s="2">
        <v>9800</v>
      </c>
      <c r="L2114" s="3">
        <v>6.7</v>
      </c>
      <c r="M2114" s="3">
        <v>76.7</v>
      </c>
      <c r="N2114" s="3">
        <v>0</v>
      </c>
      <c r="O2114" s="2">
        <v>301</v>
      </c>
      <c r="P2114">
        <v>1</v>
      </c>
      <c r="Q2114" t="s">
        <v>17</v>
      </c>
      <c r="R2114" s="4">
        <v>104.63</v>
      </c>
      <c r="S2114" s="4">
        <v>0</v>
      </c>
      <c r="T2114" t="s">
        <v>31</v>
      </c>
      <c r="U2114" s="4">
        <v>10.45</v>
      </c>
      <c r="V2114" s="4">
        <v>10.677</v>
      </c>
      <c r="W2114" s="4">
        <v>104.63</v>
      </c>
    </row>
    <row r="2115" spans="1:23" ht="15" customHeight="1" x14ac:dyDescent="0.25">
      <c r="A2115">
        <v>721</v>
      </c>
      <c r="B2115" s="1">
        <v>46010</v>
      </c>
      <c r="C2115">
        <v>0</v>
      </c>
      <c r="D2115" t="s">
        <v>58</v>
      </c>
      <c r="E2115">
        <v>12</v>
      </c>
      <c r="F2115" t="s">
        <v>32</v>
      </c>
      <c r="G2115" t="s">
        <v>33</v>
      </c>
      <c r="H2115" t="s">
        <v>54</v>
      </c>
      <c r="I2115" t="s">
        <v>16</v>
      </c>
      <c r="J2115" t="s">
        <v>24</v>
      </c>
      <c r="K2115" s="2">
        <v>8600</v>
      </c>
      <c r="L2115" s="3">
        <v>4.9000000000000004</v>
      </c>
      <c r="M2115" s="3">
        <v>95.4</v>
      </c>
      <c r="N2115" s="3">
        <v>0</v>
      </c>
      <c r="O2115" s="2">
        <v>55</v>
      </c>
      <c r="P2115">
        <v>1</v>
      </c>
      <c r="Q2115" t="s">
        <v>17</v>
      </c>
      <c r="R2115" s="4">
        <v>27.09</v>
      </c>
      <c r="S2115" s="4">
        <v>0</v>
      </c>
      <c r="T2115" t="s">
        <v>31</v>
      </c>
      <c r="U2115" s="4">
        <v>2.83</v>
      </c>
      <c r="V2115" s="4">
        <v>3.15</v>
      </c>
      <c r="W2115" s="4">
        <v>27.09</v>
      </c>
    </row>
    <row r="2116" spans="1:23" ht="15" customHeight="1" x14ac:dyDescent="0.25">
      <c r="A2116">
        <v>1825</v>
      </c>
      <c r="B2116" s="1">
        <v>46010</v>
      </c>
      <c r="C2116">
        <v>0</v>
      </c>
      <c r="D2116" t="s">
        <v>58</v>
      </c>
      <c r="E2116">
        <v>12</v>
      </c>
      <c r="F2116" t="s">
        <v>32</v>
      </c>
      <c r="G2116" t="s">
        <v>33</v>
      </c>
      <c r="H2116" t="s">
        <v>49</v>
      </c>
      <c r="I2116" t="s">
        <v>27</v>
      </c>
      <c r="J2116" t="s">
        <v>18</v>
      </c>
      <c r="K2116" s="2">
        <v>26000</v>
      </c>
      <c r="L2116" s="3">
        <v>-0.5</v>
      </c>
      <c r="M2116" s="3">
        <v>83.5</v>
      </c>
      <c r="N2116" s="3">
        <v>0</v>
      </c>
      <c r="O2116" s="2">
        <v>41</v>
      </c>
      <c r="P2116">
        <v>1</v>
      </c>
      <c r="Q2116" t="s">
        <v>17</v>
      </c>
      <c r="R2116" s="4">
        <v>135.52000000000001</v>
      </c>
      <c r="S2116" s="4">
        <v>0</v>
      </c>
      <c r="T2116" t="s">
        <v>31</v>
      </c>
      <c r="U2116" s="4">
        <v>13.9</v>
      </c>
      <c r="V2116" s="4">
        <v>5.2119999999999997</v>
      </c>
      <c r="W2116" s="4">
        <v>135.52000000000001</v>
      </c>
    </row>
    <row r="2117" spans="1:23" ht="15" customHeight="1" x14ac:dyDescent="0.25">
      <c r="A2117">
        <v>353</v>
      </c>
      <c r="B2117" s="1">
        <v>46010</v>
      </c>
      <c r="C2117">
        <v>0</v>
      </c>
      <c r="D2117" t="s">
        <v>58</v>
      </c>
      <c r="E2117">
        <v>12</v>
      </c>
      <c r="F2117" t="s">
        <v>32</v>
      </c>
      <c r="G2117" t="s">
        <v>33</v>
      </c>
      <c r="H2117" t="s">
        <v>53</v>
      </c>
      <c r="I2117" t="s">
        <v>19</v>
      </c>
      <c r="J2117" t="s">
        <v>26</v>
      </c>
      <c r="K2117" s="2">
        <v>12500</v>
      </c>
      <c r="L2117" s="3">
        <v>-1.3</v>
      </c>
      <c r="M2117" s="3"/>
      <c r="N2117" s="3">
        <v>0</v>
      </c>
      <c r="O2117" s="2">
        <v>0</v>
      </c>
      <c r="P2117">
        <v>0</v>
      </c>
      <c r="Q2117" t="s">
        <v>14</v>
      </c>
      <c r="R2117" s="4">
        <v>23.91</v>
      </c>
      <c r="S2117" s="4">
        <v>0</v>
      </c>
      <c r="T2117" t="s">
        <v>31</v>
      </c>
      <c r="U2117" s="4">
        <v>2.44</v>
      </c>
      <c r="V2117" s="4">
        <v>1.913</v>
      </c>
      <c r="W2117" s="4">
        <v>23.91</v>
      </c>
    </row>
    <row r="2118" spans="1:23" ht="15" customHeight="1" x14ac:dyDescent="0.25">
      <c r="A2118">
        <v>1089</v>
      </c>
      <c r="B2118" s="1">
        <v>46010</v>
      </c>
      <c r="C2118">
        <v>0</v>
      </c>
      <c r="D2118" t="s">
        <v>58</v>
      </c>
      <c r="E2118">
        <v>12</v>
      </c>
      <c r="F2118" t="s">
        <v>32</v>
      </c>
      <c r="G2118" t="s">
        <v>33</v>
      </c>
      <c r="H2118" t="s">
        <v>50</v>
      </c>
      <c r="I2118" t="s">
        <v>22</v>
      </c>
      <c r="J2118" t="s">
        <v>12</v>
      </c>
      <c r="K2118" s="2">
        <v>21000</v>
      </c>
      <c r="L2118" s="3">
        <v>3.5</v>
      </c>
      <c r="M2118" s="3">
        <v>77.8</v>
      </c>
      <c r="N2118" s="3">
        <v>0</v>
      </c>
      <c r="O2118" s="2">
        <v>156</v>
      </c>
      <c r="P2118">
        <v>1</v>
      </c>
      <c r="Q2118" t="s">
        <v>17</v>
      </c>
      <c r="R2118" s="4">
        <v>191.7</v>
      </c>
      <c r="S2118" s="4">
        <v>0</v>
      </c>
      <c r="T2118" t="s">
        <v>31</v>
      </c>
      <c r="U2118" s="4">
        <v>19.78</v>
      </c>
      <c r="V2118" s="4">
        <v>9.1289999999999996</v>
      </c>
      <c r="W2118" s="4">
        <v>191.7</v>
      </c>
    </row>
    <row r="2119" spans="1:23" ht="15" customHeight="1" x14ac:dyDescent="0.25">
      <c r="A2119">
        <v>1457</v>
      </c>
      <c r="B2119" s="1">
        <v>46010</v>
      </c>
      <c r="C2119">
        <v>0</v>
      </c>
      <c r="D2119" t="s">
        <v>58</v>
      </c>
      <c r="E2119">
        <v>12</v>
      </c>
      <c r="F2119" t="s">
        <v>32</v>
      </c>
      <c r="G2119" t="s">
        <v>33</v>
      </c>
      <c r="H2119" t="s">
        <v>51</v>
      </c>
      <c r="I2119" t="s">
        <v>25</v>
      </c>
      <c r="J2119" t="s">
        <v>15</v>
      </c>
      <c r="K2119" s="2">
        <v>17400</v>
      </c>
      <c r="L2119" s="3"/>
      <c r="M2119" s="3">
        <v>78.8</v>
      </c>
      <c r="N2119" s="3">
        <v>0</v>
      </c>
      <c r="O2119" s="2">
        <v>257</v>
      </c>
      <c r="P2119">
        <v>0</v>
      </c>
      <c r="Q2119" t="s">
        <v>14</v>
      </c>
      <c r="R2119" s="4">
        <v>60.49</v>
      </c>
      <c r="S2119" s="4">
        <v>0</v>
      </c>
      <c r="T2119" t="s">
        <v>31</v>
      </c>
      <c r="U2119" s="4">
        <v>6.3</v>
      </c>
      <c r="V2119" s="4">
        <v>3.476</v>
      </c>
      <c r="W2119" s="4">
        <v>60.49</v>
      </c>
    </row>
    <row r="2120" spans="1:23" ht="15" customHeight="1" x14ac:dyDescent="0.25">
      <c r="A2120">
        <v>2194</v>
      </c>
      <c r="B2120" s="1">
        <v>46010.333333333343</v>
      </c>
      <c r="C2120">
        <v>8</v>
      </c>
      <c r="D2120" t="s">
        <v>58</v>
      </c>
      <c r="E2120">
        <v>12</v>
      </c>
      <c r="F2120" t="s">
        <v>32</v>
      </c>
      <c r="G2120" t="s">
        <v>33</v>
      </c>
      <c r="H2120" t="s">
        <v>52</v>
      </c>
      <c r="I2120" t="s">
        <v>13</v>
      </c>
      <c r="J2120" t="s">
        <v>21</v>
      </c>
      <c r="K2120" s="2">
        <v>9800</v>
      </c>
      <c r="L2120" s="3">
        <v>9.1999999999999993</v>
      </c>
      <c r="M2120" s="3">
        <v>96.5</v>
      </c>
      <c r="N2120" s="3">
        <v>0</v>
      </c>
      <c r="O2120" s="2">
        <v>54</v>
      </c>
      <c r="P2120">
        <v>1</v>
      </c>
      <c r="Q2120" t="s">
        <v>17</v>
      </c>
      <c r="R2120" s="4">
        <v>33.770000000000003</v>
      </c>
      <c r="S2120" s="4">
        <v>0</v>
      </c>
      <c r="T2120" t="s">
        <v>34</v>
      </c>
      <c r="U2120" s="4">
        <v>5.66</v>
      </c>
      <c r="V2120" s="4">
        <v>3.4460000000000002</v>
      </c>
      <c r="W2120" s="4">
        <v>33.770000000000003</v>
      </c>
    </row>
    <row r="2121" spans="1:23" ht="15" customHeight="1" x14ac:dyDescent="0.25">
      <c r="A2121">
        <v>1090</v>
      </c>
      <c r="B2121" s="1">
        <v>46010.333333333343</v>
      </c>
      <c r="C2121">
        <v>8</v>
      </c>
      <c r="D2121" t="s">
        <v>58</v>
      </c>
      <c r="E2121">
        <v>12</v>
      </c>
      <c r="F2121" t="s">
        <v>32</v>
      </c>
      <c r="G2121" t="s">
        <v>33</v>
      </c>
      <c r="H2121" t="s">
        <v>50</v>
      </c>
      <c r="I2121" t="s">
        <v>22</v>
      </c>
      <c r="J2121" t="s">
        <v>12</v>
      </c>
      <c r="K2121" s="2">
        <v>21000</v>
      </c>
      <c r="L2121" s="3">
        <v>6.2</v>
      </c>
      <c r="M2121" s="3">
        <v>69</v>
      </c>
      <c r="N2121" s="3">
        <v>0</v>
      </c>
      <c r="O2121" s="2">
        <v>408</v>
      </c>
      <c r="P2121">
        <v>1</v>
      </c>
      <c r="Q2121" t="s">
        <v>17</v>
      </c>
      <c r="R2121" s="4">
        <v>285.33</v>
      </c>
      <c r="S2121" s="4">
        <v>0</v>
      </c>
      <c r="T2121" t="s">
        <v>34</v>
      </c>
      <c r="U2121" s="4">
        <v>48.93</v>
      </c>
      <c r="V2121" s="4">
        <v>13.587</v>
      </c>
      <c r="W2121" s="4">
        <v>285.33</v>
      </c>
    </row>
    <row r="2122" spans="1:23" ht="15" customHeight="1" x14ac:dyDescent="0.25">
      <c r="A2122">
        <v>722</v>
      </c>
      <c r="B2122" s="1">
        <v>46010.333333333343</v>
      </c>
      <c r="C2122">
        <v>8</v>
      </c>
      <c r="D2122" t="s">
        <v>58</v>
      </c>
      <c r="E2122">
        <v>12</v>
      </c>
      <c r="F2122" t="s">
        <v>32</v>
      </c>
      <c r="G2122" t="s">
        <v>33</v>
      </c>
      <c r="H2122" t="s">
        <v>54</v>
      </c>
      <c r="I2122" t="s">
        <v>16</v>
      </c>
      <c r="J2122" t="s">
        <v>24</v>
      </c>
      <c r="K2122" s="2">
        <v>8600</v>
      </c>
      <c r="L2122" s="3">
        <v>6.8</v>
      </c>
      <c r="M2122" s="3">
        <v>95.1</v>
      </c>
      <c r="N2122" s="3">
        <v>0</v>
      </c>
      <c r="O2122" s="2">
        <v>775</v>
      </c>
      <c r="P2122">
        <v>1</v>
      </c>
      <c r="Q2122" t="s">
        <v>17</v>
      </c>
      <c r="R2122" s="4">
        <v>113.59</v>
      </c>
      <c r="S2122" s="4">
        <v>0</v>
      </c>
      <c r="T2122" t="s">
        <v>34</v>
      </c>
      <c r="U2122" s="4">
        <v>18.79</v>
      </c>
      <c r="V2122" s="4">
        <v>13.208</v>
      </c>
      <c r="W2122" s="4">
        <v>113.59</v>
      </c>
    </row>
    <row r="2123" spans="1:23" ht="15" customHeight="1" x14ac:dyDescent="0.25">
      <c r="A2123">
        <v>1826</v>
      </c>
      <c r="B2123" s="1">
        <v>46010.333333333343</v>
      </c>
      <c r="C2123">
        <v>8</v>
      </c>
      <c r="D2123" t="s">
        <v>58</v>
      </c>
      <c r="E2123">
        <v>12</v>
      </c>
      <c r="F2123" t="s">
        <v>32</v>
      </c>
      <c r="G2123" t="s">
        <v>33</v>
      </c>
      <c r="H2123" t="s">
        <v>49</v>
      </c>
      <c r="I2123" t="s">
        <v>27</v>
      </c>
      <c r="J2123" t="s">
        <v>18</v>
      </c>
      <c r="K2123" s="2">
        <v>26000</v>
      </c>
      <c r="L2123" s="3">
        <v>4</v>
      </c>
      <c r="M2123" s="3">
        <v>73.8</v>
      </c>
      <c r="N2123" s="3">
        <v>0</v>
      </c>
      <c r="O2123" s="2">
        <v>166</v>
      </c>
      <c r="P2123">
        <v>1</v>
      </c>
      <c r="Q2123" t="s">
        <v>17</v>
      </c>
      <c r="R2123" s="4">
        <v>266.89999999999998</v>
      </c>
      <c r="S2123" s="4">
        <v>0</v>
      </c>
      <c r="T2123" t="s">
        <v>34</v>
      </c>
      <c r="U2123" s="4">
        <v>45.96</v>
      </c>
      <c r="V2123" s="4">
        <v>10.265000000000001</v>
      </c>
      <c r="W2123" s="4">
        <v>266.89999999999998</v>
      </c>
    </row>
    <row r="2124" spans="1:23" ht="15" customHeight="1" x14ac:dyDescent="0.25">
      <c r="A2124">
        <v>354</v>
      </c>
      <c r="B2124" s="1">
        <v>46010.333333333343</v>
      </c>
      <c r="C2124">
        <v>8</v>
      </c>
      <c r="D2124" t="s">
        <v>58</v>
      </c>
      <c r="E2124">
        <v>12</v>
      </c>
      <c r="F2124" t="s">
        <v>32</v>
      </c>
      <c r="G2124" t="s">
        <v>33</v>
      </c>
      <c r="H2124" t="s">
        <v>53</v>
      </c>
      <c r="I2124" t="s">
        <v>19</v>
      </c>
      <c r="J2124" t="s">
        <v>26</v>
      </c>
      <c r="K2124" s="2">
        <v>12500</v>
      </c>
      <c r="L2124" s="3">
        <v>3.7</v>
      </c>
      <c r="M2124" s="3">
        <v>76.2</v>
      </c>
      <c r="N2124" s="3">
        <v>0</v>
      </c>
      <c r="O2124" s="2">
        <v>339</v>
      </c>
      <c r="P2124">
        <v>1</v>
      </c>
      <c r="Q2124" t="s">
        <v>17</v>
      </c>
      <c r="R2124" s="4">
        <v>111.93</v>
      </c>
      <c r="S2124" s="4">
        <v>0</v>
      </c>
      <c r="T2124" t="s">
        <v>34</v>
      </c>
      <c r="U2124" s="4">
        <v>18.54</v>
      </c>
      <c r="V2124" s="4">
        <v>8.9540000000000006</v>
      </c>
      <c r="W2124" s="4">
        <v>111.93</v>
      </c>
    </row>
    <row r="2125" spans="1:23" ht="15" customHeight="1" x14ac:dyDescent="0.25">
      <c r="A2125">
        <v>1458</v>
      </c>
      <c r="B2125" s="1">
        <v>46010.333333333343</v>
      </c>
      <c r="C2125">
        <v>8</v>
      </c>
      <c r="D2125" t="s">
        <v>58</v>
      </c>
      <c r="E2125">
        <v>12</v>
      </c>
      <c r="F2125" t="s">
        <v>32</v>
      </c>
      <c r="G2125" t="s">
        <v>33</v>
      </c>
      <c r="H2125" t="s">
        <v>51</v>
      </c>
      <c r="I2125" t="s">
        <v>25</v>
      </c>
      <c r="J2125" t="s">
        <v>15</v>
      </c>
      <c r="K2125" s="2">
        <v>17400</v>
      </c>
      <c r="L2125" s="3">
        <v>9.1999999999999993</v>
      </c>
      <c r="M2125" s="3">
        <v>87.8</v>
      </c>
      <c r="N2125" s="3">
        <v>0</v>
      </c>
      <c r="O2125" s="2">
        <v>87</v>
      </c>
      <c r="P2125">
        <v>0</v>
      </c>
      <c r="Q2125" t="s">
        <v>14</v>
      </c>
      <c r="R2125" s="4">
        <v>51.54</v>
      </c>
      <c r="S2125" s="4">
        <v>0</v>
      </c>
      <c r="T2125" t="s">
        <v>34</v>
      </c>
      <c r="U2125" s="4">
        <v>8.56</v>
      </c>
      <c r="V2125" s="4">
        <v>2.9620000000000002</v>
      </c>
      <c r="W2125" s="4">
        <v>51.54</v>
      </c>
    </row>
    <row r="2126" spans="1:23" ht="15" customHeight="1" x14ac:dyDescent="0.25">
      <c r="A2126">
        <v>1091</v>
      </c>
      <c r="B2126" s="1">
        <v>46010.583333333343</v>
      </c>
      <c r="C2126">
        <v>14</v>
      </c>
      <c r="D2126" t="s">
        <v>58</v>
      </c>
      <c r="E2126">
        <v>12</v>
      </c>
      <c r="F2126" t="s">
        <v>32</v>
      </c>
      <c r="G2126" t="s">
        <v>33</v>
      </c>
      <c r="H2126" t="s">
        <v>50</v>
      </c>
      <c r="I2126" t="s">
        <v>22</v>
      </c>
      <c r="J2126" t="s">
        <v>12</v>
      </c>
      <c r="K2126" s="2">
        <v>21000</v>
      </c>
      <c r="L2126" s="3">
        <v>16.5</v>
      </c>
      <c r="M2126" s="3">
        <v>76</v>
      </c>
      <c r="N2126" s="3">
        <v>431.7</v>
      </c>
      <c r="O2126" s="2">
        <v>429</v>
      </c>
      <c r="P2126">
        <v>0</v>
      </c>
      <c r="Q2126" t="s">
        <v>14</v>
      </c>
      <c r="R2126" s="4">
        <v>208.13</v>
      </c>
      <c r="S2126" s="4">
        <v>91.51</v>
      </c>
      <c r="T2126" t="s">
        <v>34</v>
      </c>
      <c r="U2126" s="4">
        <v>19.53</v>
      </c>
      <c r="V2126" s="4">
        <v>9.9109999999999996</v>
      </c>
      <c r="W2126" s="4">
        <v>116.62</v>
      </c>
    </row>
    <row r="2127" spans="1:23" ht="15" customHeight="1" x14ac:dyDescent="0.25">
      <c r="A2127">
        <v>1827</v>
      </c>
      <c r="B2127" s="1">
        <v>46010.583333333343</v>
      </c>
      <c r="C2127">
        <v>14</v>
      </c>
      <c r="D2127" t="s">
        <v>58</v>
      </c>
      <c r="E2127">
        <v>12</v>
      </c>
      <c r="F2127" t="s">
        <v>32</v>
      </c>
      <c r="G2127" t="s">
        <v>33</v>
      </c>
      <c r="H2127" t="s">
        <v>49</v>
      </c>
      <c r="I2127" t="s">
        <v>27</v>
      </c>
      <c r="J2127" t="s">
        <v>18</v>
      </c>
      <c r="K2127" s="2">
        <v>26000</v>
      </c>
      <c r="L2127" s="3">
        <v>16.7</v>
      </c>
      <c r="M2127" s="3">
        <v>79.400000000000006</v>
      </c>
      <c r="N2127" s="3">
        <v>369.8</v>
      </c>
      <c r="O2127" s="2">
        <v>189</v>
      </c>
      <c r="P2127">
        <v>0</v>
      </c>
      <c r="Q2127" t="s">
        <v>14</v>
      </c>
      <c r="R2127" s="4">
        <v>155.26</v>
      </c>
      <c r="S2127" s="4">
        <v>98.48</v>
      </c>
      <c r="T2127" t="s">
        <v>34</v>
      </c>
      <c r="U2127" s="4">
        <v>9.5399999999999991</v>
      </c>
      <c r="V2127" s="4">
        <v>5.9720000000000004</v>
      </c>
      <c r="W2127" s="4">
        <v>56.78</v>
      </c>
    </row>
    <row r="2128" spans="1:23" ht="15" customHeight="1" x14ac:dyDescent="0.25">
      <c r="A2128">
        <v>723</v>
      </c>
      <c r="B2128" s="1">
        <v>46010.583333333343</v>
      </c>
      <c r="C2128">
        <v>14</v>
      </c>
      <c r="D2128" t="s">
        <v>58</v>
      </c>
      <c r="E2128">
        <v>12</v>
      </c>
      <c r="F2128" t="s">
        <v>32</v>
      </c>
      <c r="G2128" t="s">
        <v>33</v>
      </c>
      <c r="H2128" t="s">
        <v>54</v>
      </c>
      <c r="I2128" t="s">
        <v>16</v>
      </c>
      <c r="J2128" t="s">
        <v>24</v>
      </c>
      <c r="K2128" s="2">
        <v>8600</v>
      </c>
      <c r="L2128" s="3">
        <v>10.199999999999999</v>
      </c>
      <c r="M2128" s="3">
        <v>99</v>
      </c>
      <c r="N2128" s="3">
        <v>194.4</v>
      </c>
      <c r="O2128" s="2">
        <v>759</v>
      </c>
      <c r="P2128">
        <v>1</v>
      </c>
      <c r="Q2128" t="s">
        <v>17</v>
      </c>
      <c r="R2128" s="4">
        <v>85.3</v>
      </c>
      <c r="S2128" s="4">
        <v>14.49</v>
      </c>
      <c r="T2128" t="s">
        <v>34</v>
      </c>
      <c r="U2128" s="4">
        <v>11.78</v>
      </c>
      <c r="V2128" s="4">
        <v>9.9190000000000005</v>
      </c>
      <c r="W2128" s="4">
        <v>70.81</v>
      </c>
    </row>
    <row r="2129" spans="1:23" ht="15" customHeight="1" x14ac:dyDescent="0.25">
      <c r="A2129">
        <v>2195</v>
      </c>
      <c r="B2129" s="1">
        <v>46010.583333333343</v>
      </c>
      <c r="C2129">
        <v>14</v>
      </c>
      <c r="D2129" t="s">
        <v>58</v>
      </c>
      <c r="E2129">
        <v>12</v>
      </c>
      <c r="F2129" t="s">
        <v>32</v>
      </c>
      <c r="G2129" t="s">
        <v>33</v>
      </c>
      <c r="H2129" t="s">
        <v>52</v>
      </c>
      <c r="I2129" t="s">
        <v>13</v>
      </c>
      <c r="J2129" t="s">
        <v>21</v>
      </c>
      <c r="K2129" s="2">
        <v>9800</v>
      </c>
      <c r="L2129" s="3">
        <v>15.2</v>
      </c>
      <c r="M2129" s="3">
        <v>93.1</v>
      </c>
      <c r="N2129" s="3">
        <v>259.89999999999998</v>
      </c>
      <c r="O2129" s="2">
        <v>65</v>
      </c>
      <c r="P2129">
        <v>1</v>
      </c>
      <c r="Q2129" t="s">
        <v>23</v>
      </c>
      <c r="R2129" s="4">
        <v>17.77</v>
      </c>
      <c r="S2129" s="4">
        <v>0</v>
      </c>
      <c r="T2129" t="s">
        <v>34</v>
      </c>
      <c r="U2129" s="4">
        <v>2.91</v>
      </c>
      <c r="V2129" s="4">
        <v>1.8129999999999999</v>
      </c>
      <c r="W2129" s="4">
        <v>17.77</v>
      </c>
    </row>
    <row r="2130" spans="1:23" ht="15" customHeight="1" x14ac:dyDescent="0.25">
      <c r="A2130">
        <v>355</v>
      </c>
      <c r="B2130" s="1">
        <v>46010.583333333343</v>
      </c>
      <c r="C2130">
        <v>14</v>
      </c>
      <c r="D2130" t="s">
        <v>58</v>
      </c>
      <c r="E2130">
        <v>12</v>
      </c>
      <c r="F2130" t="s">
        <v>32</v>
      </c>
      <c r="G2130" t="s">
        <v>33</v>
      </c>
      <c r="H2130" t="s">
        <v>53</v>
      </c>
      <c r="I2130" t="s">
        <v>19</v>
      </c>
      <c r="J2130" t="s">
        <v>26</v>
      </c>
      <c r="K2130" s="2">
        <v>12500</v>
      </c>
      <c r="L2130" s="3">
        <v>9</v>
      </c>
      <c r="M2130" s="3">
        <v>67.400000000000006</v>
      </c>
      <c r="N2130" s="3">
        <v>550.9</v>
      </c>
      <c r="O2130" s="2">
        <v>649</v>
      </c>
      <c r="P2130">
        <v>1</v>
      </c>
      <c r="Q2130" t="s">
        <v>17</v>
      </c>
      <c r="R2130" s="4">
        <v>112.19</v>
      </c>
      <c r="S2130" s="4">
        <v>82.56</v>
      </c>
      <c r="T2130" t="s">
        <v>34</v>
      </c>
      <c r="U2130" s="4">
        <v>4.92</v>
      </c>
      <c r="V2130" s="4">
        <v>8.9749999999999996</v>
      </c>
      <c r="W2130" s="4">
        <v>29.63</v>
      </c>
    </row>
    <row r="2131" spans="1:23" ht="15" customHeight="1" x14ac:dyDescent="0.25">
      <c r="A2131">
        <v>1459</v>
      </c>
      <c r="B2131" s="1">
        <v>46010.583333333343</v>
      </c>
      <c r="C2131">
        <v>14</v>
      </c>
      <c r="D2131" t="s">
        <v>58</v>
      </c>
      <c r="E2131">
        <v>12</v>
      </c>
      <c r="F2131" t="s">
        <v>32</v>
      </c>
      <c r="G2131" t="s">
        <v>33</v>
      </c>
      <c r="H2131" t="s">
        <v>51</v>
      </c>
      <c r="I2131" t="s">
        <v>25</v>
      </c>
      <c r="J2131" t="s">
        <v>15</v>
      </c>
      <c r="K2131" s="2">
        <v>17400</v>
      </c>
      <c r="L2131" s="3">
        <v>14.5</v>
      </c>
      <c r="M2131" s="3">
        <v>70</v>
      </c>
      <c r="N2131" s="3">
        <v>411.7</v>
      </c>
      <c r="O2131" s="2">
        <v>1312</v>
      </c>
      <c r="P2131">
        <v>1</v>
      </c>
      <c r="Q2131" t="s">
        <v>23</v>
      </c>
      <c r="R2131" s="4">
        <v>208.73</v>
      </c>
      <c r="S2131" s="4">
        <v>50.83</v>
      </c>
      <c r="T2131" t="s">
        <v>34</v>
      </c>
      <c r="U2131" s="4">
        <v>26.59</v>
      </c>
      <c r="V2131" s="4">
        <v>11.996</v>
      </c>
      <c r="W2131" s="4">
        <v>157.9</v>
      </c>
    </row>
    <row r="2132" spans="1:23" ht="15" customHeight="1" x14ac:dyDescent="0.25">
      <c r="A2132">
        <v>2196</v>
      </c>
      <c r="B2132" s="1">
        <v>46010.833333333343</v>
      </c>
      <c r="C2132">
        <v>20</v>
      </c>
      <c r="D2132" t="s">
        <v>58</v>
      </c>
      <c r="E2132">
        <v>12</v>
      </c>
      <c r="F2132" t="s">
        <v>32</v>
      </c>
      <c r="G2132" t="s">
        <v>33</v>
      </c>
      <c r="H2132" t="s">
        <v>52</v>
      </c>
      <c r="I2132" t="s">
        <v>13</v>
      </c>
      <c r="J2132" t="s">
        <v>21</v>
      </c>
      <c r="K2132" s="2">
        <v>9800</v>
      </c>
      <c r="L2132" s="3">
        <v>7.9</v>
      </c>
      <c r="M2132" s="3"/>
      <c r="N2132" s="3">
        <v>0</v>
      </c>
      <c r="O2132" s="2">
        <v>288</v>
      </c>
      <c r="P2132">
        <v>1</v>
      </c>
      <c r="Q2132" t="s">
        <v>17</v>
      </c>
      <c r="R2132" s="4">
        <v>101.73</v>
      </c>
      <c r="S2132" s="4">
        <v>0</v>
      </c>
      <c r="T2132" t="s">
        <v>37</v>
      </c>
      <c r="U2132" s="4">
        <v>25.72</v>
      </c>
      <c r="V2132" s="4">
        <v>10.381</v>
      </c>
      <c r="W2132" s="4">
        <v>101.73</v>
      </c>
    </row>
    <row r="2133" spans="1:23" ht="15" customHeight="1" x14ac:dyDescent="0.25">
      <c r="A2133">
        <v>356</v>
      </c>
      <c r="B2133" s="1">
        <v>46010.833333333343</v>
      </c>
      <c r="C2133">
        <v>20</v>
      </c>
      <c r="D2133" t="s">
        <v>58</v>
      </c>
      <c r="E2133">
        <v>12</v>
      </c>
      <c r="F2133" t="s">
        <v>32</v>
      </c>
      <c r="G2133" t="s">
        <v>33</v>
      </c>
      <c r="H2133" t="s">
        <v>53</v>
      </c>
      <c r="I2133" t="s">
        <v>19</v>
      </c>
      <c r="J2133" t="s">
        <v>26</v>
      </c>
      <c r="K2133" s="2">
        <v>12500</v>
      </c>
      <c r="L2133" s="3">
        <v>6.3</v>
      </c>
      <c r="M2133" s="3">
        <v>83.4</v>
      </c>
      <c r="N2133" s="3">
        <v>0</v>
      </c>
      <c r="O2133" s="2">
        <v>77</v>
      </c>
      <c r="P2133">
        <v>1</v>
      </c>
      <c r="Q2133" t="s">
        <v>17</v>
      </c>
      <c r="R2133" s="4">
        <v>44.96</v>
      </c>
      <c r="S2133" s="4">
        <v>0</v>
      </c>
      <c r="T2133" t="s">
        <v>37</v>
      </c>
      <c r="U2133" s="4">
        <v>11.02</v>
      </c>
      <c r="V2133" s="4">
        <v>3.597</v>
      </c>
      <c r="W2133" s="4">
        <v>44.96</v>
      </c>
    </row>
    <row r="2134" spans="1:23" ht="15" customHeight="1" x14ac:dyDescent="0.25">
      <c r="A2134">
        <v>1092</v>
      </c>
      <c r="B2134" s="1">
        <v>46010.833333333343</v>
      </c>
      <c r="C2134">
        <v>20</v>
      </c>
      <c r="D2134" t="s">
        <v>58</v>
      </c>
      <c r="E2134">
        <v>12</v>
      </c>
      <c r="F2134" t="s">
        <v>32</v>
      </c>
      <c r="G2134" t="s">
        <v>33</v>
      </c>
      <c r="H2134" t="s">
        <v>50</v>
      </c>
      <c r="I2134" t="s">
        <v>22</v>
      </c>
      <c r="J2134" t="s">
        <v>12</v>
      </c>
      <c r="K2134" s="2">
        <v>21000</v>
      </c>
      <c r="L2134" s="3">
        <v>12.9</v>
      </c>
      <c r="M2134" s="3">
        <v>61.1</v>
      </c>
      <c r="N2134" s="3">
        <v>0</v>
      </c>
      <c r="O2134" s="2">
        <v>410</v>
      </c>
      <c r="P2134">
        <v>1</v>
      </c>
      <c r="Q2134" t="s">
        <v>17</v>
      </c>
      <c r="R2134" s="4">
        <v>291.52999999999997</v>
      </c>
      <c r="S2134" s="4">
        <v>0</v>
      </c>
      <c r="T2134" t="s">
        <v>37</v>
      </c>
      <c r="U2134" s="4">
        <v>74.08</v>
      </c>
      <c r="V2134" s="4">
        <v>13.882</v>
      </c>
      <c r="W2134" s="4">
        <v>291.52999999999997</v>
      </c>
    </row>
    <row r="2135" spans="1:23" ht="15" customHeight="1" x14ac:dyDescent="0.25">
      <c r="A2135">
        <v>1828</v>
      </c>
      <c r="B2135" s="1">
        <v>46010.833333333343</v>
      </c>
      <c r="C2135">
        <v>20</v>
      </c>
      <c r="D2135" t="s">
        <v>58</v>
      </c>
      <c r="E2135">
        <v>12</v>
      </c>
      <c r="F2135" t="s">
        <v>32</v>
      </c>
      <c r="G2135" t="s">
        <v>33</v>
      </c>
      <c r="H2135" t="s">
        <v>49</v>
      </c>
      <c r="I2135" t="s">
        <v>27</v>
      </c>
      <c r="J2135" t="s">
        <v>18</v>
      </c>
      <c r="K2135" s="2">
        <v>26000</v>
      </c>
      <c r="L2135" s="3">
        <v>7.6</v>
      </c>
      <c r="M2135" s="3">
        <v>79.7</v>
      </c>
      <c r="N2135" s="3">
        <v>0</v>
      </c>
      <c r="O2135" s="2">
        <v>185</v>
      </c>
      <c r="P2135">
        <v>1</v>
      </c>
      <c r="Q2135" t="s">
        <v>17</v>
      </c>
      <c r="R2135" s="4">
        <v>273.29000000000002</v>
      </c>
      <c r="S2135" s="4">
        <v>0</v>
      </c>
      <c r="T2135" t="s">
        <v>37</v>
      </c>
      <c r="U2135" s="4">
        <v>69.930000000000007</v>
      </c>
      <c r="V2135" s="4">
        <v>10.510999999999999</v>
      </c>
      <c r="W2135" s="4">
        <v>273.29000000000002</v>
      </c>
    </row>
    <row r="2136" spans="1:23" ht="15" customHeight="1" x14ac:dyDescent="0.25">
      <c r="A2136">
        <v>724</v>
      </c>
      <c r="B2136" s="1">
        <v>46010.833333333343</v>
      </c>
      <c r="C2136">
        <v>20</v>
      </c>
      <c r="D2136" t="s">
        <v>58</v>
      </c>
      <c r="E2136">
        <v>12</v>
      </c>
      <c r="F2136" t="s">
        <v>32</v>
      </c>
      <c r="G2136" t="s">
        <v>33</v>
      </c>
      <c r="H2136" t="s">
        <v>54</v>
      </c>
      <c r="I2136" t="s">
        <v>16</v>
      </c>
      <c r="J2136" t="s">
        <v>24</v>
      </c>
      <c r="K2136" s="2">
        <v>8600</v>
      </c>
      <c r="L2136" s="3">
        <v>8.6999999999999993</v>
      </c>
      <c r="M2136" s="3">
        <v>94</v>
      </c>
      <c r="N2136" s="3">
        <v>0</v>
      </c>
      <c r="O2136" s="2">
        <v>24</v>
      </c>
      <c r="P2136">
        <v>1</v>
      </c>
      <c r="Q2136" t="s">
        <v>17</v>
      </c>
      <c r="R2136" s="4">
        <v>23.97</v>
      </c>
      <c r="S2136" s="4">
        <v>0</v>
      </c>
      <c r="T2136" t="s">
        <v>37</v>
      </c>
      <c r="U2136" s="4">
        <v>6.22</v>
      </c>
      <c r="V2136" s="4">
        <v>2.7869999999999999</v>
      </c>
      <c r="W2136" s="4">
        <v>23.97</v>
      </c>
    </row>
    <row r="2137" spans="1:23" ht="15" customHeight="1" x14ac:dyDescent="0.25">
      <c r="A2137">
        <v>1460</v>
      </c>
      <c r="B2137" s="1">
        <v>46010.833333333343</v>
      </c>
      <c r="C2137">
        <v>20</v>
      </c>
      <c r="D2137" t="s">
        <v>58</v>
      </c>
      <c r="E2137">
        <v>12</v>
      </c>
      <c r="F2137" t="s">
        <v>32</v>
      </c>
      <c r="G2137" t="s">
        <v>33</v>
      </c>
      <c r="H2137" t="s">
        <v>51</v>
      </c>
      <c r="I2137" t="s">
        <v>25</v>
      </c>
      <c r="J2137" t="s">
        <v>15</v>
      </c>
      <c r="K2137" s="2">
        <v>17400</v>
      </c>
      <c r="L2137" s="3">
        <v>11.4</v>
      </c>
      <c r="M2137" s="3">
        <v>77.599999999999994</v>
      </c>
      <c r="N2137" s="3">
        <v>0</v>
      </c>
      <c r="O2137" s="2">
        <v>1268</v>
      </c>
      <c r="P2137">
        <v>1</v>
      </c>
      <c r="Q2137" t="s">
        <v>17</v>
      </c>
      <c r="R2137" s="4">
        <v>285.27999999999997</v>
      </c>
      <c r="S2137" s="4">
        <v>0</v>
      </c>
      <c r="T2137" t="s">
        <v>37</v>
      </c>
      <c r="U2137" s="4">
        <v>74.66</v>
      </c>
      <c r="V2137" s="4">
        <v>16.395</v>
      </c>
      <c r="W2137" s="4">
        <v>285.27999999999997</v>
      </c>
    </row>
    <row r="2138" spans="1:23" ht="15" customHeight="1" x14ac:dyDescent="0.25">
      <c r="A2138">
        <v>1829</v>
      </c>
      <c r="B2138" s="1">
        <v>46014</v>
      </c>
      <c r="C2138">
        <v>0</v>
      </c>
      <c r="D2138" t="s">
        <v>59</v>
      </c>
      <c r="E2138">
        <v>12</v>
      </c>
      <c r="F2138" t="s">
        <v>32</v>
      </c>
      <c r="G2138" t="s">
        <v>33</v>
      </c>
      <c r="H2138" t="s">
        <v>49</v>
      </c>
      <c r="I2138" t="s">
        <v>27</v>
      </c>
      <c r="J2138" t="s">
        <v>18</v>
      </c>
      <c r="K2138" s="2">
        <v>26000</v>
      </c>
      <c r="L2138" s="3">
        <v>2.1</v>
      </c>
      <c r="M2138" s="3">
        <v>76.3</v>
      </c>
      <c r="N2138" s="3">
        <v>0</v>
      </c>
      <c r="O2138" s="2">
        <v>66</v>
      </c>
      <c r="P2138">
        <v>1</v>
      </c>
      <c r="Q2138" t="s">
        <v>17</v>
      </c>
      <c r="R2138" s="4">
        <v>133.49</v>
      </c>
      <c r="S2138" s="4">
        <v>0</v>
      </c>
      <c r="T2138" t="s">
        <v>31</v>
      </c>
      <c r="U2138" s="4">
        <v>14.23</v>
      </c>
      <c r="V2138" s="4">
        <v>5.1340000000000003</v>
      </c>
      <c r="W2138" s="4">
        <v>133.49</v>
      </c>
    </row>
    <row r="2139" spans="1:23" ht="15" customHeight="1" x14ac:dyDescent="0.25">
      <c r="A2139">
        <v>357</v>
      </c>
      <c r="B2139" s="1">
        <v>46014</v>
      </c>
      <c r="C2139">
        <v>0</v>
      </c>
      <c r="D2139" t="s">
        <v>59</v>
      </c>
      <c r="E2139">
        <v>12</v>
      </c>
      <c r="F2139" t="s">
        <v>32</v>
      </c>
      <c r="G2139" t="s">
        <v>33</v>
      </c>
      <c r="H2139" t="s">
        <v>53</v>
      </c>
      <c r="I2139" t="s">
        <v>19</v>
      </c>
      <c r="J2139" t="s">
        <v>26</v>
      </c>
      <c r="K2139" s="2">
        <v>12500</v>
      </c>
      <c r="L2139" s="3">
        <v>-0.7</v>
      </c>
      <c r="M2139" s="3">
        <v>76</v>
      </c>
      <c r="N2139" s="3">
        <v>0</v>
      </c>
      <c r="O2139" s="2">
        <v>39</v>
      </c>
      <c r="P2139">
        <v>0</v>
      </c>
      <c r="Q2139" t="s">
        <v>14</v>
      </c>
      <c r="R2139" s="4">
        <v>23.66</v>
      </c>
      <c r="S2139" s="4">
        <v>0</v>
      </c>
      <c r="T2139" t="s">
        <v>31</v>
      </c>
      <c r="U2139" s="4">
        <v>2.4500000000000002</v>
      </c>
      <c r="V2139" s="4">
        <v>1.893</v>
      </c>
      <c r="W2139" s="4">
        <v>23.66</v>
      </c>
    </row>
    <row r="2140" spans="1:23" ht="15" customHeight="1" x14ac:dyDescent="0.25">
      <c r="A2140">
        <v>1093</v>
      </c>
      <c r="B2140" s="1">
        <v>46014</v>
      </c>
      <c r="C2140">
        <v>0</v>
      </c>
      <c r="D2140" t="s">
        <v>59</v>
      </c>
      <c r="E2140">
        <v>12</v>
      </c>
      <c r="F2140" t="s">
        <v>32</v>
      </c>
      <c r="G2140" t="s">
        <v>33</v>
      </c>
      <c r="H2140" t="s">
        <v>50</v>
      </c>
      <c r="I2140" t="s">
        <v>22</v>
      </c>
      <c r="J2140" t="s">
        <v>12</v>
      </c>
      <c r="K2140" s="2">
        <v>21000</v>
      </c>
      <c r="L2140" s="3">
        <v>2.9</v>
      </c>
      <c r="M2140" s="3">
        <v>87.7</v>
      </c>
      <c r="N2140" s="3">
        <v>0</v>
      </c>
      <c r="O2140" s="2">
        <v>203</v>
      </c>
      <c r="P2140">
        <v>1</v>
      </c>
      <c r="Q2140" t="s">
        <v>17</v>
      </c>
      <c r="R2140" s="4">
        <v>187.4</v>
      </c>
      <c r="S2140" s="4">
        <v>0</v>
      </c>
      <c r="T2140" t="s">
        <v>31</v>
      </c>
      <c r="U2140" s="4">
        <v>18.95</v>
      </c>
      <c r="V2140" s="4">
        <v>8.9239999999999995</v>
      </c>
      <c r="W2140" s="4">
        <v>187.4</v>
      </c>
    </row>
    <row r="2141" spans="1:23" ht="15" customHeight="1" x14ac:dyDescent="0.25">
      <c r="A2141">
        <v>1461</v>
      </c>
      <c r="B2141" s="1">
        <v>46014</v>
      </c>
      <c r="C2141">
        <v>0</v>
      </c>
      <c r="D2141" t="s">
        <v>59</v>
      </c>
      <c r="E2141">
        <v>12</v>
      </c>
      <c r="F2141" t="s">
        <v>32</v>
      </c>
      <c r="G2141" t="s">
        <v>33</v>
      </c>
      <c r="H2141" t="s">
        <v>51</v>
      </c>
      <c r="I2141" t="s">
        <v>25</v>
      </c>
      <c r="J2141" t="s">
        <v>15</v>
      </c>
      <c r="K2141" s="2">
        <v>17400</v>
      </c>
      <c r="L2141" s="3">
        <v>9.5</v>
      </c>
      <c r="M2141" s="3">
        <v>94.9</v>
      </c>
      <c r="N2141" s="3">
        <v>0</v>
      </c>
      <c r="O2141" s="2">
        <v>58</v>
      </c>
      <c r="P2141">
        <v>0</v>
      </c>
      <c r="Q2141" t="s">
        <v>14</v>
      </c>
      <c r="R2141" s="4">
        <v>49.89</v>
      </c>
      <c r="S2141" s="4">
        <v>0</v>
      </c>
      <c r="T2141" t="s">
        <v>31</v>
      </c>
      <c r="U2141" s="4">
        <v>4.99</v>
      </c>
      <c r="V2141" s="4">
        <v>2.867</v>
      </c>
      <c r="W2141" s="4">
        <v>49.89</v>
      </c>
    </row>
    <row r="2142" spans="1:23" ht="15" customHeight="1" x14ac:dyDescent="0.25">
      <c r="A2142">
        <v>725</v>
      </c>
      <c r="B2142" s="1">
        <v>46014</v>
      </c>
      <c r="C2142">
        <v>0</v>
      </c>
      <c r="D2142" t="s">
        <v>59</v>
      </c>
      <c r="E2142">
        <v>12</v>
      </c>
      <c r="F2142" t="s">
        <v>32</v>
      </c>
      <c r="G2142" t="s">
        <v>33</v>
      </c>
      <c r="H2142" t="s">
        <v>54</v>
      </c>
      <c r="I2142" t="s">
        <v>16</v>
      </c>
      <c r="J2142" t="s">
        <v>24</v>
      </c>
      <c r="K2142" s="2">
        <v>8600</v>
      </c>
      <c r="L2142" s="3">
        <v>8.6999999999999993</v>
      </c>
      <c r="M2142" s="3">
        <v>95.7</v>
      </c>
      <c r="N2142" s="3">
        <v>0</v>
      </c>
      <c r="O2142" s="2">
        <v>88</v>
      </c>
      <c r="P2142">
        <v>0</v>
      </c>
      <c r="Q2142" t="s">
        <v>14</v>
      </c>
      <c r="R2142" s="4">
        <v>17.739999999999998</v>
      </c>
      <c r="S2142" s="4">
        <v>0</v>
      </c>
      <c r="T2142" t="s">
        <v>31</v>
      </c>
      <c r="U2142" s="4">
        <v>1.81</v>
      </c>
      <c r="V2142" s="4">
        <v>2.0630000000000002</v>
      </c>
      <c r="W2142" s="4">
        <v>17.739999999999998</v>
      </c>
    </row>
    <row r="2143" spans="1:23" ht="15" customHeight="1" x14ac:dyDescent="0.25">
      <c r="A2143">
        <v>2197</v>
      </c>
      <c r="B2143" s="1">
        <v>46014</v>
      </c>
      <c r="C2143">
        <v>0</v>
      </c>
      <c r="D2143" t="s">
        <v>59</v>
      </c>
      <c r="E2143">
        <v>12</v>
      </c>
      <c r="F2143" t="s">
        <v>32</v>
      </c>
      <c r="G2143" t="s">
        <v>33</v>
      </c>
      <c r="H2143" t="s">
        <v>52</v>
      </c>
      <c r="I2143" t="s">
        <v>13</v>
      </c>
      <c r="J2143" t="s">
        <v>21</v>
      </c>
      <c r="K2143" s="2">
        <v>9800</v>
      </c>
      <c r="L2143" s="3">
        <v>7.4</v>
      </c>
      <c r="M2143" s="3">
        <v>99</v>
      </c>
      <c r="N2143" s="3">
        <v>0</v>
      </c>
      <c r="O2143" s="2">
        <v>326</v>
      </c>
      <c r="P2143">
        <v>1</v>
      </c>
      <c r="Q2143" t="s">
        <v>17</v>
      </c>
      <c r="R2143" s="4">
        <v>95.83</v>
      </c>
      <c r="S2143" s="4">
        <v>0</v>
      </c>
      <c r="T2143" t="s">
        <v>31</v>
      </c>
      <c r="U2143" s="4">
        <v>10.06</v>
      </c>
      <c r="V2143" s="4">
        <v>9.7789999999999999</v>
      </c>
      <c r="W2143" s="4">
        <v>95.83</v>
      </c>
    </row>
    <row r="2144" spans="1:23" ht="15" customHeight="1" x14ac:dyDescent="0.25">
      <c r="A2144">
        <v>358</v>
      </c>
      <c r="B2144" s="1">
        <v>46014.333333333343</v>
      </c>
      <c r="C2144">
        <v>8</v>
      </c>
      <c r="D2144" t="s">
        <v>59</v>
      </c>
      <c r="E2144">
        <v>12</v>
      </c>
      <c r="F2144" t="s">
        <v>32</v>
      </c>
      <c r="G2144" t="s">
        <v>33</v>
      </c>
      <c r="H2144" t="s">
        <v>53</v>
      </c>
      <c r="I2144" t="s">
        <v>19</v>
      </c>
      <c r="J2144" t="s">
        <v>26</v>
      </c>
      <c r="K2144" s="2">
        <v>12500</v>
      </c>
      <c r="L2144" s="3">
        <v>0.8</v>
      </c>
      <c r="M2144" s="3">
        <v>81.8</v>
      </c>
      <c r="N2144" s="3">
        <v>0</v>
      </c>
      <c r="O2144" s="2">
        <v>338</v>
      </c>
      <c r="P2144">
        <v>1</v>
      </c>
      <c r="Q2144" t="s">
        <v>17</v>
      </c>
      <c r="R2144" s="4">
        <v>111.21</v>
      </c>
      <c r="S2144" s="4">
        <v>0</v>
      </c>
      <c r="T2144" t="s">
        <v>34</v>
      </c>
      <c r="U2144" s="4">
        <v>17.84</v>
      </c>
      <c r="V2144" s="4">
        <v>8.8970000000000002</v>
      </c>
      <c r="W2144" s="4">
        <v>111.21</v>
      </c>
    </row>
    <row r="2145" spans="1:23" ht="15" customHeight="1" x14ac:dyDescent="0.25">
      <c r="A2145">
        <v>1830</v>
      </c>
      <c r="B2145" s="1">
        <v>46014.333333333343</v>
      </c>
      <c r="C2145">
        <v>8</v>
      </c>
      <c r="D2145" t="s">
        <v>59</v>
      </c>
      <c r="E2145">
        <v>12</v>
      </c>
      <c r="F2145" t="s">
        <v>32</v>
      </c>
      <c r="G2145" t="s">
        <v>33</v>
      </c>
      <c r="H2145" t="s">
        <v>49</v>
      </c>
      <c r="I2145" t="s">
        <v>27</v>
      </c>
      <c r="J2145" t="s">
        <v>18</v>
      </c>
      <c r="K2145" s="2">
        <v>26000</v>
      </c>
      <c r="L2145" s="3">
        <v>4.9000000000000004</v>
      </c>
      <c r="M2145" s="3">
        <v>83.8</v>
      </c>
      <c r="N2145" s="3">
        <v>0</v>
      </c>
      <c r="O2145" s="2">
        <v>169</v>
      </c>
      <c r="P2145">
        <v>1</v>
      </c>
      <c r="Q2145" t="s">
        <v>17</v>
      </c>
      <c r="R2145" s="4">
        <v>257.82</v>
      </c>
      <c r="S2145" s="4">
        <v>0</v>
      </c>
      <c r="T2145" t="s">
        <v>34</v>
      </c>
      <c r="U2145" s="4">
        <v>41.35</v>
      </c>
      <c r="V2145" s="4">
        <v>9.9160000000000004</v>
      </c>
      <c r="W2145" s="4">
        <v>257.82</v>
      </c>
    </row>
    <row r="2146" spans="1:23" ht="15" customHeight="1" x14ac:dyDescent="0.25">
      <c r="A2146">
        <v>2198</v>
      </c>
      <c r="B2146" s="1">
        <v>46014.333333333343</v>
      </c>
      <c r="C2146">
        <v>8</v>
      </c>
      <c r="D2146" t="s">
        <v>59</v>
      </c>
      <c r="E2146">
        <v>12</v>
      </c>
      <c r="F2146" t="s">
        <v>32</v>
      </c>
      <c r="G2146" t="s">
        <v>33</v>
      </c>
      <c r="H2146" t="s">
        <v>52</v>
      </c>
      <c r="I2146" t="s">
        <v>13</v>
      </c>
      <c r="J2146" t="s">
        <v>21</v>
      </c>
      <c r="K2146" s="2">
        <v>9800</v>
      </c>
      <c r="L2146" s="3">
        <v>8.9</v>
      </c>
      <c r="M2146" s="3">
        <v>81.3</v>
      </c>
      <c r="N2146" s="3">
        <v>0</v>
      </c>
      <c r="O2146" s="2">
        <v>90</v>
      </c>
      <c r="P2146">
        <v>1</v>
      </c>
      <c r="Q2146" t="s">
        <v>17</v>
      </c>
      <c r="R2146" s="4">
        <v>39.57</v>
      </c>
      <c r="S2146" s="4">
        <v>0</v>
      </c>
      <c r="T2146" t="s">
        <v>34</v>
      </c>
      <c r="U2146" s="4">
        <v>6.56</v>
      </c>
      <c r="V2146" s="4">
        <v>4.0380000000000003</v>
      </c>
      <c r="W2146" s="4">
        <v>39.57</v>
      </c>
    </row>
    <row r="2147" spans="1:23" ht="15" customHeight="1" x14ac:dyDescent="0.25">
      <c r="A2147">
        <v>1094</v>
      </c>
      <c r="B2147" s="1">
        <v>46014.333333333343</v>
      </c>
      <c r="C2147">
        <v>8</v>
      </c>
      <c r="D2147" t="s">
        <v>59</v>
      </c>
      <c r="E2147">
        <v>12</v>
      </c>
      <c r="F2147" t="s">
        <v>32</v>
      </c>
      <c r="G2147" t="s">
        <v>33</v>
      </c>
      <c r="H2147" t="s">
        <v>50</v>
      </c>
      <c r="I2147" t="s">
        <v>22</v>
      </c>
      <c r="J2147" t="s">
        <v>12</v>
      </c>
      <c r="K2147" s="2">
        <v>21000</v>
      </c>
      <c r="L2147" s="3">
        <v>4.5</v>
      </c>
      <c r="M2147" s="3">
        <v>82.8</v>
      </c>
      <c r="N2147" s="3">
        <v>0</v>
      </c>
      <c r="O2147" s="2">
        <v>406</v>
      </c>
      <c r="P2147">
        <v>1</v>
      </c>
      <c r="Q2147" t="s">
        <v>17</v>
      </c>
      <c r="R2147" s="4">
        <v>306.69</v>
      </c>
      <c r="S2147" s="4">
        <v>0</v>
      </c>
      <c r="T2147" t="s">
        <v>34</v>
      </c>
      <c r="U2147" s="4">
        <v>51</v>
      </c>
      <c r="V2147" s="4">
        <v>14.603999999999999</v>
      </c>
      <c r="W2147" s="4">
        <v>306.69</v>
      </c>
    </row>
    <row r="2148" spans="1:23" ht="15" customHeight="1" x14ac:dyDescent="0.25">
      <c r="A2148">
        <v>726</v>
      </c>
      <c r="B2148" s="1">
        <v>46014.333333333343</v>
      </c>
      <c r="C2148">
        <v>8</v>
      </c>
      <c r="D2148" t="s">
        <v>59</v>
      </c>
      <c r="E2148">
        <v>12</v>
      </c>
      <c r="F2148" t="s">
        <v>32</v>
      </c>
      <c r="G2148" t="s">
        <v>33</v>
      </c>
      <c r="H2148" t="s">
        <v>54</v>
      </c>
      <c r="I2148" t="s">
        <v>16</v>
      </c>
      <c r="J2148" t="s">
        <v>24</v>
      </c>
      <c r="K2148" s="2">
        <v>8600</v>
      </c>
      <c r="L2148" s="3">
        <v>7.1</v>
      </c>
      <c r="M2148" s="3">
        <v>87.8</v>
      </c>
      <c r="N2148" s="3">
        <v>0</v>
      </c>
      <c r="O2148" s="2">
        <v>7</v>
      </c>
      <c r="P2148">
        <v>0</v>
      </c>
      <c r="Q2148" t="s">
        <v>14</v>
      </c>
      <c r="R2148" s="4">
        <v>12.22</v>
      </c>
      <c r="S2148" s="4">
        <v>0</v>
      </c>
      <c r="T2148" t="s">
        <v>34</v>
      </c>
      <c r="U2148" s="4">
        <v>2.0499999999999998</v>
      </c>
      <c r="V2148" s="4">
        <v>1.421</v>
      </c>
      <c r="W2148" s="4">
        <v>12.22</v>
      </c>
    </row>
    <row r="2149" spans="1:23" ht="15" customHeight="1" x14ac:dyDescent="0.25">
      <c r="A2149">
        <v>1462</v>
      </c>
      <c r="B2149" s="1">
        <v>46014.333333333343</v>
      </c>
      <c r="C2149">
        <v>8</v>
      </c>
      <c r="D2149" t="s">
        <v>59</v>
      </c>
      <c r="E2149">
        <v>12</v>
      </c>
      <c r="F2149" t="s">
        <v>32</v>
      </c>
      <c r="G2149" t="s">
        <v>33</v>
      </c>
      <c r="H2149" t="s">
        <v>51</v>
      </c>
      <c r="I2149" t="s">
        <v>25</v>
      </c>
      <c r="J2149" t="s">
        <v>15</v>
      </c>
      <c r="K2149" s="2">
        <v>17400</v>
      </c>
      <c r="L2149" s="3">
        <v>10</v>
      </c>
      <c r="M2149" s="3">
        <v>87.4</v>
      </c>
      <c r="N2149" s="3">
        <v>0</v>
      </c>
      <c r="O2149" s="2">
        <v>182</v>
      </c>
      <c r="P2149">
        <v>0</v>
      </c>
      <c r="Q2149" t="s">
        <v>14</v>
      </c>
      <c r="R2149" s="4">
        <v>56.09</v>
      </c>
      <c r="S2149" s="4">
        <v>0</v>
      </c>
      <c r="T2149" t="s">
        <v>34</v>
      </c>
      <c r="U2149" s="4">
        <v>9.4600000000000009</v>
      </c>
      <c r="V2149" s="4">
        <v>3.2240000000000002</v>
      </c>
      <c r="W2149" s="4">
        <v>56.09</v>
      </c>
    </row>
    <row r="2150" spans="1:23" ht="15" customHeight="1" x14ac:dyDescent="0.25">
      <c r="A2150">
        <v>2199</v>
      </c>
      <c r="B2150" s="1">
        <v>46014.583333333343</v>
      </c>
      <c r="C2150">
        <v>14</v>
      </c>
      <c r="D2150" t="s">
        <v>59</v>
      </c>
      <c r="E2150">
        <v>12</v>
      </c>
      <c r="F2150" t="s">
        <v>32</v>
      </c>
      <c r="G2150" t="s">
        <v>33</v>
      </c>
      <c r="H2150" t="s">
        <v>52</v>
      </c>
      <c r="I2150" t="s">
        <v>13</v>
      </c>
      <c r="J2150" t="s">
        <v>21</v>
      </c>
      <c r="K2150" s="2">
        <v>9800</v>
      </c>
      <c r="L2150" s="3">
        <v>15.2</v>
      </c>
      <c r="M2150" s="3">
        <v>89.4</v>
      </c>
      <c r="N2150" s="3">
        <v>336.2</v>
      </c>
      <c r="O2150" s="2"/>
      <c r="P2150">
        <v>1</v>
      </c>
      <c r="Q2150" t="s">
        <v>23</v>
      </c>
      <c r="R2150" s="4">
        <v>19.04</v>
      </c>
      <c r="S2150" s="4">
        <v>0</v>
      </c>
      <c r="T2150" t="s">
        <v>34</v>
      </c>
      <c r="U2150" s="4">
        <v>3.04</v>
      </c>
      <c r="V2150" s="4">
        <v>1.9430000000000001</v>
      </c>
      <c r="W2150" s="4">
        <v>19.04</v>
      </c>
    </row>
    <row r="2151" spans="1:23" ht="15" customHeight="1" x14ac:dyDescent="0.25">
      <c r="A2151">
        <v>727</v>
      </c>
      <c r="B2151" s="1">
        <v>46014.583333333343</v>
      </c>
      <c r="C2151">
        <v>14</v>
      </c>
      <c r="D2151" t="s">
        <v>59</v>
      </c>
      <c r="E2151">
        <v>12</v>
      </c>
      <c r="F2151" t="s">
        <v>32</v>
      </c>
      <c r="G2151" t="s">
        <v>33</v>
      </c>
      <c r="H2151" t="s">
        <v>54</v>
      </c>
      <c r="I2151" t="s">
        <v>16</v>
      </c>
      <c r="J2151" t="s">
        <v>24</v>
      </c>
      <c r="K2151" s="2">
        <v>8600</v>
      </c>
      <c r="L2151" s="3">
        <v>8.9</v>
      </c>
      <c r="M2151" s="3">
        <v>93.1</v>
      </c>
      <c r="N2151" s="3">
        <v>239.1</v>
      </c>
      <c r="O2151" s="2">
        <v>0</v>
      </c>
      <c r="P2151">
        <v>0</v>
      </c>
      <c r="Q2151" t="s">
        <v>14</v>
      </c>
      <c r="R2151" s="4">
        <v>7.12</v>
      </c>
      <c r="S2151" s="4">
        <v>18.66</v>
      </c>
      <c r="T2151" t="s">
        <v>34</v>
      </c>
      <c r="U2151" s="4">
        <v>-0.75</v>
      </c>
      <c r="V2151" s="4">
        <v>0.82799999999999996</v>
      </c>
      <c r="W2151" s="4">
        <v>0</v>
      </c>
    </row>
    <row r="2152" spans="1:23" ht="15" customHeight="1" x14ac:dyDescent="0.25">
      <c r="A2152">
        <v>1095</v>
      </c>
      <c r="B2152" s="1">
        <v>46014.583333333343</v>
      </c>
      <c r="C2152">
        <v>14</v>
      </c>
      <c r="D2152" t="s">
        <v>59</v>
      </c>
      <c r="E2152">
        <v>12</v>
      </c>
      <c r="F2152" t="s">
        <v>32</v>
      </c>
      <c r="G2152" t="s">
        <v>33</v>
      </c>
      <c r="H2152" t="s">
        <v>50</v>
      </c>
      <c r="I2152" t="s">
        <v>22</v>
      </c>
      <c r="J2152" t="s">
        <v>12</v>
      </c>
      <c r="K2152" s="2">
        <v>21000</v>
      </c>
      <c r="L2152" s="3">
        <v>12</v>
      </c>
      <c r="M2152" s="3">
        <v>75.099999999999994</v>
      </c>
      <c r="N2152" s="3">
        <v>443.5</v>
      </c>
      <c r="O2152" s="2">
        <v>434</v>
      </c>
      <c r="P2152">
        <v>1</v>
      </c>
      <c r="Q2152" t="s">
        <v>17</v>
      </c>
      <c r="R2152" s="4">
        <v>213.65</v>
      </c>
      <c r="S2152" s="4">
        <v>82.13</v>
      </c>
      <c r="T2152" t="s">
        <v>34</v>
      </c>
      <c r="U2152" s="4">
        <v>22.03</v>
      </c>
      <c r="V2152" s="4">
        <v>10.173999999999999</v>
      </c>
      <c r="W2152" s="4">
        <v>131.52000000000001</v>
      </c>
    </row>
    <row r="2153" spans="1:23" ht="15" customHeight="1" x14ac:dyDescent="0.25">
      <c r="A2153">
        <v>1463</v>
      </c>
      <c r="B2153" s="1">
        <v>46014.583333333343</v>
      </c>
      <c r="C2153">
        <v>14</v>
      </c>
      <c r="D2153" t="s">
        <v>59</v>
      </c>
      <c r="E2153">
        <v>12</v>
      </c>
      <c r="F2153" t="s">
        <v>32</v>
      </c>
      <c r="G2153" t="s">
        <v>33</v>
      </c>
      <c r="H2153" t="s">
        <v>51</v>
      </c>
      <c r="I2153" t="s">
        <v>25</v>
      </c>
      <c r="J2153" t="s">
        <v>15</v>
      </c>
      <c r="K2153" s="2">
        <v>17400</v>
      </c>
      <c r="L2153" s="3">
        <v>16.399999999999999</v>
      </c>
      <c r="M2153" s="3">
        <v>85.8</v>
      </c>
      <c r="N2153" s="3">
        <v>349</v>
      </c>
      <c r="O2153" s="2">
        <v>1435</v>
      </c>
      <c r="P2153">
        <v>0</v>
      </c>
      <c r="Q2153" t="s">
        <v>14</v>
      </c>
      <c r="R2153" s="4">
        <v>214.04</v>
      </c>
      <c r="S2153" s="4">
        <v>46.07</v>
      </c>
      <c r="T2153" t="s">
        <v>34</v>
      </c>
      <c r="U2153" s="4">
        <v>28.76</v>
      </c>
      <c r="V2153" s="4">
        <v>12.301</v>
      </c>
      <c r="W2153" s="4">
        <v>167.97</v>
      </c>
    </row>
    <row r="2154" spans="1:23" ht="15" customHeight="1" x14ac:dyDescent="0.25">
      <c r="A2154">
        <v>1831</v>
      </c>
      <c r="B2154" s="1">
        <v>46014.583333333343</v>
      </c>
      <c r="C2154">
        <v>14</v>
      </c>
      <c r="D2154" t="s">
        <v>59</v>
      </c>
      <c r="E2154">
        <v>12</v>
      </c>
      <c r="F2154" t="s">
        <v>32</v>
      </c>
      <c r="G2154" t="s">
        <v>33</v>
      </c>
      <c r="H2154" t="s">
        <v>49</v>
      </c>
      <c r="I2154" t="s">
        <v>27</v>
      </c>
      <c r="J2154" t="s">
        <v>18</v>
      </c>
      <c r="K2154" s="2">
        <v>26000</v>
      </c>
      <c r="L2154" s="3">
        <v>13.4</v>
      </c>
      <c r="M2154" s="3">
        <v>67.900000000000006</v>
      </c>
      <c r="N2154" s="3">
        <v>430.6</v>
      </c>
      <c r="O2154" s="2">
        <v>176</v>
      </c>
      <c r="P2154">
        <v>1</v>
      </c>
      <c r="Q2154" t="s">
        <v>17</v>
      </c>
      <c r="R2154" s="4">
        <v>169.12</v>
      </c>
      <c r="S2154" s="4">
        <v>117.86</v>
      </c>
      <c r="T2154" t="s">
        <v>34</v>
      </c>
      <c r="U2154" s="4">
        <v>8.42</v>
      </c>
      <c r="V2154" s="4">
        <v>6.5049999999999999</v>
      </c>
      <c r="W2154" s="4">
        <v>51.26</v>
      </c>
    </row>
    <row r="2155" spans="1:23" ht="15" customHeight="1" x14ac:dyDescent="0.25">
      <c r="A2155">
        <v>359</v>
      </c>
      <c r="B2155" s="1">
        <v>46014.583333333343</v>
      </c>
      <c r="C2155">
        <v>14</v>
      </c>
      <c r="D2155" t="s">
        <v>59</v>
      </c>
      <c r="E2155">
        <v>12</v>
      </c>
      <c r="F2155" t="s">
        <v>32</v>
      </c>
      <c r="G2155" t="s">
        <v>33</v>
      </c>
      <c r="H2155" t="s">
        <v>53</v>
      </c>
      <c r="I2155" t="s">
        <v>19</v>
      </c>
      <c r="J2155" t="s">
        <v>26</v>
      </c>
      <c r="K2155" s="2">
        <v>12500</v>
      </c>
      <c r="L2155" s="3">
        <v>11.6</v>
      </c>
      <c r="M2155" s="3">
        <v>66.8</v>
      </c>
      <c r="N2155" s="3">
        <v>431</v>
      </c>
      <c r="O2155" s="2">
        <v>622</v>
      </c>
      <c r="P2155">
        <v>1</v>
      </c>
      <c r="Q2155" t="s">
        <v>17</v>
      </c>
      <c r="R2155" s="4">
        <v>115.17</v>
      </c>
      <c r="S2155" s="4">
        <v>66.489999999999995</v>
      </c>
      <c r="T2155" t="s">
        <v>34</v>
      </c>
      <c r="U2155" s="4">
        <v>8.06</v>
      </c>
      <c r="V2155" s="4">
        <v>9.2140000000000004</v>
      </c>
      <c r="W2155" s="4">
        <v>48.68</v>
      </c>
    </row>
    <row r="2156" spans="1:23" ht="15" customHeight="1" x14ac:dyDescent="0.25">
      <c r="A2156">
        <v>1832</v>
      </c>
      <c r="B2156" s="1">
        <v>46014.833333333343</v>
      </c>
      <c r="C2156">
        <v>20</v>
      </c>
      <c r="D2156" t="s">
        <v>59</v>
      </c>
      <c r="E2156">
        <v>12</v>
      </c>
      <c r="F2156" t="s">
        <v>32</v>
      </c>
      <c r="G2156" t="s">
        <v>33</v>
      </c>
      <c r="H2156" t="s">
        <v>49</v>
      </c>
      <c r="I2156" t="s">
        <v>27</v>
      </c>
      <c r="J2156" t="s">
        <v>18</v>
      </c>
      <c r="K2156" s="2">
        <v>26000</v>
      </c>
      <c r="L2156" s="3">
        <v>7.8</v>
      </c>
      <c r="M2156" s="3">
        <v>70.3</v>
      </c>
      <c r="N2156" s="3">
        <v>0</v>
      </c>
      <c r="O2156" s="2">
        <v>178</v>
      </c>
      <c r="P2156">
        <v>1</v>
      </c>
      <c r="Q2156" t="s">
        <v>17</v>
      </c>
      <c r="R2156" s="4">
        <v>1153.57</v>
      </c>
      <c r="S2156" s="4">
        <v>0</v>
      </c>
      <c r="T2156" t="s">
        <v>37</v>
      </c>
      <c r="U2156" s="4">
        <v>66.33</v>
      </c>
      <c r="V2156" s="4">
        <v>44.368000000000002</v>
      </c>
      <c r="W2156" s="4">
        <v>1153.57</v>
      </c>
    </row>
    <row r="2157" spans="1:23" ht="15" customHeight="1" x14ac:dyDescent="0.25">
      <c r="A2157">
        <v>2200</v>
      </c>
      <c r="B2157" s="1">
        <v>46014.833333333343</v>
      </c>
      <c r="C2157">
        <v>20</v>
      </c>
      <c r="D2157" t="s">
        <v>59</v>
      </c>
      <c r="E2157">
        <v>12</v>
      </c>
      <c r="F2157" t="s">
        <v>32</v>
      </c>
      <c r="G2157" t="s">
        <v>33</v>
      </c>
      <c r="H2157" t="s">
        <v>52</v>
      </c>
      <c r="I2157" t="s">
        <v>13</v>
      </c>
      <c r="J2157" t="s">
        <v>21</v>
      </c>
      <c r="K2157" s="2">
        <v>9800</v>
      </c>
      <c r="L2157" s="3"/>
      <c r="M2157" s="3">
        <v>83.9</v>
      </c>
      <c r="N2157" s="3">
        <v>0</v>
      </c>
      <c r="O2157" s="2">
        <v>312</v>
      </c>
      <c r="P2157">
        <v>1</v>
      </c>
      <c r="Q2157" t="s">
        <v>23</v>
      </c>
      <c r="R2157" s="4">
        <v>98.25</v>
      </c>
      <c r="S2157" s="4">
        <v>0</v>
      </c>
      <c r="T2157" t="s">
        <v>37</v>
      </c>
      <c r="U2157" s="4">
        <v>24.66</v>
      </c>
      <c r="V2157" s="4">
        <v>10.026</v>
      </c>
      <c r="W2157" s="4">
        <v>98.25</v>
      </c>
    </row>
    <row r="2158" spans="1:23" ht="15" customHeight="1" x14ac:dyDescent="0.25">
      <c r="A2158">
        <v>1464</v>
      </c>
      <c r="B2158" s="1">
        <v>46014.833333333343</v>
      </c>
      <c r="C2158">
        <v>20</v>
      </c>
      <c r="D2158" t="s">
        <v>59</v>
      </c>
      <c r="E2158">
        <v>12</v>
      </c>
      <c r="F2158" t="s">
        <v>32</v>
      </c>
      <c r="G2158" t="s">
        <v>33</v>
      </c>
      <c r="H2158" t="s">
        <v>51</v>
      </c>
      <c r="I2158" t="s">
        <v>25</v>
      </c>
      <c r="J2158" t="s">
        <v>15</v>
      </c>
      <c r="K2158" s="2">
        <v>17400</v>
      </c>
      <c r="L2158" s="3">
        <v>10.7</v>
      </c>
      <c r="M2158" s="3">
        <v>84.7</v>
      </c>
      <c r="N2158" s="3">
        <v>0</v>
      </c>
      <c r="O2158" s="2">
        <v>1380</v>
      </c>
      <c r="P2158">
        <v>1</v>
      </c>
      <c r="Q2158" t="s">
        <v>17</v>
      </c>
      <c r="R2158" s="4">
        <v>274.54000000000002</v>
      </c>
      <c r="S2158" s="4">
        <v>0</v>
      </c>
      <c r="T2158" t="s">
        <v>37</v>
      </c>
      <c r="U2158" s="4">
        <v>71</v>
      </c>
      <c r="V2158" s="4">
        <v>15.778</v>
      </c>
      <c r="W2158" s="4">
        <v>274.54000000000002</v>
      </c>
    </row>
    <row r="2159" spans="1:23" ht="15" customHeight="1" x14ac:dyDescent="0.25">
      <c r="A2159">
        <v>728</v>
      </c>
      <c r="B2159" s="1">
        <v>46014.833333333343</v>
      </c>
      <c r="C2159">
        <v>20</v>
      </c>
      <c r="D2159" t="s">
        <v>59</v>
      </c>
      <c r="E2159">
        <v>12</v>
      </c>
      <c r="F2159" t="s">
        <v>32</v>
      </c>
      <c r="G2159" t="s">
        <v>33</v>
      </c>
      <c r="H2159" t="s">
        <v>54</v>
      </c>
      <c r="I2159" t="s">
        <v>16</v>
      </c>
      <c r="J2159" t="s">
        <v>24</v>
      </c>
      <c r="K2159" s="2">
        <v>8600</v>
      </c>
      <c r="L2159" s="3">
        <v>9.9</v>
      </c>
      <c r="M2159" s="3"/>
      <c r="N2159" s="3">
        <v>0</v>
      </c>
      <c r="O2159" s="2">
        <v>8</v>
      </c>
      <c r="P2159">
        <v>0</v>
      </c>
      <c r="Q2159" t="s">
        <v>14</v>
      </c>
      <c r="R2159" s="4">
        <v>13.55</v>
      </c>
      <c r="S2159" s="4">
        <v>0</v>
      </c>
      <c r="T2159" t="s">
        <v>37</v>
      </c>
      <c r="U2159" s="4">
        <v>3.42</v>
      </c>
      <c r="V2159" s="4">
        <v>1.5760000000000001</v>
      </c>
      <c r="W2159" s="4">
        <v>13.55</v>
      </c>
    </row>
    <row r="2160" spans="1:23" ht="15" customHeight="1" x14ac:dyDescent="0.25">
      <c r="A2160">
        <v>360</v>
      </c>
      <c r="B2160" s="1">
        <v>46014.833333333343</v>
      </c>
      <c r="C2160">
        <v>20</v>
      </c>
      <c r="D2160" t="s">
        <v>59</v>
      </c>
      <c r="E2160">
        <v>12</v>
      </c>
      <c r="F2160" t="s">
        <v>32</v>
      </c>
      <c r="G2160" t="s">
        <v>33</v>
      </c>
      <c r="H2160" t="s">
        <v>53</v>
      </c>
      <c r="I2160" t="s">
        <v>19</v>
      </c>
      <c r="J2160" t="s">
        <v>26</v>
      </c>
      <c r="K2160" s="2">
        <v>12500</v>
      </c>
      <c r="L2160" s="3">
        <v>6.3</v>
      </c>
      <c r="M2160" s="3">
        <v>71.2</v>
      </c>
      <c r="N2160" s="3"/>
      <c r="O2160" s="2">
        <v>76</v>
      </c>
      <c r="P2160">
        <v>1</v>
      </c>
      <c r="Q2160" t="s">
        <v>17</v>
      </c>
      <c r="R2160" s="4">
        <v>44.14</v>
      </c>
      <c r="S2160" s="4">
        <v>0</v>
      </c>
      <c r="T2160" t="s">
        <v>37</v>
      </c>
      <c r="U2160" s="4">
        <v>11.17</v>
      </c>
      <c r="V2160" s="4">
        <v>3.5310000000000001</v>
      </c>
      <c r="W2160" s="4">
        <v>44.14</v>
      </c>
    </row>
    <row r="2161" spans="1:23" ht="15" customHeight="1" x14ac:dyDescent="0.25">
      <c r="A2161">
        <v>1096</v>
      </c>
      <c r="B2161" s="1">
        <v>46014.833333333343</v>
      </c>
      <c r="C2161">
        <v>20</v>
      </c>
      <c r="D2161" t="s">
        <v>59</v>
      </c>
      <c r="E2161">
        <v>12</v>
      </c>
      <c r="F2161" t="s">
        <v>32</v>
      </c>
      <c r="G2161" t="s">
        <v>33</v>
      </c>
      <c r="H2161" t="s">
        <v>50</v>
      </c>
      <c r="I2161" t="s">
        <v>22</v>
      </c>
      <c r="J2161" t="s">
        <v>12</v>
      </c>
      <c r="K2161" s="2">
        <v>21000</v>
      </c>
      <c r="L2161" s="3">
        <v>11.3</v>
      </c>
      <c r="M2161" s="3">
        <v>72.099999999999994</v>
      </c>
      <c r="N2161" s="3">
        <v>0</v>
      </c>
      <c r="O2161" s="2">
        <v>411</v>
      </c>
      <c r="P2161">
        <v>1</v>
      </c>
      <c r="Q2161" t="s">
        <v>17</v>
      </c>
      <c r="R2161" s="4">
        <v>292.23</v>
      </c>
      <c r="S2161" s="4">
        <v>0</v>
      </c>
      <c r="T2161" t="s">
        <v>37</v>
      </c>
      <c r="U2161" s="4">
        <v>75.28</v>
      </c>
      <c r="V2161" s="4">
        <v>13.916</v>
      </c>
      <c r="W2161" s="4">
        <v>292.23</v>
      </c>
    </row>
    <row r="2162" spans="1:23" ht="15" customHeight="1" x14ac:dyDescent="0.25">
      <c r="A2162">
        <v>1833</v>
      </c>
      <c r="B2162" s="1">
        <v>46018</v>
      </c>
      <c r="C2162">
        <v>0</v>
      </c>
      <c r="D2162" t="s">
        <v>60</v>
      </c>
      <c r="E2162">
        <v>12</v>
      </c>
      <c r="F2162" t="s">
        <v>32</v>
      </c>
      <c r="G2162" t="s">
        <v>36</v>
      </c>
      <c r="H2162" t="s">
        <v>49</v>
      </c>
      <c r="I2162" t="s">
        <v>27</v>
      </c>
      <c r="J2162" t="s">
        <v>18</v>
      </c>
      <c r="K2162" s="2">
        <v>26000</v>
      </c>
      <c r="L2162" s="3">
        <v>1.8</v>
      </c>
      <c r="M2162" s="3">
        <v>76.7</v>
      </c>
      <c r="N2162" s="3">
        <v>0</v>
      </c>
      <c r="O2162" s="2">
        <v>41</v>
      </c>
      <c r="P2162">
        <v>1</v>
      </c>
      <c r="Q2162" t="s">
        <v>17</v>
      </c>
      <c r="R2162" s="4">
        <v>96.12</v>
      </c>
      <c r="S2162" s="4">
        <v>0</v>
      </c>
      <c r="T2162" t="s">
        <v>31</v>
      </c>
      <c r="U2162" s="4">
        <v>9.81</v>
      </c>
      <c r="V2162" s="4">
        <v>3.6970000000000001</v>
      </c>
      <c r="W2162" s="4">
        <v>96.12</v>
      </c>
    </row>
    <row r="2163" spans="1:23" ht="15" customHeight="1" x14ac:dyDescent="0.25">
      <c r="A2163">
        <v>1097</v>
      </c>
      <c r="B2163" s="1">
        <v>46018</v>
      </c>
      <c r="C2163">
        <v>0</v>
      </c>
      <c r="D2163" t="s">
        <v>60</v>
      </c>
      <c r="E2163">
        <v>12</v>
      </c>
      <c r="F2163" t="s">
        <v>32</v>
      </c>
      <c r="G2163" t="s">
        <v>36</v>
      </c>
      <c r="H2163" t="s">
        <v>50</v>
      </c>
      <c r="I2163" t="s">
        <v>22</v>
      </c>
      <c r="J2163" t="s">
        <v>12</v>
      </c>
      <c r="K2163" s="2">
        <v>21000</v>
      </c>
      <c r="L2163" s="3">
        <v>2.9</v>
      </c>
      <c r="M2163" s="3">
        <v>77.900000000000006</v>
      </c>
      <c r="N2163" s="3">
        <v>0</v>
      </c>
      <c r="O2163" s="2"/>
      <c r="P2163">
        <v>1</v>
      </c>
      <c r="Q2163" t="s">
        <v>17</v>
      </c>
      <c r="R2163" s="4">
        <v>200.5</v>
      </c>
      <c r="S2163" s="4">
        <v>0</v>
      </c>
      <c r="T2163" t="s">
        <v>31</v>
      </c>
      <c r="U2163" s="4">
        <v>20.21</v>
      </c>
      <c r="V2163" s="4">
        <v>9.548</v>
      </c>
      <c r="W2163" s="4">
        <v>200.5</v>
      </c>
    </row>
    <row r="2164" spans="1:23" ht="15" customHeight="1" x14ac:dyDescent="0.25">
      <c r="A2164">
        <v>361</v>
      </c>
      <c r="B2164" s="1">
        <v>46018</v>
      </c>
      <c r="C2164">
        <v>0</v>
      </c>
      <c r="D2164" t="s">
        <v>60</v>
      </c>
      <c r="E2164">
        <v>12</v>
      </c>
      <c r="F2164" t="s">
        <v>32</v>
      </c>
      <c r="G2164" t="s">
        <v>36</v>
      </c>
      <c r="H2164" t="s">
        <v>53</v>
      </c>
      <c r="I2164" t="s">
        <v>19</v>
      </c>
      <c r="J2164" t="s">
        <v>26</v>
      </c>
      <c r="K2164" s="2">
        <v>12500</v>
      </c>
      <c r="L2164" s="3">
        <v>-0.7</v>
      </c>
      <c r="M2164" s="3">
        <v>80.400000000000006</v>
      </c>
      <c r="N2164" s="3">
        <v>0</v>
      </c>
      <c r="O2164" s="2">
        <v>32</v>
      </c>
      <c r="P2164">
        <v>0</v>
      </c>
      <c r="Q2164" t="s">
        <v>14</v>
      </c>
      <c r="R2164" s="4">
        <v>26.35</v>
      </c>
      <c r="S2164" s="4">
        <v>0</v>
      </c>
      <c r="T2164" t="s">
        <v>31</v>
      </c>
      <c r="U2164" s="4">
        <v>2.66</v>
      </c>
      <c r="V2164" s="4">
        <v>2.1080000000000001</v>
      </c>
      <c r="W2164" s="4">
        <v>26.35</v>
      </c>
    </row>
    <row r="2165" spans="1:23" ht="15" customHeight="1" x14ac:dyDescent="0.25">
      <c r="A2165">
        <v>729</v>
      </c>
      <c r="B2165" s="1">
        <v>46018</v>
      </c>
      <c r="C2165">
        <v>0</v>
      </c>
      <c r="D2165" t="s">
        <v>60</v>
      </c>
      <c r="E2165">
        <v>12</v>
      </c>
      <c r="F2165" t="s">
        <v>32</v>
      </c>
      <c r="G2165" t="s">
        <v>36</v>
      </c>
      <c r="H2165" t="s">
        <v>54</v>
      </c>
      <c r="I2165" t="s">
        <v>16</v>
      </c>
      <c r="J2165" t="s">
        <v>24</v>
      </c>
      <c r="K2165" s="2">
        <v>8600</v>
      </c>
      <c r="L2165" s="3">
        <v>3</v>
      </c>
      <c r="M2165" s="3">
        <v>99</v>
      </c>
      <c r="N2165" s="3">
        <v>0</v>
      </c>
      <c r="O2165" s="2">
        <v>0</v>
      </c>
      <c r="P2165">
        <v>0</v>
      </c>
      <c r="Q2165" t="s">
        <v>14</v>
      </c>
      <c r="R2165" s="4">
        <v>12.64</v>
      </c>
      <c r="S2165" s="4">
        <v>0</v>
      </c>
      <c r="T2165" t="s">
        <v>31</v>
      </c>
      <c r="U2165" s="4">
        <v>1.27</v>
      </c>
      <c r="V2165" s="4">
        <v>1.47</v>
      </c>
      <c r="W2165" s="4">
        <v>12.64</v>
      </c>
    </row>
    <row r="2166" spans="1:23" ht="15" customHeight="1" x14ac:dyDescent="0.25">
      <c r="A2166">
        <v>2201</v>
      </c>
      <c r="B2166" s="1">
        <v>46018</v>
      </c>
      <c r="C2166">
        <v>0</v>
      </c>
      <c r="D2166" t="s">
        <v>60</v>
      </c>
      <c r="E2166">
        <v>12</v>
      </c>
      <c r="F2166" t="s">
        <v>32</v>
      </c>
      <c r="G2166" t="s">
        <v>36</v>
      </c>
      <c r="H2166" t="s">
        <v>52</v>
      </c>
      <c r="I2166" t="s">
        <v>13</v>
      </c>
      <c r="J2166" t="s">
        <v>21</v>
      </c>
      <c r="K2166" s="2">
        <v>9800</v>
      </c>
      <c r="L2166" s="3">
        <v>7.3</v>
      </c>
      <c r="M2166" s="3">
        <v>89</v>
      </c>
      <c r="N2166" s="3"/>
      <c r="O2166" s="2">
        <v>285</v>
      </c>
      <c r="P2166">
        <v>1</v>
      </c>
      <c r="Q2166" t="s">
        <v>17</v>
      </c>
      <c r="R2166" s="4">
        <v>99.9</v>
      </c>
      <c r="S2166" s="4">
        <v>0</v>
      </c>
      <c r="T2166" t="s">
        <v>31</v>
      </c>
      <c r="U2166" s="4">
        <v>10.26</v>
      </c>
      <c r="V2166" s="4">
        <v>10.194000000000001</v>
      </c>
      <c r="W2166" s="4">
        <v>99.9</v>
      </c>
    </row>
    <row r="2167" spans="1:23" ht="15" customHeight="1" x14ac:dyDescent="0.25">
      <c r="A2167">
        <v>1465</v>
      </c>
      <c r="B2167" s="1">
        <v>46018</v>
      </c>
      <c r="C2167">
        <v>0</v>
      </c>
      <c r="D2167" t="s">
        <v>60</v>
      </c>
      <c r="E2167">
        <v>12</v>
      </c>
      <c r="F2167" t="s">
        <v>32</v>
      </c>
      <c r="G2167" t="s">
        <v>36</v>
      </c>
      <c r="H2167" t="s">
        <v>51</v>
      </c>
      <c r="I2167" t="s">
        <v>25</v>
      </c>
      <c r="J2167" t="s">
        <v>15</v>
      </c>
      <c r="K2167" s="2">
        <v>17400</v>
      </c>
      <c r="L2167" s="3">
        <v>9.6</v>
      </c>
      <c r="M2167" s="3">
        <v>90.7</v>
      </c>
      <c r="N2167" s="3">
        <v>0</v>
      </c>
      <c r="O2167" s="2">
        <v>91</v>
      </c>
      <c r="P2167">
        <v>1</v>
      </c>
      <c r="Q2167" t="s">
        <v>17</v>
      </c>
      <c r="R2167" s="4">
        <v>69.48</v>
      </c>
      <c r="S2167" s="4">
        <v>0</v>
      </c>
      <c r="T2167" t="s">
        <v>31</v>
      </c>
      <c r="U2167" s="4">
        <v>7.09</v>
      </c>
      <c r="V2167" s="4">
        <v>3.9929999999999999</v>
      </c>
      <c r="W2167" s="4">
        <v>69.48</v>
      </c>
    </row>
    <row r="2168" spans="1:23" ht="15" customHeight="1" x14ac:dyDescent="0.25">
      <c r="A2168">
        <v>362</v>
      </c>
      <c r="B2168" s="1">
        <v>46018.333333333343</v>
      </c>
      <c r="C2168">
        <v>8</v>
      </c>
      <c r="D2168" t="s">
        <v>60</v>
      </c>
      <c r="E2168">
        <v>12</v>
      </c>
      <c r="F2168" t="s">
        <v>32</v>
      </c>
      <c r="G2168" t="s">
        <v>36</v>
      </c>
      <c r="H2168" t="s">
        <v>53</v>
      </c>
      <c r="I2168" t="s">
        <v>19</v>
      </c>
      <c r="J2168" t="s">
        <v>26</v>
      </c>
      <c r="K2168" s="2">
        <v>12500</v>
      </c>
      <c r="L2168" s="3">
        <v>0.7</v>
      </c>
      <c r="M2168" s="3">
        <v>80.7</v>
      </c>
      <c r="N2168" s="3">
        <v>0</v>
      </c>
      <c r="O2168" s="2">
        <v>38</v>
      </c>
      <c r="P2168">
        <v>0</v>
      </c>
      <c r="Q2168" t="s">
        <v>14</v>
      </c>
      <c r="R2168" s="4">
        <v>25.37</v>
      </c>
      <c r="S2168" s="4">
        <v>0</v>
      </c>
      <c r="T2168" t="s">
        <v>31</v>
      </c>
      <c r="U2168" s="4">
        <v>2.63</v>
      </c>
      <c r="V2168" s="4">
        <v>2.0299999999999998</v>
      </c>
      <c r="W2168" s="4">
        <v>25.37</v>
      </c>
    </row>
    <row r="2169" spans="1:23" ht="15" customHeight="1" x14ac:dyDescent="0.25">
      <c r="A2169">
        <v>1834</v>
      </c>
      <c r="B2169" s="1">
        <v>46018.333333333343</v>
      </c>
      <c r="C2169">
        <v>8</v>
      </c>
      <c r="D2169" t="s">
        <v>60</v>
      </c>
      <c r="E2169">
        <v>12</v>
      </c>
      <c r="F2169" t="s">
        <v>32</v>
      </c>
      <c r="G2169" t="s">
        <v>36</v>
      </c>
      <c r="H2169" t="s">
        <v>49</v>
      </c>
      <c r="I2169" t="s">
        <v>27</v>
      </c>
      <c r="J2169" t="s">
        <v>18</v>
      </c>
      <c r="K2169" s="2">
        <v>26000</v>
      </c>
      <c r="L2169" s="3">
        <v>5.8</v>
      </c>
      <c r="M2169" s="3">
        <v>61.6</v>
      </c>
      <c r="N2169" s="3">
        <v>0</v>
      </c>
      <c r="O2169" s="2">
        <v>69</v>
      </c>
      <c r="P2169">
        <v>1</v>
      </c>
      <c r="Q2169" t="s">
        <v>17</v>
      </c>
      <c r="R2169" s="4">
        <v>132.38999999999999</v>
      </c>
      <c r="S2169" s="4">
        <v>0</v>
      </c>
      <c r="T2169" t="s">
        <v>31</v>
      </c>
      <c r="U2169" s="4">
        <v>13.19</v>
      </c>
      <c r="V2169" s="4">
        <v>5.0919999999999996</v>
      </c>
      <c r="W2169" s="4">
        <v>132.38999999999999</v>
      </c>
    </row>
    <row r="2170" spans="1:23" ht="15" customHeight="1" x14ac:dyDescent="0.25">
      <c r="A2170">
        <v>1466</v>
      </c>
      <c r="B2170" s="1">
        <v>46018.333333333343</v>
      </c>
      <c r="C2170">
        <v>8</v>
      </c>
      <c r="D2170" t="s">
        <v>60</v>
      </c>
      <c r="E2170">
        <v>12</v>
      </c>
      <c r="F2170" t="s">
        <v>32</v>
      </c>
      <c r="G2170" t="s">
        <v>36</v>
      </c>
      <c r="H2170" t="s">
        <v>51</v>
      </c>
      <c r="I2170" t="s">
        <v>25</v>
      </c>
      <c r="J2170" t="s">
        <v>15</v>
      </c>
      <c r="K2170" s="2">
        <v>17400</v>
      </c>
      <c r="L2170" s="3">
        <v>9.6999999999999993</v>
      </c>
      <c r="M2170" s="3">
        <v>87</v>
      </c>
      <c r="N2170" s="3">
        <v>0</v>
      </c>
      <c r="O2170" s="2">
        <v>189</v>
      </c>
      <c r="P2170">
        <v>1</v>
      </c>
      <c r="Q2170" t="s">
        <v>17</v>
      </c>
      <c r="R2170" s="4">
        <v>66.56</v>
      </c>
      <c r="S2170" s="4">
        <v>0</v>
      </c>
      <c r="T2170" t="s">
        <v>31</v>
      </c>
      <c r="U2170" s="4">
        <v>6.82</v>
      </c>
      <c r="V2170" s="4">
        <v>3.8250000000000002</v>
      </c>
      <c r="W2170" s="4">
        <v>66.56</v>
      </c>
    </row>
    <row r="2171" spans="1:23" ht="15" customHeight="1" x14ac:dyDescent="0.25">
      <c r="A2171">
        <v>2202</v>
      </c>
      <c r="B2171" s="1">
        <v>46018.333333333343</v>
      </c>
      <c r="C2171">
        <v>8</v>
      </c>
      <c r="D2171" t="s">
        <v>60</v>
      </c>
      <c r="E2171">
        <v>12</v>
      </c>
      <c r="F2171" t="s">
        <v>32</v>
      </c>
      <c r="G2171" t="s">
        <v>36</v>
      </c>
      <c r="H2171" t="s">
        <v>52</v>
      </c>
      <c r="I2171" t="s">
        <v>13</v>
      </c>
      <c r="J2171" t="s">
        <v>21</v>
      </c>
      <c r="K2171" s="2">
        <v>9800</v>
      </c>
      <c r="L2171" s="3">
        <v>9.1</v>
      </c>
      <c r="M2171" s="3">
        <v>95.1</v>
      </c>
      <c r="N2171" s="3">
        <v>0</v>
      </c>
      <c r="O2171" s="2">
        <v>119</v>
      </c>
      <c r="P2171">
        <v>1</v>
      </c>
      <c r="Q2171" t="s">
        <v>17</v>
      </c>
      <c r="R2171" s="4">
        <v>46.92</v>
      </c>
      <c r="S2171" s="4">
        <v>0</v>
      </c>
      <c r="T2171" t="s">
        <v>31</v>
      </c>
      <c r="U2171" s="4">
        <v>4.8600000000000003</v>
      </c>
      <c r="V2171" s="4">
        <v>4.7880000000000003</v>
      </c>
      <c r="W2171" s="4">
        <v>46.92</v>
      </c>
    </row>
    <row r="2172" spans="1:23" ht="15" customHeight="1" x14ac:dyDescent="0.25">
      <c r="A2172">
        <v>730</v>
      </c>
      <c r="B2172" s="1">
        <v>46018.333333333343</v>
      </c>
      <c r="C2172">
        <v>8</v>
      </c>
      <c r="D2172" t="s">
        <v>60</v>
      </c>
      <c r="E2172">
        <v>12</v>
      </c>
      <c r="F2172" t="s">
        <v>32</v>
      </c>
      <c r="G2172" t="s">
        <v>36</v>
      </c>
      <c r="H2172" t="s">
        <v>54</v>
      </c>
      <c r="I2172" t="s">
        <v>16</v>
      </c>
      <c r="J2172" t="s">
        <v>24</v>
      </c>
      <c r="K2172" s="2">
        <v>8600</v>
      </c>
      <c r="L2172" s="3">
        <v>5.9</v>
      </c>
      <c r="M2172" s="3">
        <v>99</v>
      </c>
      <c r="N2172" s="3">
        <v>0</v>
      </c>
      <c r="O2172" s="2">
        <v>8</v>
      </c>
      <c r="P2172">
        <v>0</v>
      </c>
      <c r="Q2172" t="s">
        <v>14</v>
      </c>
      <c r="R2172" s="4">
        <v>13.15</v>
      </c>
      <c r="S2172" s="4">
        <v>0</v>
      </c>
      <c r="T2172" t="s">
        <v>31</v>
      </c>
      <c r="U2172" s="4">
        <v>1.33</v>
      </c>
      <c r="V2172" s="4">
        <v>1.5289999999999999</v>
      </c>
      <c r="W2172" s="4">
        <v>13.15</v>
      </c>
    </row>
    <row r="2173" spans="1:23" ht="15" customHeight="1" x14ac:dyDescent="0.25">
      <c r="A2173">
        <v>1098</v>
      </c>
      <c r="B2173" s="1">
        <v>46018.333333333343</v>
      </c>
      <c r="C2173">
        <v>8</v>
      </c>
      <c r="D2173" t="s">
        <v>60</v>
      </c>
      <c r="E2173">
        <v>12</v>
      </c>
      <c r="F2173" t="s">
        <v>32</v>
      </c>
      <c r="G2173" t="s">
        <v>36</v>
      </c>
      <c r="H2173" t="s">
        <v>50</v>
      </c>
      <c r="I2173" t="s">
        <v>22</v>
      </c>
      <c r="J2173" t="s">
        <v>12</v>
      </c>
      <c r="K2173" s="2">
        <v>21000</v>
      </c>
      <c r="L2173" s="3">
        <v>8.1</v>
      </c>
      <c r="M2173" s="3">
        <v>91.2</v>
      </c>
      <c r="N2173" s="3">
        <v>0</v>
      </c>
      <c r="O2173" s="2">
        <v>401</v>
      </c>
      <c r="P2173">
        <v>1</v>
      </c>
      <c r="Q2173" t="s">
        <v>17</v>
      </c>
      <c r="R2173" s="4">
        <v>265.93</v>
      </c>
      <c r="S2173" s="4">
        <v>0</v>
      </c>
      <c r="T2173" t="s">
        <v>31</v>
      </c>
      <c r="U2173" s="4">
        <v>26.86</v>
      </c>
      <c r="V2173" s="4">
        <v>12.663</v>
      </c>
      <c r="W2173" s="4">
        <v>265.93</v>
      </c>
    </row>
    <row r="2174" spans="1:23" ht="15" customHeight="1" x14ac:dyDescent="0.25">
      <c r="A2174">
        <v>2203</v>
      </c>
      <c r="B2174" s="1">
        <v>46018.583333333343</v>
      </c>
      <c r="C2174">
        <v>14</v>
      </c>
      <c r="D2174" t="s">
        <v>60</v>
      </c>
      <c r="E2174">
        <v>12</v>
      </c>
      <c r="F2174" t="s">
        <v>32</v>
      </c>
      <c r="G2174" t="s">
        <v>36</v>
      </c>
      <c r="H2174" t="s">
        <v>52</v>
      </c>
      <c r="I2174" t="s">
        <v>13</v>
      </c>
      <c r="J2174" t="s">
        <v>21</v>
      </c>
      <c r="K2174" s="2">
        <v>9800</v>
      </c>
      <c r="L2174" s="3">
        <v>16.399999999999999</v>
      </c>
      <c r="M2174" s="3">
        <v>82.5</v>
      </c>
      <c r="N2174" s="3">
        <v>342.1</v>
      </c>
      <c r="O2174" s="2">
        <v>114</v>
      </c>
      <c r="P2174">
        <v>0</v>
      </c>
      <c r="Q2174" t="s">
        <v>14</v>
      </c>
      <c r="R2174" s="4">
        <v>26.95</v>
      </c>
      <c r="S2174" s="4">
        <v>0</v>
      </c>
      <c r="T2174" t="s">
        <v>31</v>
      </c>
      <c r="U2174" s="4">
        <v>2.78</v>
      </c>
      <c r="V2174" s="4">
        <v>2.75</v>
      </c>
      <c r="W2174" s="4">
        <v>26.95</v>
      </c>
    </row>
    <row r="2175" spans="1:23" ht="15" customHeight="1" x14ac:dyDescent="0.25">
      <c r="A2175">
        <v>363</v>
      </c>
      <c r="B2175" s="1">
        <v>46018.583333333343</v>
      </c>
      <c r="C2175">
        <v>14</v>
      </c>
      <c r="D2175" t="s">
        <v>60</v>
      </c>
      <c r="E2175">
        <v>12</v>
      </c>
      <c r="F2175" t="s">
        <v>32</v>
      </c>
      <c r="G2175" t="s">
        <v>36</v>
      </c>
      <c r="H2175" t="s">
        <v>53</v>
      </c>
      <c r="I2175" t="s">
        <v>19</v>
      </c>
      <c r="J2175" t="s">
        <v>26</v>
      </c>
      <c r="K2175" s="2">
        <v>12500</v>
      </c>
      <c r="L2175" s="3">
        <v>12.9</v>
      </c>
      <c r="M2175" s="3">
        <v>69.5</v>
      </c>
      <c r="N2175" s="3">
        <v>335.9</v>
      </c>
      <c r="O2175" s="2">
        <v>25</v>
      </c>
      <c r="P2175">
        <v>0</v>
      </c>
      <c r="Q2175" t="s">
        <v>14</v>
      </c>
      <c r="R2175" s="4">
        <v>17.309999999999999</v>
      </c>
      <c r="S2175" s="4">
        <v>47.88</v>
      </c>
      <c r="T2175" t="s">
        <v>31</v>
      </c>
      <c r="U2175" s="4">
        <v>-1.28</v>
      </c>
      <c r="V2175" s="4">
        <v>1.385</v>
      </c>
      <c r="W2175" s="4">
        <v>0</v>
      </c>
    </row>
    <row r="2176" spans="1:23" ht="15" customHeight="1" x14ac:dyDescent="0.25">
      <c r="A2176">
        <v>731</v>
      </c>
      <c r="B2176" s="1">
        <v>46018.583333333343</v>
      </c>
      <c r="C2176">
        <v>14</v>
      </c>
      <c r="D2176" t="s">
        <v>60</v>
      </c>
      <c r="E2176">
        <v>12</v>
      </c>
      <c r="F2176" t="s">
        <v>32</v>
      </c>
      <c r="G2176" t="s">
        <v>36</v>
      </c>
      <c r="H2176" t="s">
        <v>54</v>
      </c>
      <c r="I2176" t="s">
        <v>16</v>
      </c>
      <c r="J2176" t="s">
        <v>24</v>
      </c>
      <c r="K2176" s="2">
        <v>8600</v>
      </c>
      <c r="L2176" s="3">
        <v>13.9</v>
      </c>
      <c r="M2176" s="3">
        <v>93.5</v>
      </c>
      <c r="N2176" s="3">
        <v>253.6</v>
      </c>
      <c r="O2176" s="2">
        <v>0</v>
      </c>
      <c r="P2176">
        <v>0</v>
      </c>
      <c r="Q2176" t="s">
        <v>14</v>
      </c>
      <c r="R2176" s="4">
        <v>7.61</v>
      </c>
      <c r="S2176" s="4">
        <v>18.23</v>
      </c>
      <c r="T2176" t="s">
        <v>31</v>
      </c>
      <c r="U2176" s="4">
        <v>-0.44</v>
      </c>
      <c r="V2176" s="4">
        <v>0.88500000000000001</v>
      </c>
      <c r="W2176" s="4">
        <v>0</v>
      </c>
    </row>
    <row r="2177" spans="1:23" ht="15" customHeight="1" x14ac:dyDescent="0.25">
      <c r="A2177">
        <v>1835</v>
      </c>
      <c r="B2177" s="1">
        <v>46018.583333333343</v>
      </c>
      <c r="C2177">
        <v>14</v>
      </c>
      <c r="D2177" t="s">
        <v>60</v>
      </c>
      <c r="E2177">
        <v>12</v>
      </c>
      <c r="F2177" t="s">
        <v>32</v>
      </c>
      <c r="G2177" t="s">
        <v>36</v>
      </c>
      <c r="H2177" t="s">
        <v>49</v>
      </c>
      <c r="I2177" t="s">
        <v>27</v>
      </c>
      <c r="J2177" t="s">
        <v>18</v>
      </c>
      <c r="K2177" s="2">
        <v>26000</v>
      </c>
      <c r="L2177" s="3">
        <v>11.8</v>
      </c>
      <c r="M2177" s="3">
        <v>77.5</v>
      </c>
      <c r="N2177" s="3">
        <v>392</v>
      </c>
      <c r="O2177" s="2">
        <v>71</v>
      </c>
      <c r="P2177">
        <v>1</v>
      </c>
      <c r="Q2177" t="s">
        <v>17</v>
      </c>
      <c r="R2177" s="4">
        <v>86.83</v>
      </c>
      <c r="S2177" s="4">
        <v>102.72</v>
      </c>
      <c r="T2177" t="s">
        <v>31</v>
      </c>
      <c r="U2177" s="4">
        <v>-0.66</v>
      </c>
      <c r="V2177" s="4">
        <v>3.34</v>
      </c>
      <c r="W2177" s="4">
        <v>0</v>
      </c>
    </row>
    <row r="2178" spans="1:23" ht="15" customHeight="1" x14ac:dyDescent="0.25">
      <c r="A2178">
        <v>1467</v>
      </c>
      <c r="B2178" s="1">
        <v>46018.583333333343</v>
      </c>
      <c r="C2178">
        <v>14</v>
      </c>
      <c r="D2178" t="s">
        <v>60</v>
      </c>
      <c r="E2178">
        <v>12</v>
      </c>
      <c r="F2178" t="s">
        <v>32</v>
      </c>
      <c r="G2178" t="s">
        <v>36</v>
      </c>
      <c r="H2178" t="s">
        <v>51</v>
      </c>
      <c r="I2178" t="s">
        <v>25</v>
      </c>
      <c r="J2178" t="s">
        <v>15</v>
      </c>
      <c r="K2178" s="2">
        <v>17400</v>
      </c>
      <c r="L2178" s="3">
        <v>17</v>
      </c>
      <c r="M2178" s="3">
        <v>84.4</v>
      </c>
      <c r="N2178" s="3">
        <v>276.3</v>
      </c>
      <c r="O2178" s="2">
        <v>1596</v>
      </c>
      <c r="P2178">
        <v>0</v>
      </c>
      <c r="Q2178" t="s">
        <v>14</v>
      </c>
      <c r="R2178" s="4">
        <v>212.56</v>
      </c>
      <c r="S2178" s="4">
        <v>37.17</v>
      </c>
      <c r="T2178" t="s">
        <v>31</v>
      </c>
      <c r="U2178" s="4">
        <v>18.14</v>
      </c>
      <c r="V2178" s="4">
        <v>12.215999999999999</v>
      </c>
      <c r="W2178" s="4">
        <v>175.39</v>
      </c>
    </row>
    <row r="2179" spans="1:23" ht="15" customHeight="1" x14ac:dyDescent="0.25">
      <c r="A2179">
        <v>1099</v>
      </c>
      <c r="B2179" s="1">
        <v>46018.583333333343</v>
      </c>
      <c r="C2179">
        <v>14</v>
      </c>
      <c r="D2179" t="s">
        <v>60</v>
      </c>
      <c r="E2179">
        <v>12</v>
      </c>
      <c r="F2179" t="s">
        <v>32</v>
      </c>
      <c r="G2179" t="s">
        <v>36</v>
      </c>
      <c r="H2179" t="s">
        <v>50</v>
      </c>
      <c r="I2179" t="s">
        <v>22</v>
      </c>
      <c r="J2179" t="s">
        <v>12</v>
      </c>
      <c r="K2179" s="2">
        <v>21000</v>
      </c>
      <c r="L2179" s="3">
        <v>14.9</v>
      </c>
      <c r="M2179" s="3">
        <v>76.400000000000006</v>
      </c>
      <c r="N2179" s="3">
        <v>417.2</v>
      </c>
      <c r="O2179" s="2">
        <v>430</v>
      </c>
      <c r="P2179">
        <v>1</v>
      </c>
      <c r="Q2179" t="s">
        <v>23</v>
      </c>
      <c r="R2179" s="4">
        <v>200.43</v>
      </c>
      <c r="S2179" s="4">
        <v>90.55</v>
      </c>
      <c r="T2179" t="s">
        <v>31</v>
      </c>
      <c r="U2179" s="4">
        <v>10.94</v>
      </c>
      <c r="V2179" s="4">
        <v>9.5440000000000005</v>
      </c>
      <c r="W2179" s="4">
        <v>109.88</v>
      </c>
    </row>
    <row r="2180" spans="1:23" ht="15" customHeight="1" x14ac:dyDescent="0.25">
      <c r="A2180">
        <v>2204</v>
      </c>
      <c r="B2180" s="1">
        <v>46018.833333333343</v>
      </c>
      <c r="C2180">
        <v>20</v>
      </c>
      <c r="D2180" t="s">
        <v>60</v>
      </c>
      <c r="E2180">
        <v>12</v>
      </c>
      <c r="F2180" t="s">
        <v>32</v>
      </c>
      <c r="G2180" t="s">
        <v>36</v>
      </c>
      <c r="H2180" t="s">
        <v>52</v>
      </c>
      <c r="I2180" t="s">
        <v>13</v>
      </c>
      <c r="J2180" t="s">
        <v>21</v>
      </c>
      <c r="K2180" s="2">
        <v>9800</v>
      </c>
      <c r="L2180" s="3">
        <v>13.2</v>
      </c>
      <c r="M2180" s="3">
        <v>80</v>
      </c>
      <c r="N2180" s="3">
        <v>0</v>
      </c>
      <c r="O2180" s="2">
        <v>315</v>
      </c>
      <c r="P2180">
        <v>1</v>
      </c>
      <c r="Q2180" t="s">
        <v>17</v>
      </c>
      <c r="R2180" s="4">
        <v>99.73</v>
      </c>
      <c r="S2180" s="4">
        <v>0</v>
      </c>
      <c r="T2180" t="s">
        <v>31</v>
      </c>
      <c r="U2180" s="4">
        <v>10.41</v>
      </c>
      <c r="V2180" s="4">
        <v>10.177</v>
      </c>
      <c r="W2180" s="4">
        <v>99.73</v>
      </c>
    </row>
    <row r="2181" spans="1:23" ht="15" customHeight="1" x14ac:dyDescent="0.25">
      <c r="A2181">
        <v>1100</v>
      </c>
      <c r="B2181" s="1">
        <v>46018.833333333343</v>
      </c>
      <c r="C2181">
        <v>20</v>
      </c>
      <c r="D2181" t="s">
        <v>60</v>
      </c>
      <c r="E2181">
        <v>12</v>
      </c>
      <c r="F2181" t="s">
        <v>32</v>
      </c>
      <c r="G2181" t="s">
        <v>36</v>
      </c>
      <c r="H2181" t="s">
        <v>50</v>
      </c>
      <c r="I2181" t="s">
        <v>22</v>
      </c>
      <c r="J2181" t="s">
        <v>12</v>
      </c>
      <c r="K2181" s="2">
        <v>21000</v>
      </c>
      <c r="L2181" s="3">
        <v>13.2</v>
      </c>
      <c r="M2181" s="3">
        <v>67.400000000000006</v>
      </c>
      <c r="N2181" s="3"/>
      <c r="O2181" s="2">
        <v>420</v>
      </c>
      <c r="P2181">
        <v>1</v>
      </c>
      <c r="Q2181" t="s">
        <v>17</v>
      </c>
      <c r="R2181" s="4">
        <v>311.42</v>
      </c>
      <c r="S2181" s="4">
        <v>0</v>
      </c>
      <c r="T2181" t="s">
        <v>31</v>
      </c>
      <c r="U2181" s="4">
        <v>31.48</v>
      </c>
      <c r="V2181" s="4">
        <v>14.83</v>
      </c>
      <c r="W2181" s="4">
        <v>311.42</v>
      </c>
    </row>
    <row r="2182" spans="1:23" ht="15" customHeight="1" x14ac:dyDescent="0.25">
      <c r="A2182">
        <v>1468</v>
      </c>
      <c r="B2182" s="1">
        <v>46018.833333333343</v>
      </c>
      <c r="C2182">
        <v>20</v>
      </c>
      <c r="D2182" t="s">
        <v>60</v>
      </c>
      <c r="E2182">
        <v>12</v>
      </c>
      <c r="F2182" t="s">
        <v>32</v>
      </c>
      <c r="G2182" t="s">
        <v>36</v>
      </c>
      <c r="H2182" t="s">
        <v>51</v>
      </c>
      <c r="I2182" t="s">
        <v>25</v>
      </c>
      <c r="J2182" t="s">
        <v>15</v>
      </c>
      <c r="K2182" s="2">
        <v>17400</v>
      </c>
      <c r="L2182" s="3">
        <v>11.6</v>
      </c>
      <c r="M2182" s="3">
        <v>81.7</v>
      </c>
      <c r="N2182" s="3">
        <v>0</v>
      </c>
      <c r="O2182" s="2">
        <v>1616</v>
      </c>
      <c r="P2182">
        <v>1</v>
      </c>
      <c r="Q2182" t="s">
        <v>17</v>
      </c>
      <c r="R2182" s="4">
        <v>321.42</v>
      </c>
      <c r="S2182" s="4">
        <v>0</v>
      </c>
      <c r="T2182" t="s">
        <v>31</v>
      </c>
      <c r="U2182" s="4">
        <v>32.979999999999997</v>
      </c>
      <c r="V2182" s="4">
        <v>18.472000000000001</v>
      </c>
      <c r="W2182" s="4">
        <v>321.42</v>
      </c>
    </row>
    <row r="2183" spans="1:23" ht="15" customHeight="1" x14ac:dyDescent="0.25">
      <c r="A2183">
        <v>732</v>
      </c>
      <c r="B2183" s="1">
        <v>46018.833333333343</v>
      </c>
      <c r="C2183">
        <v>20</v>
      </c>
      <c r="D2183" t="s">
        <v>60</v>
      </c>
      <c r="E2183">
        <v>12</v>
      </c>
      <c r="F2183" t="s">
        <v>32</v>
      </c>
      <c r="G2183" t="s">
        <v>36</v>
      </c>
      <c r="H2183" t="s">
        <v>54</v>
      </c>
      <c r="I2183" t="s">
        <v>16</v>
      </c>
      <c r="J2183" t="s">
        <v>24</v>
      </c>
      <c r="K2183" s="2">
        <v>8600</v>
      </c>
      <c r="L2183" s="3">
        <v>11.6</v>
      </c>
      <c r="M2183" s="3">
        <v>89.8</v>
      </c>
      <c r="N2183" s="3">
        <v>0</v>
      </c>
      <c r="O2183" s="2">
        <v>35</v>
      </c>
      <c r="P2183">
        <v>0</v>
      </c>
      <c r="Q2183" t="s">
        <v>14</v>
      </c>
      <c r="R2183" s="4">
        <v>13.73</v>
      </c>
      <c r="S2183" s="4">
        <v>0</v>
      </c>
      <c r="T2183" t="s">
        <v>31</v>
      </c>
      <c r="U2183" s="4">
        <v>1.42</v>
      </c>
      <c r="V2183" s="4">
        <v>1.597</v>
      </c>
      <c r="W2183" s="4">
        <v>13.73</v>
      </c>
    </row>
    <row r="2184" spans="1:23" ht="15" customHeight="1" x14ac:dyDescent="0.25">
      <c r="A2184">
        <v>1836</v>
      </c>
      <c r="B2184" s="1">
        <v>46018.833333333343</v>
      </c>
      <c r="C2184">
        <v>20</v>
      </c>
      <c r="D2184" t="s">
        <v>60</v>
      </c>
      <c r="E2184">
        <v>12</v>
      </c>
      <c r="F2184" t="s">
        <v>32</v>
      </c>
      <c r="G2184" t="s">
        <v>36</v>
      </c>
      <c r="H2184" t="s">
        <v>49</v>
      </c>
      <c r="I2184" t="s">
        <v>27</v>
      </c>
      <c r="J2184" t="s">
        <v>18</v>
      </c>
      <c r="K2184" s="2">
        <v>26000</v>
      </c>
      <c r="L2184" s="3">
        <v>8.6</v>
      </c>
      <c r="M2184" s="3">
        <v>87.8</v>
      </c>
      <c r="N2184" s="3"/>
      <c r="O2184" s="2">
        <v>76</v>
      </c>
      <c r="P2184">
        <v>1</v>
      </c>
      <c r="Q2184" t="s">
        <v>17</v>
      </c>
      <c r="R2184" s="4">
        <v>137.44</v>
      </c>
      <c r="S2184" s="4">
        <v>0</v>
      </c>
      <c r="T2184" t="s">
        <v>31</v>
      </c>
      <c r="U2184" s="4">
        <v>13.43</v>
      </c>
      <c r="V2184" s="4">
        <v>5.2859999999999996</v>
      </c>
      <c r="W2184" s="4">
        <v>137.44</v>
      </c>
    </row>
    <row r="2185" spans="1:23" ht="15" customHeight="1" x14ac:dyDescent="0.25">
      <c r="A2185">
        <v>364</v>
      </c>
      <c r="B2185" s="1">
        <v>46018.833333333343</v>
      </c>
      <c r="C2185">
        <v>20</v>
      </c>
      <c r="D2185" t="s">
        <v>60</v>
      </c>
      <c r="E2185">
        <v>12</v>
      </c>
      <c r="F2185" t="s">
        <v>32</v>
      </c>
      <c r="G2185" t="s">
        <v>36</v>
      </c>
      <c r="H2185" t="s">
        <v>53</v>
      </c>
      <c r="I2185" t="s">
        <v>19</v>
      </c>
      <c r="J2185" t="s">
        <v>26</v>
      </c>
      <c r="K2185" s="2">
        <v>12500</v>
      </c>
      <c r="L2185" s="3">
        <v>6.9</v>
      </c>
      <c r="M2185" s="3">
        <v>83.1</v>
      </c>
      <c r="N2185" s="3">
        <v>0</v>
      </c>
      <c r="O2185" s="2">
        <v>8</v>
      </c>
      <c r="P2185">
        <v>0</v>
      </c>
      <c r="Q2185" t="s">
        <v>14</v>
      </c>
      <c r="R2185" s="4">
        <v>22.82</v>
      </c>
      <c r="S2185" s="4">
        <v>0</v>
      </c>
      <c r="T2185" t="s">
        <v>31</v>
      </c>
      <c r="U2185" s="4">
        <v>2.2799999999999998</v>
      </c>
      <c r="V2185" s="4">
        <v>1.8260000000000001</v>
      </c>
      <c r="W2185" s="4">
        <v>22.82</v>
      </c>
    </row>
    <row r="2186" spans="1:23" ht="15" customHeight="1" x14ac:dyDescent="0.25">
      <c r="A2186">
        <v>1469</v>
      </c>
      <c r="B2186" s="1">
        <v>46022</v>
      </c>
      <c r="C2186">
        <v>0</v>
      </c>
      <c r="D2186" t="s">
        <v>48</v>
      </c>
      <c r="E2186">
        <v>12</v>
      </c>
      <c r="F2186" t="s">
        <v>32</v>
      </c>
      <c r="G2186" t="s">
        <v>33</v>
      </c>
      <c r="H2186" t="s">
        <v>51</v>
      </c>
      <c r="I2186" t="s">
        <v>25</v>
      </c>
      <c r="J2186" t="s">
        <v>15</v>
      </c>
      <c r="K2186" s="2">
        <v>17400</v>
      </c>
      <c r="L2186" s="3">
        <v>9.8000000000000007</v>
      </c>
      <c r="M2186" s="3">
        <v>75.8</v>
      </c>
      <c r="N2186" s="3">
        <v>0</v>
      </c>
      <c r="O2186" s="2">
        <v>111</v>
      </c>
      <c r="P2186">
        <v>0</v>
      </c>
      <c r="Q2186" t="s">
        <v>14</v>
      </c>
      <c r="R2186" s="4">
        <v>52.48</v>
      </c>
      <c r="S2186" s="4">
        <v>0</v>
      </c>
      <c r="T2186" t="s">
        <v>31</v>
      </c>
      <c r="U2186" s="4">
        <v>5.24</v>
      </c>
      <c r="V2186" s="4">
        <v>3.016</v>
      </c>
      <c r="W2186" s="4">
        <v>52.48</v>
      </c>
    </row>
    <row r="2187" spans="1:23" ht="15" customHeight="1" x14ac:dyDescent="0.25">
      <c r="A2187">
        <v>365</v>
      </c>
      <c r="B2187" s="1">
        <v>46022</v>
      </c>
      <c r="C2187">
        <v>0</v>
      </c>
      <c r="D2187" t="s">
        <v>48</v>
      </c>
      <c r="E2187">
        <v>12</v>
      </c>
      <c r="F2187" t="s">
        <v>32</v>
      </c>
      <c r="G2187" t="s">
        <v>33</v>
      </c>
      <c r="H2187" t="s">
        <v>53</v>
      </c>
      <c r="I2187" t="s">
        <v>19</v>
      </c>
      <c r="J2187" t="s">
        <v>26</v>
      </c>
      <c r="K2187" s="2">
        <v>12500</v>
      </c>
      <c r="L2187" s="3">
        <v>-1.6</v>
      </c>
      <c r="M2187" s="3">
        <v>78.099999999999994</v>
      </c>
      <c r="N2187" s="3">
        <v>0</v>
      </c>
      <c r="O2187" s="2">
        <v>0</v>
      </c>
      <c r="P2187">
        <v>0</v>
      </c>
      <c r="Q2187" t="s">
        <v>14</v>
      </c>
      <c r="R2187" s="4">
        <v>26.38</v>
      </c>
      <c r="S2187" s="4">
        <v>0</v>
      </c>
      <c r="T2187" t="s">
        <v>31</v>
      </c>
      <c r="U2187" s="4">
        <v>2.57</v>
      </c>
      <c r="V2187" s="4">
        <v>2.11</v>
      </c>
      <c r="W2187" s="4">
        <v>26.38</v>
      </c>
    </row>
    <row r="2188" spans="1:23" ht="15" customHeight="1" x14ac:dyDescent="0.25">
      <c r="A2188">
        <v>1101</v>
      </c>
      <c r="B2188" s="1">
        <v>46022</v>
      </c>
      <c r="C2188">
        <v>0</v>
      </c>
      <c r="D2188" t="s">
        <v>48</v>
      </c>
      <c r="E2188">
        <v>12</v>
      </c>
      <c r="F2188" t="s">
        <v>32</v>
      </c>
      <c r="G2188" t="s">
        <v>33</v>
      </c>
      <c r="H2188" t="s">
        <v>50</v>
      </c>
      <c r="I2188" t="s">
        <v>22</v>
      </c>
      <c r="J2188" t="s">
        <v>12</v>
      </c>
      <c r="K2188" s="2">
        <v>21000</v>
      </c>
      <c r="L2188" s="3">
        <v>3.7</v>
      </c>
      <c r="M2188" s="3">
        <v>77.2</v>
      </c>
      <c r="N2188" s="3">
        <v>0</v>
      </c>
      <c r="O2188" s="2">
        <v>148</v>
      </c>
      <c r="P2188">
        <v>1</v>
      </c>
      <c r="Q2188" t="s">
        <v>17</v>
      </c>
      <c r="R2188" s="4">
        <v>197.89</v>
      </c>
      <c r="S2188" s="4">
        <v>0</v>
      </c>
      <c r="T2188" t="s">
        <v>31</v>
      </c>
      <c r="U2188" s="4">
        <v>20.62</v>
      </c>
      <c r="V2188" s="4">
        <v>9.423</v>
      </c>
      <c r="W2188" s="4">
        <v>197.89</v>
      </c>
    </row>
    <row r="2189" spans="1:23" ht="15" customHeight="1" x14ac:dyDescent="0.25">
      <c r="A2189">
        <v>2205</v>
      </c>
      <c r="B2189" s="1">
        <v>46022</v>
      </c>
      <c r="C2189">
        <v>0</v>
      </c>
      <c r="D2189" t="s">
        <v>48</v>
      </c>
      <c r="E2189">
        <v>12</v>
      </c>
      <c r="F2189" t="s">
        <v>32</v>
      </c>
      <c r="G2189" t="s">
        <v>33</v>
      </c>
      <c r="H2189" t="s">
        <v>52</v>
      </c>
      <c r="I2189" t="s">
        <v>13</v>
      </c>
      <c r="J2189" t="s">
        <v>21</v>
      </c>
      <c r="K2189" s="2">
        <v>9800</v>
      </c>
      <c r="L2189" s="3">
        <v>7.8</v>
      </c>
      <c r="M2189" s="3">
        <v>85.6</v>
      </c>
      <c r="N2189" s="3">
        <v>0</v>
      </c>
      <c r="O2189" s="2">
        <v>308</v>
      </c>
      <c r="P2189">
        <v>1</v>
      </c>
      <c r="Q2189" t="s">
        <v>17</v>
      </c>
      <c r="R2189" s="4">
        <v>101.63</v>
      </c>
      <c r="S2189" s="4">
        <v>0</v>
      </c>
      <c r="T2189" t="s">
        <v>31</v>
      </c>
      <c r="U2189" s="4">
        <v>10.06</v>
      </c>
      <c r="V2189" s="4">
        <v>10.37</v>
      </c>
      <c r="W2189" s="4">
        <v>101.63</v>
      </c>
    </row>
    <row r="2190" spans="1:23" ht="15" customHeight="1" x14ac:dyDescent="0.25">
      <c r="A2190">
        <v>1837</v>
      </c>
      <c r="B2190" s="1">
        <v>46022</v>
      </c>
      <c r="C2190">
        <v>0</v>
      </c>
      <c r="D2190" t="s">
        <v>48</v>
      </c>
      <c r="E2190">
        <v>12</v>
      </c>
      <c r="F2190" t="s">
        <v>32</v>
      </c>
      <c r="G2190" t="s">
        <v>33</v>
      </c>
      <c r="H2190" t="s">
        <v>49</v>
      </c>
      <c r="I2190" t="s">
        <v>27</v>
      </c>
      <c r="J2190" t="s">
        <v>18</v>
      </c>
      <c r="K2190" s="2">
        <v>26000</v>
      </c>
      <c r="L2190" s="3">
        <v>-2.9</v>
      </c>
      <c r="M2190" s="3">
        <v>81.8</v>
      </c>
      <c r="N2190" s="3">
        <v>0</v>
      </c>
      <c r="O2190" s="2"/>
      <c r="P2190">
        <v>1</v>
      </c>
      <c r="Q2190" t="s">
        <v>17</v>
      </c>
      <c r="R2190" s="4">
        <v>140.25</v>
      </c>
      <c r="S2190" s="4">
        <v>0</v>
      </c>
      <c r="T2190" t="s">
        <v>31</v>
      </c>
      <c r="U2190" s="4">
        <v>14.01</v>
      </c>
      <c r="V2190" s="4">
        <v>5.3940000000000001</v>
      </c>
      <c r="W2190" s="4">
        <v>140.25</v>
      </c>
    </row>
    <row r="2191" spans="1:23" ht="15" customHeight="1" x14ac:dyDescent="0.25">
      <c r="A2191">
        <v>733</v>
      </c>
      <c r="B2191" s="1">
        <v>46022</v>
      </c>
      <c r="C2191">
        <v>0</v>
      </c>
      <c r="D2191" t="s">
        <v>48</v>
      </c>
      <c r="E2191">
        <v>12</v>
      </c>
      <c r="F2191" t="s">
        <v>32</v>
      </c>
      <c r="G2191" t="s">
        <v>33</v>
      </c>
      <c r="H2191" t="s">
        <v>54</v>
      </c>
      <c r="I2191" t="s">
        <v>16</v>
      </c>
      <c r="J2191" t="s">
        <v>24</v>
      </c>
      <c r="K2191" s="2">
        <v>8600</v>
      </c>
      <c r="L2191" s="3">
        <v>8.5</v>
      </c>
      <c r="M2191" s="3">
        <v>99</v>
      </c>
      <c r="N2191" s="3">
        <v>0</v>
      </c>
      <c r="O2191" s="2">
        <v>13</v>
      </c>
      <c r="P2191">
        <v>0</v>
      </c>
      <c r="Q2191" t="s">
        <v>14</v>
      </c>
      <c r="R2191" s="4">
        <v>12.49</v>
      </c>
      <c r="S2191" s="4">
        <v>0</v>
      </c>
      <c r="T2191" t="s">
        <v>31</v>
      </c>
      <c r="U2191" s="4">
        <v>1.26</v>
      </c>
      <c r="V2191" s="4">
        <v>1.452</v>
      </c>
      <c r="W2191" s="4">
        <v>12.49</v>
      </c>
    </row>
    <row r="2192" spans="1:23" ht="15" customHeight="1" x14ac:dyDescent="0.25">
      <c r="A2192">
        <v>2206</v>
      </c>
      <c r="B2192" s="1">
        <v>46022.333333333343</v>
      </c>
      <c r="C2192">
        <v>8</v>
      </c>
      <c r="D2192" t="s">
        <v>48</v>
      </c>
      <c r="E2192">
        <v>12</v>
      </c>
      <c r="F2192" t="s">
        <v>32</v>
      </c>
      <c r="G2192" t="s">
        <v>33</v>
      </c>
      <c r="H2192" t="s">
        <v>52</v>
      </c>
      <c r="I2192" t="s">
        <v>13</v>
      </c>
      <c r="J2192" t="s">
        <v>21</v>
      </c>
      <c r="K2192" s="2">
        <v>9800</v>
      </c>
      <c r="L2192" s="3">
        <v>9.3000000000000007</v>
      </c>
      <c r="M2192" s="3">
        <v>84</v>
      </c>
      <c r="N2192" s="3">
        <v>0</v>
      </c>
      <c r="O2192" s="2">
        <v>46</v>
      </c>
      <c r="P2192">
        <v>1</v>
      </c>
      <c r="Q2192" t="s">
        <v>17</v>
      </c>
      <c r="R2192" s="4">
        <v>34.43</v>
      </c>
      <c r="S2192" s="4">
        <v>0</v>
      </c>
      <c r="T2192" t="s">
        <v>34</v>
      </c>
      <c r="U2192" s="4">
        <v>5.41</v>
      </c>
      <c r="V2192" s="4">
        <v>3.5129999999999999</v>
      </c>
      <c r="W2192" s="4">
        <v>34.43</v>
      </c>
    </row>
    <row r="2193" spans="1:23" ht="15" customHeight="1" x14ac:dyDescent="0.25">
      <c r="A2193">
        <v>1470</v>
      </c>
      <c r="B2193" s="1">
        <v>46022.333333333343</v>
      </c>
      <c r="C2193">
        <v>8</v>
      </c>
      <c r="D2193" t="s">
        <v>48</v>
      </c>
      <c r="E2193">
        <v>12</v>
      </c>
      <c r="F2193" t="s">
        <v>32</v>
      </c>
      <c r="G2193" t="s">
        <v>33</v>
      </c>
      <c r="H2193" t="s">
        <v>51</v>
      </c>
      <c r="I2193" t="s">
        <v>25</v>
      </c>
      <c r="J2193" t="s">
        <v>15</v>
      </c>
      <c r="K2193" s="2">
        <v>17400</v>
      </c>
      <c r="L2193" s="3">
        <v>11.5</v>
      </c>
      <c r="M2193" s="3">
        <v>87.6</v>
      </c>
      <c r="N2193" s="3">
        <v>0</v>
      </c>
      <c r="O2193" s="2">
        <v>242</v>
      </c>
      <c r="P2193">
        <v>0</v>
      </c>
      <c r="Q2193" t="s">
        <v>14</v>
      </c>
      <c r="R2193" s="4">
        <v>54.92</v>
      </c>
      <c r="S2193" s="4">
        <v>0</v>
      </c>
      <c r="T2193" t="s">
        <v>34</v>
      </c>
      <c r="U2193" s="4">
        <v>8.67</v>
      </c>
      <c r="V2193" s="4">
        <v>3.1560000000000001</v>
      </c>
      <c r="W2193" s="4">
        <v>54.92</v>
      </c>
    </row>
    <row r="2194" spans="1:23" ht="15" customHeight="1" x14ac:dyDescent="0.25">
      <c r="A2194">
        <v>1102</v>
      </c>
      <c r="B2194" s="1">
        <v>46022.333333333343</v>
      </c>
      <c r="C2194">
        <v>8</v>
      </c>
      <c r="D2194" t="s">
        <v>48</v>
      </c>
      <c r="E2194">
        <v>12</v>
      </c>
      <c r="F2194" t="s">
        <v>32</v>
      </c>
      <c r="G2194" t="s">
        <v>33</v>
      </c>
      <c r="H2194" t="s">
        <v>50</v>
      </c>
      <c r="I2194" t="s">
        <v>22</v>
      </c>
      <c r="J2194" t="s">
        <v>12</v>
      </c>
      <c r="K2194" s="2">
        <v>21000</v>
      </c>
      <c r="L2194" s="3">
        <v>9.3000000000000007</v>
      </c>
      <c r="M2194" s="3">
        <v>73.8</v>
      </c>
      <c r="N2194" s="3">
        <v>0</v>
      </c>
      <c r="O2194" s="2">
        <v>425</v>
      </c>
      <c r="P2194">
        <v>1</v>
      </c>
      <c r="Q2194" t="s">
        <v>17</v>
      </c>
      <c r="R2194" s="4">
        <v>300.70999999999998</v>
      </c>
      <c r="S2194" s="4">
        <v>0</v>
      </c>
      <c r="T2194" t="s">
        <v>34</v>
      </c>
      <c r="U2194" s="4">
        <v>48.08</v>
      </c>
      <c r="V2194" s="4">
        <v>14.32</v>
      </c>
      <c r="W2194" s="4">
        <v>300.70999999999998</v>
      </c>
    </row>
    <row r="2195" spans="1:23" ht="15" customHeight="1" x14ac:dyDescent="0.25">
      <c r="A2195">
        <v>366</v>
      </c>
      <c r="B2195" s="1">
        <v>46022.333333333343</v>
      </c>
      <c r="C2195">
        <v>8</v>
      </c>
      <c r="D2195" t="s">
        <v>48</v>
      </c>
      <c r="E2195">
        <v>12</v>
      </c>
      <c r="F2195" t="s">
        <v>32</v>
      </c>
      <c r="G2195" t="s">
        <v>33</v>
      </c>
      <c r="H2195" t="s">
        <v>53</v>
      </c>
      <c r="I2195" t="s">
        <v>19</v>
      </c>
      <c r="J2195" t="s">
        <v>26</v>
      </c>
      <c r="K2195" s="2">
        <v>12500</v>
      </c>
      <c r="L2195" s="3">
        <v>5.7</v>
      </c>
      <c r="M2195" s="3">
        <v>78.900000000000006</v>
      </c>
      <c r="N2195" s="3">
        <v>0</v>
      </c>
      <c r="O2195" s="2">
        <v>339</v>
      </c>
      <c r="P2195">
        <v>1</v>
      </c>
      <c r="Q2195" t="s">
        <v>17</v>
      </c>
      <c r="R2195" s="4">
        <v>109.1</v>
      </c>
      <c r="S2195" s="4">
        <v>0</v>
      </c>
      <c r="T2195" t="s">
        <v>34</v>
      </c>
      <c r="U2195" s="4">
        <v>17.78</v>
      </c>
      <c r="V2195" s="4">
        <v>8.7279999999999998</v>
      </c>
      <c r="W2195" s="4">
        <v>109.1</v>
      </c>
    </row>
    <row r="2196" spans="1:23" ht="15" customHeight="1" x14ac:dyDescent="0.25">
      <c r="A2196">
        <v>734</v>
      </c>
      <c r="B2196" s="1">
        <v>46022.333333333343</v>
      </c>
      <c r="C2196">
        <v>8</v>
      </c>
      <c r="D2196" t="s">
        <v>48</v>
      </c>
      <c r="E2196">
        <v>12</v>
      </c>
      <c r="F2196" t="s">
        <v>32</v>
      </c>
      <c r="G2196" t="s">
        <v>33</v>
      </c>
      <c r="H2196" t="s">
        <v>54</v>
      </c>
      <c r="I2196" t="s">
        <v>16</v>
      </c>
      <c r="J2196" t="s">
        <v>24</v>
      </c>
      <c r="K2196" s="2">
        <v>8600</v>
      </c>
      <c r="L2196" s="3">
        <v>7.8</v>
      </c>
      <c r="M2196" s="3">
        <v>96.8</v>
      </c>
      <c r="N2196" s="3">
        <v>0</v>
      </c>
      <c r="O2196" s="2">
        <v>1</v>
      </c>
      <c r="P2196">
        <v>0</v>
      </c>
      <c r="Q2196" t="s">
        <v>14</v>
      </c>
      <c r="R2196" s="4">
        <v>12.63</v>
      </c>
      <c r="S2196" s="4">
        <v>0</v>
      </c>
      <c r="T2196" t="s">
        <v>34</v>
      </c>
      <c r="U2196" s="4">
        <v>2.14</v>
      </c>
      <c r="V2196" s="4">
        <v>1.4690000000000001</v>
      </c>
      <c r="W2196" s="4">
        <v>12.63</v>
      </c>
    </row>
    <row r="2197" spans="1:23" ht="15" customHeight="1" x14ac:dyDescent="0.25">
      <c r="A2197">
        <v>1838</v>
      </c>
      <c r="B2197" s="1">
        <v>46022.333333333343</v>
      </c>
      <c r="C2197">
        <v>8</v>
      </c>
      <c r="D2197" t="s">
        <v>48</v>
      </c>
      <c r="E2197">
        <v>12</v>
      </c>
      <c r="F2197" t="s">
        <v>32</v>
      </c>
      <c r="G2197" t="s">
        <v>33</v>
      </c>
      <c r="H2197" t="s">
        <v>49</v>
      </c>
      <c r="I2197" t="s">
        <v>27</v>
      </c>
      <c r="J2197" t="s">
        <v>18</v>
      </c>
      <c r="K2197" s="2">
        <v>26000</v>
      </c>
      <c r="L2197" s="3">
        <v>6.6</v>
      </c>
      <c r="M2197" s="3">
        <v>76.900000000000006</v>
      </c>
      <c r="N2197" s="3">
        <v>0</v>
      </c>
      <c r="O2197" s="2">
        <v>180</v>
      </c>
      <c r="P2197">
        <v>1</v>
      </c>
      <c r="Q2197" t="s">
        <v>17</v>
      </c>
      <c r="R2197" s="4">
        <v>275.02</v>
      </c>
      <c r="S2197" s="4">
        <v>0</v>
      </c>
      <c r="T2197" t="s">
        <v>34</v>
      </c>
      <c r="U2197" s="4">
        <v>45.3</v>
      </c>
      <c r="V2197" s="4">
        <v>10.577999999999999</v>
      </c>
      <c r="W2197" s="4">
        <v>275.02</v>
      </c>
    </row>
    <row r="2198" spans="1:23" ht="15" customHeight="1" x14ac:dyDescent="0.25">
      <c r="A2198">
        <v>2207</v>
      </c>
      <c r="B2198" s="1">
        <v>46022.583333333343</v>
      </c>
      <c r="C2198">
        <v>14</v>
      </c>
      <c r="D2198" t="s">
        <v>48</v>
      </c>
      <c r="E2198">
        <v>12</v>
      </c>
      <c r="F2198" t="s">
        <v>32</v>
      </c>
      <c r="G2198" t="s">
        <v>33</v>
      </c>
      <c r="H2198" t="s">
        <v>52</v>
      </c>
      <c r="I2198" t="s">
        <v>13</v>
      </c>
      <c r="J2198" t="s">
        <v>21</v>
      </c>
      <c r="K2198" s="2">
        <v>9800</v>
      </c>
      <c r="L2198" s="3">
        <v>11.8</v>
      </c>
      <c r="M2198" s="3">
        <v>93.7</v>
      </c>
      <c r="N2198" s="3">
        <v>317.10000000000002</v>
      </c>
      <c r="O2198" s="2">
        <v>77</v>
      </c>
      <c r="P2198">
        <v>1</v>
      </c>
      <c r="Q2198" t="s">
        <v>17</v>
      </c>
      <c r="R2198" s="4">
        <v>21.08</v>
      </c>
      <c r="S2198" s="4">
        <v>0</v>
      </c>
      <c r="T2198" t="s">
        <v>34</v>
      </c>
      <c r="U2198" s="4">
        <v>3.37</v>
      </c>
      <c r="V2198" s="4">
        <v>2.1509999999999998</v>
      </c>
      <c r="W2198" s="4">
        <v>21.08</v>
      </c>
    </row>
    <row r="2199" spans="1:23" ht="15" customHeight="1" x14ac:dyDescent="0.25">
      <c r="A2199">
        <v>1103</v>
      </c>
      <c r="B2199" s="1">
        <v>46022.583333333343</v>
      </c>
      <c r="C2199">
        <v>14</v>
      </c>
      <c r="D2199" t="s">
        <v>48</v>
      </c>
      <c r="E2199">
        <v>12</v>
      </c>
      <c r="F2199" t="s">
        <v>32</v>
      </c>
      <c r="G2199" t="s">
        <v>33</v>
      </c>
      <c r="H2199" t="s">
        <v>50</v>
      </c>
      <c r="I2199" t="s">
        <v>22</v>
      </c>
      <c r="J2199" t="s">
        <v>12</v>
      </c>
      <c r="K2199" s="2">
        <v>21000</v>
      </c>
      <c r="L2199" s="3">
        <v>14.4</v>
      </c>
      <c r="M2199" s="3">
        <v>54.2</v>
      </c>
      <c r="N2199" s="3">
        <v>509.2</v>
      </c>
      <c r="O2199" s="2">
        <v>400</v>
      </c>
      <c r="P2199">
        <v>1</v>
      </c>
      <c r="Q2199" t="s">
        <v>17</v>
      </c>
      <c r="R2199" s="4">
        <v>1130.8699999999999</v>
      </c>
      <c r="S2199" s="4">
        <v>100.08</v>
      </c>
      <c r="T2199" t="s">
        <v>34</v>
      </c>
      <c r="U2199" s="4">
        <v>15.41</v>
      </c>
      <c r="V2199" s="4">
        <v>53.850999999999999</v>
      </c>
      <c r="W2199" s="4">
        <v>1030.79</v>
      </c>
    </row>
    <row r="2200" spans="1:23" ht="15" customHeight="1" x14ac:dyDescent="0.25">
      <c r="A2200">
        <v>735</v>
      </c>
      <c r="B2200" s="1">
        <v>46022.583333333343</v>
      </c>
      <c r="C2200">
        <v>14</v>
      </c>
      <c r="D2200" t="s">
        <v>48</v>
      </c>
      <c r="E2200">
        <v>12</v>
      </c>
      <c r="F2200" t="s">
        <v>32</v>
      </c>
      <c r="G2200" t="s">
        <v>33</v>
      </c>
      <c r="H2200" t="s">
        <v>54</v>
      </c>
      <c r="I2200" t="s">
        <v>16</v>
      </c>
      <c r="J2200" t="s">
        <v>24</v>
      </c>
      <c r="K2200" s="2">
        <v>8600</v>
      </c>
      <c r="L2200" s="3">
        <v>13.6</v>
      </c>
      <c r="M2200" s="3">
        <v>89.3</v>
      </c>
      <c r="N2200" s="3">
        <v>270.39999999999998</v>
      </c>
      <c r="O2200" s="2">
        <v>0</v>
      </c>
      <c r="P2200">
        <v>0</v>
      </c>
      <c r="Q2200" t="s">
        <v>14</v>
      </c>
      <c r="R2200" s="4">
        <v>7.67</v>
      </c>
      <c r="S2200" s="4">
        <v>19.78</v>
      </c>
      <c r="T2200" t="s">
        <v>34</v>
      </c>
      <c r="U2200" s="4">
        <v>-0.77</v>
      </c>
      <c r="V2200" s="4">
        <v>0.89200000000000002</v>
      </c>
      <c r="W2200" s="4">
        <v>0</v>
      </c>
    </row>
    <row r="2201" spans="1:23" ht="15" customHeight="1" x14ac:dyDescent="0.25">
      <c r="A2201">
        <v>367</v>
      </c>
      <c r="B2201" s="1">
        <v>46022.583333333343</v>
      </c>
      <c r="C2201">
        <v>14</v>
      </c>
      <c r="D2201" t="s">
        <v>48</v>
      </c>
      <c r="E2201">
        <v>12</v>
      </c>
      <c r="F2201" t="s">
        <v>32</v>
      </c>
      <c r="G2201" t="s">
        <v>33</v>
      </c>
      <c r="H2201" t="s">
        <v>53</v>
      </c>
      <c r="I2201" t="s">
        <v>19</v>
      </c>
      <c r="J2201" t="s">
        <v>26</v>
      </c>
      <c r="K2201" s="2">
        <v>12500</v>
      </c>
      <c r="L2201" s="3">
        <v>12.5</v>
      </c>
      <c r="M2201" s="3">
        <v>59.1</v>
      </c>
      <c r="N2201" s="3">
        <v>400.2</v>
      </c>
      <c r="O2201" s="2">
        <v>639</v>
      </c>
      <c r="P2201">
        <v>1</v>
      </c>
      <c r="Q2201" t="s">
        <v>17</v>
      </c>
      <c r="R2201" s="4">
        <v>108.85</v>
      </c>
      <c r="S2201" s="4">
        <v>60.39</v>
      </c>
      <c r="T2201" t="s">
        <v>34</v>
      </c>
      <c r="U2201" s="4">
        <v>7.8</v>
      </c>
      <c r="V2201" s="4">
        <v>8.7080000000000002</v>
      </c>
      <c r="W2201" s="4">
        <v>48.46</v>
      </c>
    </row>
    <row r="2202" spans="1:23" ht="15" customHeight="1" x14ac:dyDescent="0.25">
      <c r="A2202">
        <v>1471</v>
      </c>
      <c r="B2202" s="1">
        <v>46022.583333333343</v>
      </c>
      <c r="C2202">
        <v>14</v>
      </c>
      <c r="D2202" t="s">
        <v>48</v>
      </c>
      <c r="E2202">
        <v>12</v>
      </c>
      <c r="F2202" t="s">
        <v>32</v>
      </c>
      <c r="G2202" t="s">
        <v>33</v>
      </c>
      <c r="H2202" t="s">
        <v>51</v>
      </c>
      <c r="I2202" t="s">
        <v>25</v>
      </c>
      <c r="J2202" t="s">
        <v>15</v>
      </c>
      <c r="K2202" s="2">
        <v>17400</v>
      </c>
      <c r="L2202" s="3">
        <v>15.3</v>
      </c>
      <c r="M2202" s="3">
        <v>78.099999999999994</v>
      </c>
      <c r="N2202" s="3">
        <v>485.3</v>
      </c>
      <c r="O2202" s="2">
        <v>1238</v>
      </c>
      <c r="P2202">
        <v>1</v>
      </c>
      <c r="Q2202" t="s">
        <v>23</v>
      </c>
      <c r="R2202" s="4">
        <v>198.92</v>
      </c>
      <c r="S2202" s="4">
        <v>69.010000000000005</v>
      </c>
      <c r="T2202" t="s">
        <v>34</v>
      </c>
      <c r="U2202" s="4">
        <v>20.86</v>
      </c>
      <c r="V2202" s="4">
        <v>11.432</v>
      </c>
      <c r="W2202" s="4">
        <v>129.91</v>
      </c>
    </row>
    <row r="2203" spans="1:23" ht="15" customHeight="1" x14ac:dyDescent="0.25">
      <c r="A2203">
        <v>1839</v>
      </c>
      <c r="B2203" s="1">
        <v>46022.583333333343</v>
      </c>
      <c r="C2203">
        <v>14</v>
      </c>
      <c r="D2203" t="s">
        <v>48</v>
      </c>
      <c r="E2203">
        <v>12</v>
      </c>
      <c r="F2203" t="s">
        <v>32</v>
      </c>
      <c r="G2203" t="s">
        <v>33</v>
      </c>
      <c r="H2203" t="s">
        <v>49</v>
      </c>
      <c r="I2203" t="s">
        <v>27</v>
      </c>
      <c r="J2203" t="s">
        <v>18</v>
      </c>
      <c r="K2203" s="2">
        <v>26000</v>
      </c>
      <c r="L2203" s="3">
        <v>10.8</v>
      </c>
      <c r="M2203" s="3">
        <v>64.400000000000006</v>
      </c>
      <c r="N2203" s="3">
        <v>385.3</v>
      </c>
      <c r="O2203" s="2">
        <v>185</v>
      </c>
      <c r="P2203">
        <v>1</v>
      </c>
      <c r="Q2203" t="s">
        <v>17</v>
      </c>
      <c r="R2203" s="4">
        <v>166.98</v>
      </c>
      <c r="S2203" s="4">
        <v>102.13</v>
      </c>
      <c r="T2203" t="s">
        <v>34</v>
      </c>
      <c r="U2203" s="4">
        <v>10.59</v>
      </c>
      <c r="V2203" s="4">
        <v>6.4219999999999997</v>
      </c>
      <c r="W2203" s="4">
        <v>64.849999999999994</v>
      </c>
    </row>
    <row r="2204" spans="1:23" ht="15" customHeight="1" x14ac:dyDescent="0.25">
      <c r="A2204">
        <v>2208</v>
      </c>
      <c r="B2204" s="1">
        <v>46022.833333333343</v>
      </c>
      <c r="C2204">
        <v>20</v>
      </c>
      <c r="D2204" t="s">
        <v>48</v>
      </c>
      <c r="E2204">
        <v>12</v>
      </c>
      <c r="F2204" t="s">
        <v>32</v>
      </c>
      <c r="G2204" t="s">
        <v>33</v>
      </c>
      <c r="H2204" t="s">
        <v>52</v>
      </c>
      <c r="I2204" t="s">
        <v>13</v>
      </c>
      <c r="J2204" t="s">
        <v>21</v>
      </c>
      <c r="K2204" s="2">
        <v>9800</v>
      </c>
      <c r="L2204" s="3">
        <v>10.5</v>
      </c>
      <c r="M2204" s="3">
        <v>98.9</v>
      </c>
      <c r="N2204" s="3">
        <v>0</v>
      </c>
      <c r="O2204" s="2">
        <v>311</v>
      </c>
      <c r="P2204">
        <v>1</v>
      </c>
      <c r="Q2204" t="s">
        <v>17</v>
      </c>
      <c r="R2204" s="4">
        <v>100.17</v>
      </c>
      <c r="S2204" s="4">
        <v>0</v>
      </c>
      <c r="T2204" t="s">
        <v>37</v>
      </c>
      <c r="U2204" s="4">
        <v>25.28</v>
      </c>
      <c r="V2204" s="4">
        <v>10.221</v>
      </c>
      <c r="W2204" s="4">
        <v>100.17</v>
      </c>
    </row>
    <row r="2205" spans="1:23" ht="15" customHeight="1" x14ac:dyDescent="0.25">
      <c r="A2205">
        <v>1472</v>
      </c>
      <c r="B2205" s="1">
        <v>46022.833333333343</v>
      </c>
      <c r="C2205">
        <v>20</v>
      </c>
      <c r="D2205" t="s">
        <v>48</v>
      </c>
      <c r="E2205">
        <v>12</v>
      </c>
      <c r="F2205" t="s">
        <v>32</v>
      </c>
      <c r="G2205" t="s">
        <v>33</v>
      </c>
      <c r="H2205" t="s">
        <v>51</v>
      </c>
      <c r="I2205" t="s">
        <v>25</v>
      </c>
      <c r="J2205" t="s">
        <v>15</v>
      </c>
      <c r="K2205" s="2">
        <v>17400</v>
      </c>
      <c r="L2205" s="3">
        <v>12.6</v>
      </c>
      <c r="M2205" s="3">
        <v>70.5</v>
      </c>
      <c r="N2205" s="3">
        <v>0</v>
      </c>
      <c r="O2205" s="2">
        <v>1376</v>
      </c>
      <c r="P2205">
        <v>1</v>
      </c>
      <c r="Q2205" t="s">
        <v>17</v>
      </c>
      <c r="R2205" s="4">
        <v>285.52999999999997</v>
      </c>
      <c r="S2205" s="4">
        <v>0</v>
      </c>
      <c r="T2205" t="s">
        <v>37</v>
      </c>
      <c r="U2205" s="4">
        <v>72.239999999999995</v>
      </c>
      <c r="V2205" s="4">
        <v>16.41</v>
      </c>
      <c r="W2205" s="4">
        <v>285.52999999999997</v>
      </c>
    </row>
    <row r="2206" spans="1:23" ht="15" customHeight="1" x14ac:dyDescent="0.25">
      <c r="A2206">
        <v>1104</v>
      </c>
      <c r="B2206" s="1">
        <v>46022.833333333343</v>
      </c>
      <c r="C2206">
        <v>20</v>
      </c>
      <c r="D2206" t="s">
        <v>48</v>
      </c>
      <c r="E2206">
        <v>12</v>
      </c>
      <c r="F2206" t="s">
        <v>32</v>
      </c>
      <c r="G2206" t="s">
        <v>33</v>
      </c>
      <c r="H2206" t="s">
        <v>50</v>
      </c>
      <c r="I2206" t="s">
        <v>22</v>
      </c>
      <c r="J2206" t="s">
        <v>12</v>
      </c>
      <c r="K2206" s="2">
        <v>21000</v>
      </c>
      <c r="L2206" s="3">
        <v>9.1</v>
      </c>
      <c r="M2206" s="3">
        <v>72.7</v>
      </c>
      <c r="N2206" s="3">
        <v>0</v>
      </c>
      <c r="O2206" s="2">
        <v>428</v>
      </c>
      <c r="P2206">
        <v>1</v>
      </c>
      <c r="Q2206" t="s">
        <v>17</v>
      </c>
      <c r="R2206" s="4">
        <v>313.19</v>
      </c>
      <c r="S2206" s="4">
        <v>0</v>
      </c>
      <c r="T2206" t="s">
        <v>37</v>
      </c>
      <c r="U2206" s="4">
        <v>79.36</v>
      </c>
      <c r="V2206" s="4">
        <v>14.914</v>
      </c>
      <c r="W2206" s="4">
        <v>313.19</v>
      </c>
    </row>
    <row r="2207" spans="1:23" ht="15" customHeight="1" x14ac:dyDescent="0.25">
      <c r="A2207">
        <v>1840</v>
      </c>
      <c r="B2207" s="1">
        <v>46022.833333333343</v>
      </c>
      <c r="C2207">
        <v>20</v>
      </c>
      <c r="D2207" t="s">
        <v>48</v>
      </c>
      <c r="E2207">
        <v>12</v>
      </c>
      <c r="F2207" t="s">
        <v>32</v>
      </c>
      <c r="G2207" t="s">
        <v>33</v>
      </c>
      <c r="H2207" t="s">
        <v>49</v>
      </c>
      <c r="I2207" t="s">
        <v>27</v>
      </c>
      <c r="J2207" t="s">
        <v>18</v>
      </c>
      <c r="K2207" s="2">
        <v>26000</v>
      </c>
      <c r="L2207" s="3">
        <v>9.6999999999999993</v>
      </c>
      <c r="M2207" s="3">
        <v>83.3</v>
      </c>
      <c r="N2207" s="3">
        <v>0</v>
      </c>
      <c r="O2207" s="2">
        <v>179</v>
      </c>
      <c r="P2207">
        <v>1</v>
      </c>
      <c r="Q2207" t="s">
        <v>17</v>
      </c>
      <c r="R2207" s="4">
        <v>287.08999999999997</v>
      </c>
      <c r="S2207" s="4">
        <v>0</v>
      </c>
      <c r="T2207" t="s">
        <v>37</v>
      </c>
      <c r="U2207" s="4">
        <v>73.84</v>
      </c>
      <c r="V2207" s="4">
        <v>11.042</v>
      </c>
      <c r="W2207" s="4">
        <v>287.08999999999997</v>
      </c>
    </row>
    <row r="2208" spans="1:23" ht="15" customHeight="1" x14ac:dyDescent="0.25">
      <c r="A2208">
        <v>736</v>
      </c>
      <c r="B2208" s="1">
        <v>46022.833333333343</v>
      </c>
      <c r="C2208">
        <v>20</v>
      </c>
      <c r="D2208" t="s">
        <v>48</v>
      </c>
      <c r="E2208">
        <v>12</v>
      </c>
      <c r="F2208" t="s">
        <v>32</v>
      </c>
      <c r="G2208" t="s">
        <v>33</v>
      </c>
      <c r="H2208" t="s">
        <v>54</v>
      </c>
      <c r="I2208" t="s">
        <v>16</v>
      </c>
      <c r="J2208" t="s">
        <v>24</v>
      </c>
      <c r="K2208" s="2">
        <v>8600</v>
      </c>
      <c r="L2208" s="3">
        <v>8.9</v>
      </c>
      <c r="M2208" s="3">
        <v>99</v>
      </c>
      <c r="N2208" s="3">
        <v>0</v>
      </c>
      <c r="O2208" s="2">
        <v>19</v>
      </c>
      <c r="P2208">
        <v>0</v>
      </c>
      <c r="Q2208" t="s">
        <v>14</v>
      </c>
      <c r="R2208" s="4">
        <v>14.41</v>
      </c>
      <c r="S2208" s="4">
        <v>0</v>
      </c>
      <c r="T2208" t="s">
        <v>37</v>
      </c>
      <c r="U2208" s="4">
        <v>3.52</v>
      </c>
      <c r="V2208" s="4">
        <v>1.6759999999999999</v>
      </c>
      <c r="W2208" s="4">
        <v>14.41</v>
      </c>
    </row>
    <row r="2209" spans="1:23" ht="15" customHeight="1" x14ac:dyDescent="0.25">
      <c r="A2209">
        <v>368</v>
      </c>
      <c r="B2209" s="1">
        <v>46022.833333333343</v>
      </c>
      <c r="C2209">
        <v>20</v>
      </c>
      <c r="D2209" t="s">
        <v>48</v>
      </c>
      <c r="E2209">
        <v>12</v>
      </c>
      <c r="F2209" t="s">
        <v>32</v>
      </c>
      <c r="G2209" t="s">
        <v>33</v>
      </c>
      <c r="H2209" t="s">
        <v>53</v>
      </c>
      <c r="I2209" t="s">
        <v>19</v>
      </c>
      <c r="J2209" t="s">
        <v>26</v>
      </c>
      <c r="K2209" s="2">
        <v>12500</v>
      </c>
      <c r="L2209" s="3">
        <v>7.6</v>
      </c>
      <c r="M2209" s="3">
        <v>73.3</v>
      </c>
      <c r="N2209" s="3">
        <v>0</v>
      </c>
      <c r="O2209" s="2">
        <v>85</v>
      </c>
      <c r="P2209">
        <v>1</v>
      </c>
      <c r="Q2209" t="s">
        <v>17</v>
      </c>
      <c r="R2209" s="4">
        <v>40.69</v>
      </c>
      <c r="S2209" s="4">
        <v>0</v>
      </c>
      <c r="T2209" t="s">
        <v>37</v>
      </c>
      <c r="U2209" s="4">
        <v>10.14</v>
      </c>
      <c r="V2209" s="4">
        <v>3.2549999999999999</v>
      </c>
      <c r="W2209" s="4">
        <v>40.69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63E-CC57-4418-8D15-7B3F3A241818}">
  <dimension ref="A1:K111"/>
  <sheetViews>
    <sheetView topLeftCell="A10" workbookViewId="0">
      <selection activeCell="A20" sqref="A20"/>
    </sheetView>
  </sheetViews>
  <sheetFormatPr baseColWidth="10" defaultRowHeight="15" x14ac:dyDescent="0.25"/>
  <cols>
    <col min="1" max="1" width="17.5703125" bestFit="1" customWidth="1"/>
    <col min="2" max="2" width="9.28515625" bestFit="1" customWidth="1"/>
    <col min="3" max="3" width="15" bestFit="1" customWidth="1"/>
    <col min="4" max="4" width="6.140625" bestFit="1" customWidth="1"/>
    <col min="5" max="5" width="12.5703125" bestFit="1" customWidth="1"/>
    <col min="6" max="6" width="11.140625" bestFit="1" customWidth="1"/>
    <col min="7" max="7" width="8.85546875" bestFit="1" customWidth="1"/>
    <col min="8" max="8" width="12.5703125" bestFit="1" customWidth="1"/>
    <col min="9" max="9" width="18.28515625" bestFit="1" customWidth="1"/>
    <col min="10" max="10" width="21.7109375" bestFit="1" customWidth="1"/>
    <col min="11" max="11" width="19.42578125" bestFit="1" customWidth="1"/>
    <col min="12" max="24" width="22.42578125" bestFit="1" customWidth="1"/>
    <col min="25" max="25" width="17.7109375" bestFit="1" customWidth="1"/>
    <col min="26" max="26" width="27" bestFit="1" customWidth="1"/>
  </cols>
  <sheetData>
    <row r="1" spans="1:11" x14ac:dyDescent="0.25">
      <c r="A1" s="5" t="s">
        <v>63</v>
      </c>
      <c r="B1" t="s">
        <v>65</v>
      </c>
      <c r="E1" s="5" t="s">
        <v>63</v>
      </c>
      <c r="F1" t="s">
        <v>66</v>
      </c>
    </row>
    <row r="2" spans="1:11" x14ac:dyDescent="0.25">
      <c r="A2" s="6">
        <v>1</v>
      </c>
      <c r="B2" s="7">
        <v>124.76062827225128</v>
      </c>
      <c r="E2" s="6" t="s">
        <v>50</v>
      </c>
      <c r="F2" s="8">
        <v>11.126224657534248</v>
      </c>
      <c r="I2" t="s">
        <v>77</v>
      </c>
      <c r="J2" t="s">
        <v>78</v>
      </c>
      <c r="K2" t="s">
        <v>79</v>
      </c>
    </row>
    <row r="3" spans="1:11" x14ac:dyDescent="0.25">
      <c r="A3" s="6">
        <v>2</v>
      </c>
      <c r="B3" s="7">
        <v>124.92090361445776</v>
      </c>
      <c r="E3" s="6" t="s">
        <v>51</v>
      </c>
      <c r="F3" s="8">
        <v>9.0101652892562001</v>
      </c>
      <c r="I3">
        <v>2208</v>
      </c>
      <c r="J3" s="7">
        <v>119.99348762603114</v>
      </c>
      <c r="K3" s="7">
        <v>7.0581677360220043</v>
      </c>
    </row>
    <row r="4" spans="1:11" x14ac:dyDescent="0.25">
      <c r="A4" s="6">
        <v>3</v>
      </c>
      <c r="B4" s="7">
        <v>118.141052631579</v>
      </c>
      <c r="E4" s="6" t="s">
        <v>52</v>
      </c>
      <c r="F4" s="8">
        <v>6.7130302197802187</v>
      </c>
    </row>
    <row r="5" spans="1:11" x14ac:dyDescent="0.25">
      <c r="A5" s="6">
        <v>4</v>
      </c>
      <c r="B5" s="7">
        <v>109.61922155688627</v>
      </c>
      <c r="E5" s="6" t="s">
        <v>49</v>
      </c>
      <c r="F5" s="8">
        <v>6.5294696132596641</v>
      </c>
      <c r="I5" s="11">
        <f>GETPIVOTDATA("id_lectura",$I$2)</f>
        <v>2208</v>
      </c>
      <c r="J5" s="7">
        <f>GETPIVOTDATA("consumo_kwh",$J$2)</f>
        <v>119.99348762603114</v>
      </c>
      <c r="K5" s="7">
        <f>GETPIVOTDATA("wh_m2",$K$2)</f>
        <v>7.0581677360220043</v>
      </c>
    </row>
    <row r="6" spans="1:11" x14ac:dyDescent="0.25">
      <c r="A6" s="6">
        <v>5</v>
      </c>
      <c r="B6" s="7">
        <v>112.69645502645501</v>
      </c>
      <c r="E6" s="6" t="s">
        <v>54</v>
      </c>
      <c r="F6" s="8">
        <v>4.6216721763085387</v>
      </c>
    </row>
    <row r="7" spans="1:11" x14ac:dyDescent="0.25">
      <c r="A7" s="6">
        <v>6</v>
      </c>
      <c r="B7" s="7">
        <v>117.37031250000003</v>
      </c>
      <c r="E7" s="6" t="s">
        <v>53</v>
      </c>
      <c r="F7" s="8">
        <v>4.3404986301369846</v>
      </c>
      <c r="I7" t="s">
        <v>80</v>
      </c>
      <c r="J7" t="s">
        <v>81</v>
      </c>
      <c r="K7" t="s">
        <v>82</v>
      </c>
    </row>
    <row r="8" spans="1:11" x14ac:dyDescent="0.25">
      <c r="A8" s="6">
        <v>7</v>
      </c>
      <c r="B8" s="7">
        <v>109.23274390243897</v>
      </c>
      <c r="E8" s="6" t="s">
        <v>64</v>
      </c>
      <c r="F8" s="8">
        <v>7.058167736021983</v>
      </c>
      <c r="I8" s="12">
        <f>SUM(Lecturas[generacion_solar_kwh])/SUM(Lecturas[consumo_kwh])</f>
        <v>0.22203385693976158</v>
      </c>
      <c r="J8" s="12">
        <f>SUMIF(Lecturas[periodo_tarifario],"Punta",Lecturas[consumo_kwh])/SUM(Lecturas[consumo_kwh])</f>
        <v>0.24754956339480538</v>
      </c>
      <c r="K8" s="8">
        <f>AVERAGE(Lecturas[coste_eur])</f>
        <v>14.481019195612427</v>
      </c>
    </row>
    <row r="9" spans="1:11" x14ac:dyDescent="0.25">
      <c r="A9" s="6">
        <v>8</v>
      </c>
      <c r="B9" s="7">
        <v>114.61137566137566</v>
      </c>
    </row>
    <row r="10" spans="1:11" x14ac:dyDescent="0.25">
      <c r="A10" s="6">
        <v>9</v>
      </c>
      <c r="B10" s="7">
        <v>122.87455026455021</v>
      </c>
    </row>
    <row r="11" spans="1:11" x14ac:dyDescent="0.25">
      <c r="A11" s="6">
        <v>10</v>
      </c>
      <c r="B11" s="7">
        <v>123.00909638554218</v>
      </c>
    </row>
    <row r="12" spans="1:11" x14ac:dyDescent="0.25">
      <c r="A12" s="6">
        <v>11</v>
      </c>
      <c r="B12" s="7">
        <v>117.04222222222222</v>
      </c>
    </row>
    <row r="13" spans="1:11" x14ac:dyDescent="0.25">
      <c r="A13" s="6">
        <v>12</v>
      </c>
      <c r="B13" s="7">
        <v>143.85368421052627</v>
      </c>
    </row>
    <row r="14" spans="1:11" x14ac:dyDescent="0.25">
      <c r="A14" s="6" t="s">
        <v>64</v>
      </c>
      <c r="B14" s="7">
        <v>119.99348762603114</v>
      </c>
    </row>
    <row r="20" spans="1:8" x14ac:dyDescent="0.25">
      <c r="A20" s="5" t="s">
        <v>67</v>
      </c>
      <c r="B20" s="5" t="s">
        <v>62</v>
      </c>
    </row>
    <row r="21" spans="1:8" x14ac:dyDescent="0.25">
      <c r="A21" s="5" t="s">
        <v>63</v>
      </c>
      <c r="B21" t="s">
        <v>15</v>
      </c>
      <c r="C21" t="s">
        <v>24</v>
      </c>
      <c r="D21" t="s">
        <v>18</v>
      </c>
      <c r="E21" t="s">
        <v>26</v>
      </c>
      <c r="F21" t="s">
        <v>21</v>
      </c>
      <c r="G21" t="s">
        <v>12</v>
      </c>
      <c r="H21" t="s">
        <v>64</v>
      </c>
    </row>
    <row r="22" spans="1:8" x14ac:dyDescent="0.25">
      <c r="A22" s="6">
        <v>0</v>
      </c>
      <c r="B22" s="7">
        <v>52.568369565217388</v>
      </c>
      <c r="C22" s="7">
        <v>22.443260869565211</v>
      </c>
      <c r="D22" s="7">
        <v>113.70230769230771</v>
      </c>
      <c r="E22" s="7">
        <v>24.622857142857136</v>
      </c>
      <c r="F22" s="7">
        <v>104.33934782608695</v>
      </c>
      <c r="G22" s="7">
        <v>180.85604395604392</v>
      </c>
      <c r="H22" s="7">
        <v>82.961347905282352</v>
      </c>
    </row>
    <row r="23" spans="1:8" x14ac:dyDescent="0.25">
      <c r="A23" s="6">
        <v>8</v>
      </c>
      <c r="B23" s="7">
        <v>47.741888888888901</v>
      </c>
      <c r="C23" s="7">
        <v>63.774565217391334</v>
      </c>
      <c r="D23" s="7">
        <v>171.28728260869565</v>
      </c>
      <c r="E23" s="7">
        <v>66.810549450549459</v>
      </c>
      <c r="F23" s="7">
        <v>28.931195652173923</v>
      </c>
      <c r="G23" s="7">
        <v>240.57043956043955</v>
      </c>
      <c r="H23" s="7">
        <v>103.20401459854018</v>
      </c>
    </row>
    <row r="24" spans="1:8" x14ac:dyDescent="0.25">
      <c r="A24" s="6">
        <v>14</v>
      </c>
      <c r="B24" s="7">
        <v>237.78956043956052</v>
      </c>
      <c r="C24" s="7">
        <v>49.959000000000003</v>
      </c>
      <c r="D24" s="7">
        <v>138.81910112359552</v>
      </c>
      <c r="E24" s="7">
        <v>86.231413043478312</v>
      </c>
      <c r="F24" s="7">
        <v>27.3671111111111</v>
      </c>
      <c r="G24" s="7">
        <v>223.31902173913042</v>
      </c>
      <c r="H24" s="7">
        <v>127.63187499999998</v>
      </c>
    </row>
    <row r="25" spans="1:8" x14ac:dyDescent="0.25">
      <c r="A25" s="6">
        <v>20</v>
      </c>
      <c r="B25" s="7">
        <v>290.42277777777781</v>
      </c>
      <c r="C25" s="7">
        <v>22.466179775280906</v>
      </c>
      <c r="D25" s="7">
        <v>255.50166666666675</v>
      </c>
      <c r="E25" s="7">
        <v>39.007582417582412</v>
      </c>
      <c r="F25" s="7">
        <v>102.47433333333332</v>
      </c>
      <c r="G25" s="7">
        <v>289.97142857142853</v>
      </c>
      <c r="H25" s="7">
        <v>166.89920517560068</v>
      </c>
    </row>
    <row r="26" spans="1:8" x14ac:dyDescent="0.25">
      <c r="A26" s="6" t="s">
        <v>64</v>
      </c>
      <c r="B26" s="7">
        <v>156.77674931129479</v>
      </c>
      <c r="C26" s="7">
        <v>39.746115702479322</v>
      </c>
      <c r="D26" s="7">
        <v>169.76627071823205</v>
      </c>
      <c r="E26" s="7">
        <v>54.255945205479371</v>
      </c>
      <c r="F26" s="7">
        <v>65.787417582417618</v>
      </c>
      <c r="G26" s="7">
        <v>233.65084931506837</v>
      </c>
      <c r="H26" s="7">
        <v>119.99348762603115</v>
      </c>
    </row>
    <row r="30" spans="1:8" x14ac:dyDescent="0.25">
      <c r="A30" s="5" t="s">
        <v>61</v>
      </c>
      <c r="B30" s="5" t="s">
        <v>62</v>
      </c>
    </row>
    <row r="31" spans="1:8" x14ac:dyDescent="0.25">
      <c r="A31" s="5" t="s">
        <v>63</v>
      </c>
      <c r="B31" t="s">
        <v>34</v>
      </c>
      <c r="C31" t="s">
        <v>37</v>
      </c>
      <c r="D31" t="s">
        <v>31</v>
      </c>
      <c r="E31" t="s">
        <v>64</v>
      </c>
    </row>
    <row r="32" spans="1:8" x14ac:dyDescent="0.25">
      <c r="A32" s="6" t="s">
        <v>54</v>
      </c>
      <c r="B32" s="9">
        <v>0.67932067447379507</v>
      </c>
      <c r="C32" s="9">
        <v>0.10640539401601355</v>
      </c>
      <c r="D32" s="9">
        <v>0.21427393151019136</v>
      </c>
      <c r="E32" s="9">
        <v>1</v>
      </c>
    </row>
    <row r="33" spans="1:5" x14ac:dyDescent="0.25">
      <c r="A33" s="6" t="s">
        <v>51</v>
      </c>
      <c r="B33" s="9">
        <v>0.31538222834807828</v>
      </c>
      <c r="C33" s="9">
        <v>0.30917681193239277</v>
      </c>
      <c r="D33" s="9">
        <v>0.3754409597195289</v>
      </c>
      <c r="E33" s="9">
        <v>1</v>
      </c>
    </row>
    <row r="34" spans="1:5" x14ac:dyDescent="0.25">
      <c r="A34" s="6" t="s">
        <v>50</v>
      </c>
      <c r="B34" s="9">
        <v>0.34921477497861231</v>
      </c>
      <c r="C34" s="9">
        <v>0.21378943127410799</v>
      </c>
      <c r="D34" s="9">
        <v>0.43699579374727959</v>
      </c>
      <c r="E34" s="9">
        <v>1</v>
      </c>
    </row>
    <row r="35" spans="1:5" x14ac:dyDescent="0.25">
      <c r="A35" s="6" t="s">
        <v>49</v>
      </c>
      <c r="B35" s="9">
        <v>0.3770076147918025</v>
      </c>
      <c r="C35" s="9">
        <v>0.30013510613145578</v>
      </c>
      <c r="D35" s="9">
        <v>0.32285727907674178</v>
      </c>
      <c r="E35" s="9">
        <v>1</v>
      </c>
    </row>
    <row r="36" spans="1:5" x14ac:dyDescent="0.25">
      <c r="A36" s="6" t="s">
        <v>52</v>
      </c>
      <c r="B36" s="9">
        <v>0.12860645886559358</v>
      </c>
      <c r="C36" s="9">
        <v>0.25654017143129182</v>
      </c>
      <c r="D36" s="9">
        <v>0.61485336970311455</v>
      </c>
      <c r="E36" s="9">
        <v>1</v>
      </c>
    </row>
    <row r="37" spans="1:5" x14ac:dyDescent="0.25">
      <c r="A37" s="6" t="s">
        <v>53</v>
      </c>
      <c r="B37" s="9">
        <v>0.64939187271693499</v>
      </c>
      <c r="C37" s="9">
        <v>0.1446073455999014</v>
      </c>
      <c r="D37" s="9">
        <v>0.20600078168316369</v>
      </c>
      <c r="E37" s="9">
        <v>1</v>
      </c>
    </row>
    <row r="38" spans="1:5" x14ac:dyDescent="0.25">
      <c r="A38" s="6" t="s">
        <v>64</v>
      </c>
      <c r="B38" s="9">
        <v>0.36910218049948401</v>
      </c>
      <c r="C38" s="9">
        <v>0.24754956339480536</v>
      </c>
      <c r="D38" s="9">
        <v>0.38334825610571055</v>
      </c>
      <c r="E38" s="9">
        <v>1</v>
      </c>
    </row>
    <row r="40" spans="1:5" x14ac:dyDescent="0.25">
      <c r="A40" s="5" t="s">
        <v>63</v>
      </c>
      <c r="B40" t="s">
        <v>68</v>
      </c>
    </row>
    <row r="41" spans="1:5" x14ac:dyDescent="0.25">
      <c r="A41" s="6" t="s">
        <v>69</v>
      </c>
      <c r="B41" s="7">
        <v>122.29292307692303</v>
      </c>
    </row>
    <row r="42" spans="1:5" x14ac:dyDescent="0.25">
      <c r="A42" s="6" t="s">
        <v>92</v>
      </c>
      <c r="B42" s="7">
        <v>26.91</v>
      </c>
    </row>
    <row r="43" spans="1:5" x14ac:dyDescent="0.25">
      <c r="A43" s="6" t="s">
        <v>93</v>
      </c>
      <c r="B43" s="7">
        <v>55.915454545454551</v>
      </c>
    </row>
    <row r="44" spans="1:5" x14ac:dyDescent="0.25">
      <c r="A44" s="6" t="s">
        <v>70</v>
      </c>
      <c r="B44" s="7">
        <v>108.92445454545457</v>
      </c>
    </row>
    <row r="45" spans="1:5" x14ac:dyDescent="0.25">
      <c r="A45" s="6" t="s">
        <v>71</v>
      </c>
      <c r="B45" s="7">
        <v>115.38321656050961</v>
      </c>
    </row>
    <row r="46" spans="1:5" x14ac:dyDescent="0.25">
      <c r="A46" s="6" t="s">
        <v>72</v>
      </c>
      <c r="B46" s="7">
        <v>111.61458158995809</v>
      </c>
    </row>
    <row r="47" spans="1:5" x14ac:dyDescent="0.25">
      <c r="A47" s="6" t="s">
        <v>73</v>
      </c>
      <c r="B47" s="7">
        <v>103.22083700440533</v>
      </c>
    </row>
    <row r="48" spans="1:5" x14ac:dyDescent="0.25">
      <c r="A48" s="6" t="s">
        <v>74</v>
      </c>
      <c r="B48" s="7">
        <v>115.23619909502256</v>
      </c>
    </row>
    <row r="49" spans="1:3" x14ac:dyDescent="0.25">
      <c r="A49" s="6" t="s">
        <v>75</v>
      </c>
      <c r="B49" s="7">
        <v>166.908384279476</v>
      </c>
    </row>
    <row r="50" spans="1:3" x14ac:dyDescent="0.25">
      <c r="A50" s="6" t="s">
        <v>76</v>
      </c>
      <c r="B50" s="7">
        <v>195.74753623188414</v>
      </c>
    </row>
    <row r="51" spans="1:3" x14ac:dyDescent="0.25">
      <c r="A51" s="6" t="s">
        <v>94</v>
      </c>
      <c r="B51" s="7">
        <v>238.41333333333336</v>
      </c>
    </row>
    <row r="52" spans="1:3" x14ac:dyDescent="0.25">
      <c r="A52" s="6" t="s">
        <v>64</v>
      </c>
      <c r="B52" s="7">
        <v>119.99348762603113</v>
      </c>
    </row>
    <row r="55" spans="1:3" x14ac:dyDescent="0.25">
      <c r="A55" s="5" t="s">
        <v>63</v>
      </c>
      <c r="B55" t="s">
        <v>87</v>
      </c>
      <c r="C55" t="s">
        <v>88</v>
      </c>
    </row>
    <row r="56" spans="1:3" x14ac:dyDescent="0.25">
      <c r="A56" s="6">
        <v>1</v>
      </c>
      <c r="B56" s="7">
        <v>124.76062827225128</v>
      </c>
      <c r="C56" s="10">
        <v>12.664739583333338</v>
      </c>
    </row>
    <row r="57" spans="1:3" x14ac:dyDescent="0.25">
      <c r="A57" s="6">
        <v>2</v>
      </c>
      <c r="B57" s="7">
        <v>124.92090361445776</v>
      </c>
      <c r="C57" s="10">
        <v>15.610535714285723</v>
      </c>
    </row>
    <row r="58" spans="1:3" x14ac:dyDescent="0.25">
      <c r="A58" s="6">
        <v>3</v>
      </c>
      <c r="B58" s="7">
        <v>118.141052631579</v>
      </c>
      <c r="C58" s="10">
        <v>20.580781249999998</v>
      </c>
    </row>
    <row r="59" spans="1:3" x14ac:dyDescent="0.25">
      <c r="A59" s="6">
        <v>4</v>
      </c>
      <c r="B59" s="7">
        <v>109.61922155688627</v>
      </c>
      <c r="C59" s="10">
        <v>26.999285714285708</v>
      </c>
    </row>
    <row r="60" spans="1:3" x14ac:dyDescent="0.25">
      <c r="A60" s="6">
        <v>5</v>
      </c>
      <c r="B60" s="7">
        <v>112.69645502645501</v>
      </c>
      <c r="C60" s="10">
        <v>35.139895833333334</v>
      </c>
    </row>
    <row r="61" spans="1:3" x14ac:dyDescent="0.25">
      <c r="A61" s="6">
        <v>6</v>
      </c>
      <c r="B61" s="7">
        <v>117.37031250000003</v>
      </c>
      <c r="C61" s="10">
        <v>42.42989583333334</v>
      </c>
    </row>
    <row r="62" spans="1:3" x14ac:dyDescent="0.25">
      <c r="A62" s="6">
        <v>7</v>
      </c>
      <c r="B62" s="7">
        <v>109.23274390243897</v>
      </c>
      <c r="C62" s="10">
        <v>44.021904761904764</v>
      </c>
    </row>
    <row r="63" spans="1:3" x14ac:dyDescent="0.25">
      <c r="A63" s="6">
        <v>8</v>
      </c>
      <c r="B63" s="7">
        <v>114.61137566137566</v>
      </c>
      <c r="C63" s="10">
        <v>37.651614583333334</v>
      </c>
    </row>
    <row r="64" spans="1:3" x14ac:dyDescent="0.25">
      <c r="A64" s="6">
        <v>9</v>
      </c>
      <c r="B64" s="7">
        <v>122.87455026455021</v>
      </c>
      <c r="C64" s="10">
        <v>29.981770833333346</v>
      </c>
    </row>
    <row r="65" spans="1:6" x14ac:dyDescent="0.25">
      <c r="A65" s="6">
        <v>10</v>
      </c>
      <c r="B65" s="7">
        <v>123.00909638554218</v>
      </c>
      <c r="C65" s="10">
        <v>21.543571428571429</v>
      </c>
    </row>
    <row r="66" spans="1:6" x14ac:dyDescent="0.25">
      <c r="A66" s="6">
        <v>11</v>
      </c>
      <c r="B66" s="7">
        <v>117.04222222222222</v>
      </c>
      <c r="C66" s="10">
        <v>15.868177083333336</v>
      </c>
    </row>
    <row r="67" spans="1:6" x14ac:dyDescent="0.25">
      <c r="A67" s="6">
        <v>12</v>
      </c>
      <c r="B67" s="7">
        <v>143.85368421052627</v>
      </c>
      <c r="C67" s="10">
        <v>13.811979166666667</v>
      </c>
    </row>
    <row r="68" spans="1:6" x14ac:dyDescent="0.25">
      <c r="A68" s="6" t="s">
        <v>64</v>
      </c>
      <c r="B68" s="7">
        <v>119.99348762603114</v>
      </c>
      <c r="C68" s="10">
        <v>26.328890398550744</v>
      </c>
    </row>
    <row r="70" spans="1:6" x14ac:dyDescent="0.25">
      <c r="A70" s="5" t="s">
        <v>63</v>
      </c>
      <c r="B70" t="s">
        <v>83</v>
      </c>
    </row>
    <row r="71" spans="1:6" x14ac:dyDescent="0.25">
      <c r="A71" s="6" t="s">
        <v>14</v>
      </c>
      <c r="B71" s="11">
        <v>1005</v>
      </c>
    </row>
    <row r="72" spans="1:6" x14ac:dyDescent="0.25">
      <c r="A72" s="6" t="s">
        <v>17</v>
      </c>
      <c r="B72" s="11">
        <v>669</v>
      </c>
    </row>
    <row r="73" spans="1:6" x14ac:dyDescent="0.25">
      <c r="A73" s="6" t="s">
        <v>20</v>
      </c>
      <c r="B73" s="11">
        <v>348</v>
      </c>
    </row>
    <row r="74" spans="1:6" x14ac:dyDescent="0.25">
      <c r="A74" s="6" t="s">
        <v>23</v>
      </c>
      <c r="B74" s="11">
        <v>186</v>
      </c>
    </row>
    <row r="75" spans="1:6" x14ac:dyDescent="0.25">
      <c r="A75" s="6" t="s">
        <v>64</v>
      </c>
      <c r="B75" s="11">
        <v>2208</v>
      </c>
    </row>
    <row r="80" spans="1:6" ht="15.75" x14ac:dyDescent="0.25">
      <c r="A80" s="13" t="s">
        <v>89</v>
      </c>
      <c r="B80" s="13" t="s">
        <v>85</v>
      </c>
      <c r="C80" s="13" t="s">
        <v>90</v>
      </c>
      <c r="D80" s="13" t="s">
        <v>91</v>
      </c>
      <c r="E80" s="13" t="s">
        <v>84</v>
      </c>
      <c r="F80" s="13" t="s">
        <v>86</v>
      </c>
    </row>
    <row r="81" spans="1:6" x14ac:dyDescent="0.25">
      <c r="A81" s="6" t="s">
        <v>54</v>
      </c>
      <c r="B81" s="7">
        <v>12.126929347826081</v>
      </c>
      <c r="C81" s="7">
        <v>4.6216721763085387</v>
      </c>
      <c r="D81" s="7">
        <v>4.4773841961852892</v>
      </c>
      <c r="E81" s="7">
        <v>39.746115702479308</v>
      </c>
      <c r="F81" s="9">
        <v>0.30931241266884035</v>
      </c>
    </row>
    <row r="82" spans="1:6" x14ac:dyDescent="0.25">
      <c r="A82" s="6" t="s">
        <v>51</v>
      </c>
      <c r="B82" s="7">
        <v>24.305815217391313</v>
      </c>
      <c r="C82" s="7">
        <v>9.0101652892562001</v>
      </c>
      <c r="D82" s="7">
        <v>20.966358695652172</v>
      </c>
      <c r="E82" s="7">
        <v>156.77674931129474</v>
      </c>
      <c r="F82" s="9">
        <v>0.15717002788264134</v>
      </c>
    </row>
    <row r="83" spans="1:6" x14ac:dyDescent="0.25">
      <c r="A83" s="6" t="s">
        <v>50</v>
      </c>
      <c r="B83" s="7">
        <v>40.53929347826088</v>
      </c>
      <c r="C83" s="7">
        <v>11.126224657534248</v>
      </c>
      <c r="D83" s="7">
        <v>28.863085399449037</v>
      </c>
      <c r="E83" s="7">
        <v>233.65084931506846</v>
      </c>
      <c r="F83" s="9">
        <v>0.17492978634787706</v>
      </c>
    </row>
    <row r="84" spans="1:6" x14ac:dyDescent="0.25">
      <c r="A84" s="6" t="s">
        <v>49</v>
      </c>
      <c r="B84" s="7">
        <v>50.864565217391302</v>
      </c>
      <c r="C84" s="7">
        <v>6.5294696132596641</v>
      </c>
      <c r="D84" s="7">
        <v>19.153516483516484</v>
      </c>
      <c r="E84" s="7">
        <v>169.76627071823202</v>
      </c>
      <c r="F84" s="9">
        <v>0.30458125804750408</v>
      </c>
    </row>
    <row r="85" spans="1:6" x14ac:dyDescent="0.25">
      <c r="A85" s="6" t="s">
        <v>52</v>
      </c>
      <c r="B85" s="7">
        <v>0</v>
      </c>
      <c r="C85" s="7">
        <v>6.7130302197802187</v>
      </c>
      <c r="D85" s="7">
        <v>8.947554945054943</v>
      </c>
      <c r="E85" s="7">
        <v>65.787417582417518</v>
      </c>
      <c r="F85" s="9">
        <v>0</v>
      </c>
    </row>
    <row r="86" spans="1:6" x14ac:dyDescent="0.25">
      <c r="A86" s="6" t="s">
        <v>53</v>
      </c>
      <c r="B86" s="7">
        <v>30.136739130434773</v>
      </c>
      <c r="C86" s="7">
        <v>4.3404986301369846</v>
      </c>
      <c r="D86" s="7">
        <v>4.4739226519337008</v>
      </c>
      <c r="E86" s="7">
        <v>54.255945205479456</v>
      </c>
      <c r="F86" s="9">
        <v>0.56002044091374092</v>
      </c>
    </row>
    <row r="87" spans="1:6" ht="15.75" x14ac:dyDescent="0.25">
      <c r="A87" s="14" t="s">
        <v>64</v>
      </c>
      <c r="B87" s="15">
        <v>26.328890398550733</v>
      </c>
      <c r="C87" s="15">
        <v>7.058167736021983</v>
      </c>
      <c r="D87" s="15">
        <v>14.481019195612427</v>
      </c>
      <c r="E87" s="15">
        <v>119.99348762603123</v>
      </c>
      <c r="F87" s="16">
        <v>0.22203385693976133</v>
      </c>
    </row>
    <row r="95" spans="1:6" x14ac:dyDescent="0.25">
      <c r="A95" s="5" t="s">
        <v>68</v>
      </c>
      <c r="B95" s="5" t="s">
        <v>62</v>
      </c>
    </row>
    <row r="96" spans="1:6" x14ac:dyDescent="0.25">
      <c r="A96" s="5" t="s">
        <v>63</v>
      </c>
      <c r="B96" t="s">
        <v>36</v>
      </c>
      <c r="C96" t="s">
        <v>33</v>
      </c>
    </row>
    <row r="97" spans="1:3" x14ac:dyDescent="0.25">
      <c r="A97" s="6" t="s">
        <v>15</v>
      </c>
      <c r="B97" s="7">
        <v>167.94920792079202</v>
      </c>
      <c r="C97" s="7">
        <v>152.4698091603054</v>
      </c>
    </row>
    <row r="98" spans="1:3" x14ac:dyDescent="0.25">
      <c r="A98" s="6" t="s">
        <v>24</v>
      </c>
      <c r="B98" s="7">
        <v>12.723725490196083</v>
      </c>
      <c r="C98" s="7">
        <v>50.306590038314127</v>
      </c>
    </row>
    <row r="99" spans="1:3" x14ac:dyDescent="0.25">
      <c r="A99" s="6" t="s">
        <v>18</v>
      </c>
      <c r="B99" s="7">
        <v>110.51676470588237</v>
      </c>
      <c r="C99" s="7">
        <v>193.01030769230766</v>
      </c>
    </row>
    <row r="100" spans="1:3" x14ac:dyDescent="0.25">
      <c r="A100" s="6" t="s">
        <v>26</v>
      </c>
      <c r="B100" s="7">
        <v>21.664951456310671</v>
      </c>
      <c r="C100" s="7">
        <v>67.068435114503814</v>
      </c>
    </row>
    <row r="101" spans="1:3" x14ac:dyDescent="0.25">
      <c r="A101" s="6" t="s">
        <v>21</v>
      </c>
      <c r="B101" s="7">
        <v>71.042621359223318</v>
      </c>
      <c r="C101" s="7">
        <v>63.713524904214573</v>
      </c>
    </row>
    <row r="102" spans="1:3" x14ac:dyDescent="0.25">
      <c r="A102" s="6" t="s">
        <v>12</v>
      </c>
      <c r="B102" s="7">
        <v>233.44427184466014</v>
      </c>
      <c r="C102" s="7">
        <v>233.73206106870228</v>
      </c>
    </row>
    <row r="105" spans="1:3" x14ac:dyDescent="0.25">
      <c r="A105" s="5" t="s">
        <v>63</v>
      </c>
      <c r="B105" t="s">
        <v>95</v>
      </c>
    </row>
    <row r="106" spans="1:3" x14ac:dyDescent="0.25">
      <c r="A106" s="6" t="s">
        <v>15</v>
      </c>
      <c r="B106" s="9">
        <v>0.42119565217391303</v>
      </c>
    </row>
    <row r="107" spans="1:3" x14ac:dyDescent="0.25">
      <c r="A107" s="6" t="s">
        <v>24</v>
      </c>
      <c r="B107" s="9">
        <v>0.38858695652173914</v>
      </c>
    </row>
    <row r="108" spans="1:3" x14ac:dyDescent="0.25">
      <c r="A108" s="6" t="s">
        <v>18</v>
      </c>
      <c r="B108" s="9">
        <v>0.70108695652173914</v>
      </c>
    </row>
    <row r="109" spans="1:3" x14ac:dyDescent="0.25">
      <c r="A109" s="6" t="s">
        <v>26</v>
      </c>
      <c r="B109" s="9">
        <v>0.3858695652173913</v>
      </c>
    </row>
    <row r="110" spans="1:3" x14ac:dyDescent="0.25">
      <c r="A110" s="6" t="s">
        <v>21</v>
      </c>
      <c r="B110" s="9">
        <v>0.64130434782608692</v>
      </c>
    </row>
    <row r="111" spans="1:3" x14ac:dyDescent="0.25">
      <c r="A111" s="6" t="s">
        <v>12</v>
      </c>
      <c r="B111" s="9">
        <v>0.73097826086956519</v>
      </c>
    </row>
  </sheetData>
  <sortState xmlns:xlrd2="http://schemas.microsoft.com/office/spreadsheetml/2017/richdata2" columnSort="1" ref="A80:F87">
    <sortCondition descending="1" ref="C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6135E-3A38-4D0E-86B1-7C1E761AF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Lecturas</vt:lpstr>
      <vt:lpstr>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Jimenez Lerga</cp:lastModifiedBy>
  <cp:revision>1</cp:revision>
  <dcterms:created xsi:type="dcterms:W3CDTF">2026-08-27T14:53:45Z</dcterms:created>
  <dcterms:modified xsi:type="dcterms:W3CDTF">2026-09-10T07:00:47Z</dcterms:modified>
  <dc:language>en-US</dc:language>
</cp:coreProperties>
</file>